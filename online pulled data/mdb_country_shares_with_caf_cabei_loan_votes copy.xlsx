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d1681c74c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6c43705e3f64738"/>
    <x:sheet xmlns:r="http://schemas.openxmlformats.org/officeDocument/2006/relationships" name="Shareholdership Dataset" sheetId="8" r:id="R9391a3519aa24f6a"/>
    <x:sheet xmlns:r="http://schemas.openxmlformats.org/officeDocument/2006/relationships" name="BCIE (CABEI)" sheetId="9" r:id="Re43167f600014587"/>
    <x:sheet xmlns:r="http://schemas.openxmlformats.org/officeDocument/2006/relationships" name="IBRD" sheetId="6" r:id="R339f1967e43f4ba3"/>
    <x:sheet xmlns:r="http://schemas.openxmlformats.org/officeDocument/2006/relationships" name="IDA" sheetId="7" r:id="R79ba0d9126c24e67"/>
    <x:sheet xmlns:r="http://schemas.openxmlformats.org/officeDocument/2006/relationships" name="Source_Map" sheetId="2" r:id="R28d853e7c2134b09"/>
    <x:sheet xmlns:r="http://schemas.openxmlformats.org/officeDocument/2006/relationships" name="Country_Shares" sheetId="3" r:id="R6dcee0c47ca047a3"/>
    <x:sheet xmlns:r="http://schemas.openxmlformats.org/officeDocument/2006/relationships" name="Live_API_Recipes" sheetId="4" r:id="Rbf12fc1855b844f1"/>
    <x:sheet xmlns:r="http://schemas.openxmlformats.org/officeDocument/2006/relationships" name="QA_Totals" sheetId="5" r:id="Rc9e8d7a7bdd84b45"/>
    <x:sheet xmlns:r="http://schemas.openxmlformats.org/officeDocument/2006/relationships" name="Share_Class_Detail" sheetId="10" r:id="R344e2368e0664fca"/>
    <x:sheet xmlns:r="http://schemas.openxmlformats.org/officeDocument/2006/relationships" name="Governance_Rules" sheetId="11" r:id="R698850a2e33a4b0f"/>
    <x:sheet xmlns:r="http://schemas.openxmlformats.org/officeDocument/2006/relationships" name="Loan_Decision_Votes" sheetId="12" r:id="Rfefbb5e4bcfe472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<x:sst xmlns:x="http://schemas.openxmlformats.org/spreadsheetml/2006/main">
  <x:si>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Country</x:t>
  </x:si>
  <x:si>
    <x:t xml:space="preserve">Institution</x:t>
  </x:si>
  <x:si>
    <x:t xml:space="preserve">Capital Share</x:t>
  </x:si>
  <x:si>
    <x:t xml:space="preserve">Vote Share</x:t>
  </x:si>
  <x:si>
    <x:t xml:space="preserve">Date</x:t>
  </x:si>
  <x:si>
    <x:t xml:space="preserve">MDB Count</x:t>
  </x:si>
  <x:si>
    <x:t xml:space="preserve">Type of Shareholder</x:t>
  </x:si>
  <x:si>
    <x:t xml:space="preserve">Member Group</x:t>
  </x:si>
  <x:si>
    <x:t xml:space="preserve">MDB Type</x:t>
  </x:si>
  <x:si>
    <x:t xml:space="preserve">Institution </x:t>
  </x:si>
  <x:si>
    <x:t xml:space="preserve">MDB_ID</x:t>
  </x:si>
  <x:si>
    <x:t xml:space="preserve">Capital invested</x:t>
  </x:si>
  <x:si>
    <x:t xml:space="preserve">AFGHANISTAN</x:t>
  </x:si>
  <x:si>
    <x:t xml:space="preserve">IBRD</x:t>
  </x:si>
  <x:si>
    <x:t xml:space="preserve">08-18-2026</x:t>
  </x:si>
  <x:si>
    <x:t xml:space="preserve">ALBANIA</x:t>
  </x:si>
  <x:si>
    <x:t xml:space="preserve">ALGERIA</x:t>
  </x:si>
  <x:si>
    <x:t xml:space="preserve">ANGOLA</x:t>
  </x:si>
  <x:si>
    <x:t xml:space="preserve">ANTIGUA AND BARBUDA</x:t>
  </x:si>
  <x:si>
    <x:t xml:space="preserve">ARGENTINA</x:t>
  </x:si>
  <x:si>
    <x:t xml:space="preserve">ARMENIA</x:t>
  </x:si>
  <x:si>
    <x:t xml:space="preserve">AUSTRALIA</x:t>
  </x:si>
  <x:si>
    <x:t xml:space="preserve">AUSTRIA</x:t>
  </x:si>
  <x:si>
    <x:t xml:space="preserve">AZERBAIJAN</x:t>
  </x:si>
  <x:si>
    <x:t xml:space="preserve">BAHAMAS, THE</x:t>
  </x:si>
  <x:si>
    <x:t xml:space="preserve">BAHRAIN</x:t>
  </x:si>
  <x:si>
    <x:t xml:space="preserve">BANGLADESH</x:t>
  </x:si>
  <x:si>
    <x:t xml:space="preserve">BARBADOS</x:t>
  </x:si>
  <x:si>
    <x:t xml:space="preserve">BELARUS</x:t>
  </x:si>
  <x:si>
    <x:t xml:space="preserve">BELGIUM</x:t>
  </x:si>
  <x:si>
    <x:t xml:space="preserve">BELIZE</x:t>
  </x:si>
  <x:si>
    <x:t xml:space="preserve">BENIN</x:t>
  </x:si>
  <x:si>
    <x:t xml:space="preserve">BHUTAN</x:t>
  </x:si>
  <x:si>
    <x:t xml:space="preserve">BOLIVIA</x:t>
  </x:si>
  <x:si>
    <x:t xml:space="preserve">BOSNIA AND HERZEGOVINA</x:t>
  </x:si>
  <x:si>
    <x:t xml:space="preserve">BOTSWANA</x:t>
  </x:si>
  <x:si>
    <x:t xml:space="preserve">BRAZIL</x:t>
  </x:si>
  <x:si>
    <x:t xml:space="preserve">BRUNEI DARUSSALAM</x:t>
  </x:si>
  <x:si>
    <x:t xml:space="preserve">BULGARIA</x:t>
  </x:si>
  <x:si>
    <x:t xml:space="preserve">BURKINA FASO</x:t>
  </x:si>
  <x:si>
    <x:t xml:space="preserve">BURUNDI</x:t>
  </x:si>
  <x:si>
    <x:t xml:space="preserve">CABO VERDE</x:t>
  </x:si>
  <x:si>
    <x:t xml:space="preserve">CAMBODIA</x:t>
  </x:si>
  <x:si>
    <x:t xml:space="preserve">CAMEROON</x:t>
  </x:si>
  <x:si>
    <x:t xml:space="preserve">CANADA</x:t>
  </x:si>
  <x:si>
    <x:t xml:space="preserve">CENTRAL AFRICAN REPUBLIC</x:t>
  </x:si>
  <x:si>
    <x:t xml:space="preserve">CHAD</x:t>
  </x:si>
  <x:si>
    <x:t xml:space="preserve">CHILE</x:t>
  </x:si>
  <x:si>
    <x:t xml:space="preserve">CHINA</x:t>
  </x:si>
  <x:si>
    <x:t xml:space="preserve">COLOMBIA</x:t>
  </x:si>
  <x:si>
    <x:t xml:space="preserve">COMOROS</x:t>
  </x:si>
  <x:si>
    <x:t xml:space="preserve">CONGO, DEMOCRATIC REPUBLIC OF</x:t>
  </x:si>
  <x:si>
    <x:t xml:space="preserve">CONGO, REPUBLIC OF</x:t>
  </x:si>
  <x:si>
    <x:t xml:space="preserve">COSTA RICA</x:t>
  </x:si>
  <x:si>
    <x:t xml:space="preserve">COTE D'IVOIRE</x:t>
  </x:si>
  <x:si>
    <x:t xml:space="preserve">CROATIA</x:t>
  </x:si>
  <x:si>
    <x:t xml:space="preserve">CYPRUS</x:t>
  </x:si>
  <x:si>
    <x:t xml:space="preserve">CZECHIA</x:t>
  </x:si>
  <x:si>
    <x:t xml:space="preserve">DENMARK</x:t>
  </x:si>
  <x:si>
    <x:t xml:space="preserve">DJIBOUTI</x:t>
  </x:si>
  <x:si>
    <x:t xml:space="preserve">DOMINICA</x:t>
  </x:si>
  <x:si>
    <x:t xml:space="preserve">DOMINICAN REPUBLIC</x:t>
  </x:si>
  <x:si>
    <x:t xml:space="preserve">ECUADOR</x:t>
  </x:si>
  <x:si>
    <x:t xml:space="preserve">EGYPT, ARAB REPUBLIC OF</x:t>
  </x:si>
  <x:si>
    <x:t xml:space="preserve">EL SALVADOR</x:t>
  </x:si>
  <x:si>
    <x:t xml:space="preserve">EQUATORIAL GUINEA</x:t>
  </x:si>
  <x:si>
    <x:t xml:space="preserve">ERITREA</x:t>
  </x:si>
  <x:si>
    <x:t xml:space="preserve">ESTONIA</x:t>
  </x:si>
  <x:si>
    <x:t xml:space="preserve">ESWATINI</x:t>
  </x:si>
  <x:si>
    <x:t xml:space="preserve">ETHIOPIA</x:t>
  </x:si>
  <x:si>
    <x:t xml:space="preserve">FIJI</x:t>
  </x:si>
  <x:si>
    <x:t xml:space="preserve">FINLAND</x:t>
  </x:si>
  <x:si>
    <x:t xml:space="preserve">FRANCE</x:t>
  </x:si>
  <x:si>
    <x:t xml:space="preserve">GABON</x:t>
  </x:si>
  <x:si>
    <x:t xml:space="preserve">GAMBIA, THE</x:t>
  </x:si>
  <x:si>
    <x:t xml:space="preserve">GEORGIA</x:t>
  </x:si>
  <x:si>
    <x:t xml:space="preserve">GERMANY</x:t>
  </x:si>
  <x:si>
    <x:t xml:space="preserve">GHANA</x:t>
  </x:si>
  <x:si>
    <x:t xml:space="preserve">GREECE</x:t>
  </x:si>
  <x:si>
    <x:t xml:space="preserve">GRENADA</x:t>
  </x:si>
  <x:si>
    <x:t xml:space="preserve">GUATEMALA</x:t>
  </x:si>
  <x:si>
    <x:t xml:space="preserve">GUINEA</x:t>
  </x:si>
  <x:si>
    <x:t xml:space="preserve">GUINEA-BISSAU</x:t>
  </x:si>
  <x:si>
    <x:t xml:space="preserve">GUYANA</x:t>
  </x:si>
  <x:si>
    <x:t xml:space="preserve">HAITI</x:t>
  </x:si>
  <x:si>
    <x:t xml:space="preserve">HONDURAS</x:t>
  </x:si>
  <x:si>
    <x:t xml:space="preserve">HUNGARY</x:t>
  </x:si>
  <x:si>
    <x:t xml:space="preserve">ICELAND</x:t>
  </x:si>
  <x:si>
    <x:t xml:space="preserve">INDIA</x:t>
  </x:si>
  <x:si>
    <x:t xml:space="preserve">INDONESIA</x:t>
  </x:si>
  <x:si>
    <x:t xml:space="preserve">IRAN, ISLAMIC REPUBLIC OF</x:t>
  </x:si>
  <x:si>
    <x:t xml:space="preserve">IRAQ</x:t>
  </x:si>
  <x:si>
    <x:t xml:space="preserve">IRELAND</x:t>
  </x:si>
  <x:si>
    <x:t xml:space="preserve">ISRAEL</x:t>
  </x:si>
  <x:si>
    <x:t xml:space="preserve">ITALY</x:t>
  </x:si>
  <x:si>
    <x:t xml:space="preserve">JAMAICA</x:t>
  </x:si>
  <x:si>
    <x:t xml:space="preserve">JAPAN</x:t>
  </x:si>
  <x:si>
    <x:t xml:space="preserve">JORDAN</x:t>
  </x:si>
  <x:si>
    <x:t xml:space="preserve">KAZAKHSTAN</x:t>
  </x:si>
  <x:si>
    <x:t xml:space="preserve">KENYA</x:t>
  </x:si>
  <x:si>
    <x:t xml:space="preserve">KIRIBATI</x:t>
  </x:si>
  <x:si>
    <x:t xml:space="preserve">KOREA, REPUBLIC OF</x:t>
  </x:si>
  <x:si>
    <x:t xml:space="preserve">KOSOVO</x:t>
  </x:si>
  <x:si>
    <x:t xml:space="preserve">KUWAIT</x:t>
  </x:si>
  <x:si>
    <x:t xml:space="preserve">KYRGYZ REPUBLIC</x:t>
  </x:si>
  <x:si>
    <x:t xml:space="preserve">LAO PEOPLE'S DEMOCRATIC REPUBLIC</x:t>
  </x:si>
  <x:si>
    <x:t xml:space="preserve">LATVIA</x:t>
  </x:si>
  <x:si>
    <x:t xml:space="preserve">LEBANON</x:t>
  </x:si>
  <x:si>
    <x:t xml:space="preserve">LESOTHO</x:t>
  </x:si>
  <x:si>
    <x:t xml:space="preserve">LIBERIA</x:t>
  </x:si>
  <x:si>
    <x:t xml:space="preserve">LIBYA</x:t>
  </x:si>
  <x:si>
    <x:t xml:space="preserve">LITHUANIA</x:t>
  </x:si>
  <x:si>
    <x:t xml:space="preserve">LUXEMBOURG</x:t>
  </x:si>
  <x:si>
    <x:t xml:space="preserve">MADAGASCAR</x:t>
  </x:si>
  <x:si>
    <x:t xml:space="preserve">MALAWI</x:t>
  </x:si>
  <x:si>
    <x:t xml:space="preserve">MALAYSIA</x:t>
  </x:si>
  <x:si>
    <x:t xml:space="preserve">MALDIVES</x:t>
  </x:si>
  <x:si>
    <x:t xml:space="preserve">MALI</x:t>
  </x:si>
  <x:si>
    <x:t xml:space="preserve">MALTA</x:t>
  </x:si>
  <x:si>
    <x:t xml:space="preserve">MARSHALL ISLANDS</x:t>
  </x:si>
  <x:si>
    <x:t xml:space="preserve">MAURITANIA</x:t>
  </x:si>
  <x:si>
    <x:t xml:space="preserve">MAURITIUS</x:t>
  </x:si>
  <x:si>
    <x:t xml:space="preserve">MEXICO</x:t>
  </x:si>
  <x:si>
    <x:t xml:space="preserve">MICRONESIA, FEDERATED STATES OF</x:t>
  </x:si>
  <x:si>
    <x:t xml:space="preserve">MOLDOVA</x:t>
  </x:si>
  <x:si>
    <x:t xml:space="preserve">MONGOLIA</x:t>
  </x:si>
  <x:si>
    <x:t xml:space="preserve">MONTENEGRO</x:t>
  </x:si>
  <x:si>
    <x:t xml:space="preserve">MOROCCO</x:t>
  </x:si>
  <x:si>
    <x:t xml:space="preserve">MOZAMBIQUE</x:t>
  </x:si>
  <x:si>
    <x:t xml:space="preserve">MYANMAR</x:t>
  </x:si>
  <x:si>
    <x:t xml:space="preserve">NAMIBIA</x:t>
  </x:si>
  <x:si>
    <x:t xml:space="preserve">NAURU</x:t>
  </x:si>
  <x:si>
    <x:t xml:space="preserve">NEPAL</x:t>
  </x:si>
  <x:si>
    <x:t xml:space="preserve">NETHERLANDS</x:t>
  </x:si>
  <x:si>
    <x:t xml:space="preserve">NEW ZEALAND</x:t>
  </x:si>
  <x:si>
    <x:t xml:space="preserve">NICARAGUA</x:t>
  </x:si>
  <x:si>
    <x:t xml:space="preserve">NIGER</x:t>
  </x:si>
  <x:si>
    <x:t xml:space="preserve">NIGERIA</x:t>
  </x:si>
  <x:si>
    <x:t xml:space="preserve">NORTH MACEDONIA</x:t>
  </x:si>
  <x:si>
    <x:t xml:space="preserve">NORWAY</x:t>
  </x:si>
  <x:si>
    <x:t xml:space="preserve">OMAN</x:t>
  </x:si>
  <x:si>
    <x:t xml:space="preserve">PAKISTAN</x:t>
  </x:si>
  <x:si>
    <x:t xml:space="preserve">PALAU</x:t>
  </x:si>
  <x:si>
    <x:t xml:space="preserve">PANAMA</x:t>
  </x:si>
  <x:si>
    <x:t xml:space="preserve">PAPUA NEW GUINEA</x:t>
  </x:si>
  <x:si>
    <x:t xml:space="preserve">PARAGUAY</x:t>
  </x:si>
  <x:si>
    <x:t xml:space="preserve">PERU</x:t>
  </x:si>
  <x:si>
    <x:t xml:space="preserve">PHILIPPINES</x:t>
  </x:si>
  <x:si>
    <x:t xml:space="preserve">POLAND</x:t>
  </x:si>
  <x:si>
    <x:t xml:space="preserve">PORTUGAL</x:t>
  </x:si>
  <x:si>
    <x:t xml:space="preserve">QATAR</x:t>
  </x:si>
  <x:si>
    <x:t xml:space="preserve">ROMANIA</x:t>
  </x:si>
  <x:si>
    <x:t xml:space="preserve">RUSSIAN FEDERATION</x:t>
  </x:si>
  <x:si>
    <x:t xml:space="preserve">RWANDA</x:t>
  </x:si>
  <x:si>
    <x:t xml:space="preserve">SAMOA</x:t>
  </x:si>
  <x:si>
    <x:t xml:space="preserve">SAN MARINO</x:t>
  </x:si>
  <x:si>
    <x:t xml:space="preserve">SAO TOME AND PRINCIPE</x:t>
  </x:si>
  <x:si>
    <x:t xml:space="preserve">SAUDI ARABIA</x:t>
  </x:si>
  <x:si>
    <x:t xml:space="preserve">SENEGAL</x:t>
  </x:si>
  <x:si>
    <x:t xml:space="preserve">SERBIA</x:t>
  </x:si>
  <x:si>
    <x:t xml:space="preserve">SEYCHELLES</x:t>
  </x:si>
  <x:si>
    <x:t xml:space="preserve">SIERRA LEONE</x:t>
  </x:si>
  <x:si>
    <x:t xml:space="preserve">SINGAPORE</x:t>
  </x:si>
  <x:si>
    <x:t xml:space="preserve">SLOVAK REPUBLIC</x:t>
  </x:si>
  <x:si>
    <x:t xml:space="preserve">SLOVENIA</x:t>
  </x:si>
  <x:si>
    <x:t xml:space="preserve">SOLOMON ISLANDS</x:t>
  </x:si>
  <x:si>
    <x:t xml:space="preserve">SOMALIA, FEDERAL REPUBLIC OF</x:t>
  </x:si>
  <x:si>
    <x:t xml:space="preserve">SOUTH AFRICA</x:t>
  </x:si>
  <x:si>
    <x:t xml:space="preserve">SOUTH SUDAN</x:t>
  </x:si>
  <x:si>
    <x:t xml:space="preserve">SPAIN</x:t>
  </x:si>
  <x:si>
    <x:t xml:space="preserve">SRI LANKA</x:t>
  </x:si>
  <x:si>
    <x:t xml:space="preserve">ST. KITTS AND NEVIS</x:t>
  </x:si>
  <x:si>
    <x:t xml:space="preserve">ST. LUCIA</x:t>
  </x:si>
  <x:si>
    <x:t xml:space="preserve">ST. VINCENT AND THE GRENADINES</x:t>
  </x:si>
  <x:si>
    <x:t xml:space="preserve">SUDAN</x:t>
  </x:si>
  <x:si>
    <x:t xml:space="preserve">SURINAME</x:t>
  </x:si>
  <x:si>
    <x:t xml:space="preserve">SWEDEN</x:t>
  </x:si>
  <x:si>
    <x:t xml:space="preserve">SWITZERLAND</x:t>
  </x:si>
  <x:si>
    <x:t xml:space="preserve">SYRIAN ARAB REPUBLIC</x:t>
  </x:si>
  <x:si>
    <x:t xml:space="preserve">TAJIKISTAN</x:t>
  </x:si>
  <x:si>
    <x:t xml:space="preserve">TANZANIA</x:t>
  </x:si>
  <x:si>
    <x:t xml:space="preserve">THAILAND</x:t>
  </x:si>
  <x:si>
    <x:t xml:space="preserve">TIMOR-LESTE</x:t>
  </x:si>
  <x:si>
    <x:t xml:space="preserve">TOGO</x:t>
  </x:si>
  <x:si>
    <x:t xml:space="preserve">TONGA</x:t>
  </x:si>
  <x:si>
    <x:t xml:space="preserve">TRINIDAD AND TOBAGO</x:t>
  </x:si>
  <x:si>
    <x:t xml:space="preserve">TUNISIA</x:t>
  </x:si>
  <x:si>
    <x:t xml:space="preserve">TURKIYE</x:t>
  </x:si>
  <x:si>
    <x:t xml:space="preserve">TURKMENISTAN</x:t>
  </x:si>
  <x:si>
    <x:t xml:space="preserve">TUVALU</x:t>
  </x:si>
  <x:si>
    <x:t xml:space="preserve">UGANDA</x:t>
  </x:si>
  <x:si>
    <x:t xml:space="preserve">UKRAINE</x:t>
  </x:si>
  <x:si>
    <x:t xml:space="preserve">UNITED ARAB EMIRATES</x:t>
  </x:si>
  <x:si>
    <x:t xml:space="preserve">UNITED KINGDOM</x:t>
  </x:si>
  <x:si>
    <x:t xml:space="preserve">UNITED STATES</x:t>
  </x:si>
  <x:si>
    <x:t xml:space="preserve">URUGUAY</x:t>
  </x:si>
  <x:si>
    <x:t xml:space="preserve">UZBEKISTAN</x:t>
  </x:si>
  <x:si>
    <x:t xml:space="preserve">VANUATU</x:t>
  </x:si>
  <x:si>
    <x:t xml:space="preserve">VENEZUELA, REPUBLICA BOLIVARIANA DE</x:t>
  </x:si>
  <x:si>
    <x:t xml:space="preserve">VIET NAM</x:t>
  </x:si>
  <x:si>
    <x:t xml:space="preserve">YEMEN, REPUBLIC OF</x:t>
  </x:si>
  <x:si>
    <x:t xml:space="preserve">ZAMBIA</x:t>
  </x:si>
  <x:si>
    <x:t xml:space="preserve">ZIMBABWE</x:t>
  </x:si>
  <x:si>
    <x:t xml:space="preserve">IDA</x:t>
  </x:si>
  <x:si>
    <x:t xml:space="preserve">06/30/2026</x:t>
  </x:si>
  <x:si>
    <x:t xml:space="preserve">Official ownership and voting-power sources</x:t>
  </x:si>
  <x:si>
    <x:t xml:space="preserve">The user's project/operations links are not ownership sources. These are the preferred official governance/capital sources and repeatable collection paths.</x:t>
  </x:si>
  <x:si>
    <x:t xml:space="preserve">ID</x:t>
  </x:si>
  <x:si>
    <x:t xml:space="preserve">Preferred measure</x:t>
  </x:si>
  <x:si>
    <x:t xml:space="preserve">Official source</x:t>
  </x:si>
  <x:si>
    <x:t xml:space="preserve">Source type</x:t>
  </x:si>
  <x:si>
    <x:t xml:space="preserve">Latest official / access date</x:t>
  </x:si>
  <x:si>
    <x:t xml:space="preserve">Panel construction path</x:t>
  </x:si>
  <x:si>
    <x:t xml:space="preserve">Coverage in workbook</x:t>
  </x:si>
  <x:si>
    <x:t xml:space="preserve">Principal caveat</x:t>
  </x:si>
  <x:si>
    <x:t xml:space="preserve">Extracted rows</x:t>
  </x:si>
  <x:si>
    <x:t xml:space="preserve">Secondary source / archive</x:t>
  </x:si>
  <x:si>
    <x:t xml:space="preserve">adb</x:t>
  </x:si>
  <x:si>
    <x:t xml:space="preserve">Asian Development Bank</x:t>
  </x:si>
  <x:si>
    <x:t xml:space="preserve">Subscribed capital share + voting power</x:t>
  </x:si>
  <x:si>
    <x:t xml:space="preserve">https://data.adb.org/dataset/adb-annual-report-2021-organizational-information</x:t>
  </x:si>
  <x:si>
    <x:t xml:space="preserve">Annual XLSX/PDF; newer country fact sheets</x:t>
  </x:si>
  <x:si>
    <x:t xml:space="preserve">2024 fact sheets; complete master extract here: 2021</x:t>
  </x:si>
  <x:si>
    <x:t xml:space="preserve">Stack annual 'Members, Capital Stock, and Voting Power' tables; for 2022 onward use annual member fact sheets/financial reports.</x:t>
  </x:si>
  <x:si>
    <x:t xml:space="preserve">Complete extract (2020–21)</x:t>
  </x:si>
  <x:si>
    <x:t xml:space="preserve">Recent organizational-data packages no longer expose a single master ownership workbook; voting includes basic votes.</x:t>
  </x:si>
  <x:si>
    <x:t xml:space="preserve">https://www.adb.org/documents/adb-annual-report-2024</x:t>
  </x:si>
  <x:si>
    <x:t xml:space="preserve">aiib</x:t>
  </x:si>
  <x:si>
    <x:t xml:space="preserve">Asian Infrastructure Investment Bank</x:t>
  </x:si>
  <x:si>
    <x:t xml:space="preserve">Subscribed-capital share; voting power separately</x:t>
  </x:si>
  <x:si>
    <x:t xml:space="preserve">https://www.aiib.org/en/about-aiib/financial-statements/.content/index/pdf/AIIB-H1-2024-Financial-Statements.pdf</x:t>
  </x:si>
  <x:si>
    <x:t xml:space="preserve">Financial-statement table + rendered current table</x:t>
  </x:si>
  <x:si>
    <x:t xml:space="preserve">30 Jun 2024 extract; current member page available</x:t>
  </x:si>
  <x:si>
    <x:t xml:space="preserve">Extract Note C15 from annual/interim financial statements; archive current voting-power page if a panel is needed.</x:t>
  </x:si>
  <x:si>
    <x:t xml:space="preserve">Complete capital extract (H1 2024)</x:t>
  </x:si>
  <x:si>
    <x:t xml:space="preserve">Financial statements give capital by member but not voting power; the current members page is rendered and not versioned.</x:t>
  </x:si>
  <x:si>
    <x:t xml:space="preserve">https://www.aiib.org/en/about-aiib/governance/members-of-bank/index.html</x:t>
  </x:si>
  <x:si>
    <x:t xml:space="preserve">afdb</x:t>
  </x:si>
  <x:si>
    <x:t xml:space="preserve">African Development Bank</x:t>
  </x:si>
  <x:si>
    <x:t xml:space="preserve">Voting power (and subscribed capital in monthly statements)</x:t>
  </x:si>
  <x:si>
    <x:t xml:space="preserve">https://www.afdb.org/en/documents/board-documents/board-of-directors-documents/afdb-voting-powers/4</x:t>
  </x:si>
  <x:si>
    <x:t xml:space="preserve">Monthly PDF collection</x:t>
  </x:si>
  <x:si>
    <x:t xml:space="preserve">Monthly; Jul 2024 extract included</x:t>
  </x:si>
  <x:si>
    <x:t xml:space="preserve">Download one official AfDB statement per month/year and parse member rows.</x:t>
  </x:si>
  <x:si>
    <x:t xml:space="preserve">Complete voting extract (Jul 2024)</x:t>
  </x:si>
  <x:si>
    <x:t xml:space="preserve">Do not mix the African Development Bank with the separately governed African Development Fund (ADF).</x:t>
  </x:si>
  <x:si>
    <x:t xml:space="preserve">https://www.afdb.org/en/documents/afdb-statement-subscription-and-voting-powers-31-july-2024</x:t>
  </x:si>
  <x:si>
    <x:t xml:space="preserve">badea</x:t>
  </x:si>
  <x:si>
    <x:t xml:space="preserve">Arab Bank for Economic Development in Africa</x:t>
  </x:si>
  <x:si>
    <x:t xml:space="preserve">Paid-in member contribution share</x:t>
  </x:si>
  <x:si>
    <x:t xml:space="preserve">https://www.badea.org/wp-content/uploads/2025/12/BADEA-Annual-Report-2024-Interactive-Version.pdf</x:t>
  </x:si>
  <x:si>
    <x:t xml:space="preserve">Annual-report appendix</x:t>
  </x:si>
  <x:si>
    <x:t xml:space="preserve">31 Dec 2024</x:t>
  </x:si>
  <x:si>
    <x:t xml:space="preserve">Extract Appendix I from each annual report; preserve the reported capital concept.</x:t>
  </x:si>
  <x:si>
    <x:t xml:space="preserve">Complete paid-in extract (2023–24)</x:t>
  </x:si>
  <x:si>
    <x:t xml:space="preserve">The member table is paid-in contributions; subscribed callable and authorized capital are different totals.</x:t>
  </x:si>
  <x:si>
    <x:t xml:space="preserve">https://www.badea.org/annual-reports/</x:t>
  </x:si>
  <x:si>
    <x:t xml:space="preserve">cabei</x:t>
  </x:si>
  <x:si>
    <x:t xml:space="preserve">Central American Bank for Economic Integration</x:t>
  </x:si>
  <x:si>
    <x:t xml:space="preserve">caf</x:t>
  </x:si>
  <x:si>
    <x:t xml:space="preserve">Development Bank of Latin America and the Caribbean</x:t>
  </x:si>
  <x:si>
    <x:t xml:space="preserve">cdb</x:t>
  </x:si>
  <x:si>
    <x:t xml:space="preserve">Caribbean Development Bank</x:t>
  </x:si>
  <x:si>
    <x:t xml:space="preserve">Subscribed-capital share + voting power</x:t>
  </x:si>
  <x:si>
    <x:t xml:space="preserve">https://www.caribank.org/sites/default/files/2025-08/Annual%20Report%202024/CDB%20Anual%20Report%202024_Financial%20Statements.pdf</x:t>
  </x:si>
  <x:si>
    <x:t xml:space="preserve">Annual financial-statement note</x:t>
  </x:si>
  <x:si>
    <x:t xml:space="preserve">31 Dec 2024 (also reports 2023)</x:t>
  </x:si>
  <x:si>
    <x:t xml:space="preserve">Extract Note 19(c) from annual financial statements; one report supplies current and prior year.</x:t>
  </x:si>
  <x:si>
    <x:t xml:space="preserve">Complete capital/vote extract (2023–24)</x:t>
  </x:si>
  <x:si>
    <x:t xml:space="preserve">Five UK territories are one voting member; capital shares and voting shares must be kept distinct.</x:t>
  </x:si>
  <x:si>
    <x:t xml:space="preserve">https://www.caribank.org/about-us/investors/investor-fact-sheet</x:t>
  </x:si>
  <x:si>
    <x:t xml:space="preserve">ebrd</x:t>
  </x:si>
  <x:si>
    <x:t xml:space="preserve">European Bank for Reconstruction and Development</x:t>
  </x:si>
  <x:si>
    <x:t xml:space="preserve">Capital-subscription share</x:t>
  </x:si>
  <x:si>
    <x:t xml:space="preserve">https://www.ebrd.com/home/who-we-are/our-organisation/shareholders.html</x:t>
  </x:si>
  <x:si>
    <x:t xml:space="preserve">Rendered current shareholder table</x:t>
  </x:si>
  <x:si>
    <x:t xml:space="preserve">Current page accessed 18 Aug 2026</x:t>
  </x:si>
  <x:si>
    <x:t xml:space="preserve">Snapshot the shareholder page or extract capital tables from historical governance documents around each year-end.</x:t>
  </x:si>
  <x:si>
    <x:t xml:space="preserve">Complete current capital extract (accessed 2026-08-18)</x:t>
  </x:si>
  <x:si>
    <x:t xml:space="preserve">EU and EIB are shareholders and belong in the denominator; the page does not state a formal as-of date.</x:t>
  </x:si>
  <x:si>
    <x:t xml:space="preserve">https://www.ebrd.com/content/dam/ebrd_dxp/assets/pdfs/communications-department/financial-report/2024/ebrd-financial-report-2024-english.pdf</x:t>
  </x:si>
  <x:si>
    <x:t xml:space="preserve">ibrd</x:t>
  </x:si>
  <x:si>
    <x:t xml:space="preserve">International Bank for Reconstruction and Development</x:t>
  </x:si>
  <x:si>
    <x:t xml:space="preserve">Subscription share + voting power</x:t>
  </x:si>
  <x:si>
    <x:t xml:space="preserve">https://financesone.worldbank.org/ibrd-subscriptions-and-voting-power-of-member-countries/DS00051</x:t>
  </x:si>
  <x:si>
    <x:t xml:space="preserve">Official query/API/bulk JSON</x:t>
  </x:si>
  <x:si>
    <x:t xml:space="preserve">30 Jun 2026</x:t>
  </x:si>
  <x:si>
    <x:t xml:space="preserve">Save dated API/bulk snapshots or extract year-end membership schedules from annual financial statements.</x:t>
  </x:si>
  <x:si>
    <x:t xml:space="preserve">Live official API; not copied</x:t>
  </x:si>
  <x:si>
    <x:t xml:space="preserve">The published dataset is the latest snapshot despite being labelled time series; basic votes make voting power differ from capital share.</x:t>
  </x:si>
  <x:si>
    <x:t xml:space="preserve">https://financesone.worldbank.org/api-explorer?id=DS00051</x:t>
  </x:si>
  <x:si>
    <x:t xml:space="preserve">ida</x:t>
  </x:si>
  <x:si>
    <x:t xml:space="preserve">International Development Association</x:t>
  </x:si>
  <x:si>
    <x:t xml:space="preserve">Voting power</x:t>
  </x:si>
  <x:si>
    <x:t xml:space="preserve">https://financesone.worldbank.org/ida-voting-power-of-member-countries/DS00049</x:t>
  </x:si>
  <x:si>
    <x:t xml:space="preserve">31 Mar 2026</x:t>
  </x:si>
  <x:si>
    <x:t xml:space="preserve">Save dated API/bulk snapshots or use replenishment/year-end schedules.</x:t>
  </x:si>
  <x:si>
    <x:t xml:space="preserve">IDA is not share capital in the same sense as a bank; votes consist of subscription and membership votes under replenishment resolutions.</x:t>
  </x:si>
  <x:si>
    <x:t xml:space="preserve">https://financesone.worldbank.org/api-explorer?id=DS00049</x:t>
  </x:si>
  <x:si>
    <x:t xml:space="preserve">idb</x:t>
  </x:si>
  <x:si>
    <x:t xml:space="preserve">Inter-American Development Bank</x:t>
  </x:si>
  <x:si>
    <x:t xml:space="preserve">Subscribed voting-share share + voting power</x:t>
  </x:si>
  <x:si>
    <x:t xml:space="preserve">https://publications.iadb.org/publications/english/document/Inter-American-Development-Bank-Annual-Report-2024-Financial-Statements-.pdf</x:t>
  </x:si>
  <x:si>
    <x:t xml:space="preserve">Annual financial-statement schedule</x:t>
  </x:si>
  <x:si>
    <x:t xml:space="preserve">Extract Schedule I-4 from each annual financial report.</x:t>
  </x:si>
  <x:si>
    <x:t xml:space="preserve">Complete capital/vote extract (2024)</x:t>
  </x:si>
  <x:si>
    <x:t xml:space="preserve">Use IDB Ordinary Capital only; do not combine IDB Invest or IDB Lab. Additional paid-in capital does not affect voting power.</x:t>
  </x:si>
  <x:si>
    <x:t xml:space="preserve">https://publications.iadb.org/en/metadata/36157/inter-american-development-bank-annual-report-2024-financial-statements</x:t>
  </x:si>
  <x:si>
    <x:t xml:space="preserve">isdb</x:t>
  </x:si>
  <x:si>
    <x:t xml:space="preserve">Islamic Development Bank</x:t>
  </x:si>
  <x:si>
    <x:t xml:space="preserve">https://beta.isdb.org/isdb-member-countries</x:t>
  </x:si>
  <x:si>
    <x:t xml:space="preserve">Rendered current member table</x:t>
  </x:si>
  <x:si>
    <x:t xml:space="preserve">Current page accessed 18 Aug 2026; as-of not stated</x:t>
  </x:si>
  <x:si>
    <x:t xml:space="preserve">Archive the member table and cross-check annual-report annexes/financial statements.</x:t>
  </x:si>
  <x:si>
    <x:t xml:space="preserve">Complete current capital extract (as-of not stated)</x:t>
  </x:si>
  <x:si>
    <x:t xml:space="preserve">Displayed capital amounts are rounded, and the page does not give a formal as-of date; use reported percentage rather than recomputing from rounded amounts.</x:t>
  </x:si>
  <x:si>
    <x:t xml:space="preserve">https://2024.ar.isdb.org/wp-content/uploads/2025/05/IsDB_AR24_Annexes_EN_web.pdf</x:t>
  </x:si>
  <x:si>
    <x:t xml:space="preserve">ndb</x:t>
  </x:si>
  <x:si>
    <x:t xml:space="preserve">New Development Bank</x:t>
  </x:si>
  <x:si>
    <x:t xml:space="preserve">Subscribed-capital share</x:t>
  </x:si>
  <x:si>
    <x:t xml:space="preserve">https://www.ndb.int/wp-content/uploads/2025/03/Investor-Presentation-Dec-2025-_V7_clean.pdf</x:t>
  </x:si>
  <x:si>
    <x:t xml:space="preserve">Investor presentation / annual report</x:t>
  </x:si>
  <x:si>
    <x:t xml:space="preserve">31 Dec 2025</x:t>
  </x:si>
  <x:si>
    <x:t xml:space="preserve">Extract the shareholding structure from successive investor presentations or annual reports.</x:t>
  </x:si>
  <x:si>
    <x:t xml:space="preserve">Complete capital extract (end-2025)</x:t>
  </x:si>
  <x:si>
    <x:t xml:space="preserve">Prospective members are excluded until accession/subscription is effective; reported percentages are rounded.</x:t>
  </x:si>
  <x:si>
    <x:t xml:space="preserve">https://www.ndb.int/annual-report/2024/pdf/NDB_AR_2024_complete.pdf</x:t>
  </x:si>
  <x:si>
    <x:t xml:space="preserve">eib</x:t>
  </x:si>
  <x:si>
    <x:t xml:space="preserve">European Investment Bank</x:t>
  </x:si>
  <x:si>
    <x:t xml:space="preserve">https://www.eib.org/attachments/lucalli/20240237_070525_financial_report_2024_en.pdf</x:t>
  </x:si>
  <x:si>
    <x:t xml:space="preserve">Extract Note H.1 from each annual financial report.</x:t>
  </x:si>
  <x:si>
    <x:t xml:space="preserve">Complete capital extract (2023–24)</x:t>
  </x:si>
  <x:si>
    <x:t xml:space="preserve">Only EU member states are owners; statutory voting rules are not reducible to a single one-share/one-vote percentage.</x:t>
  </x:si>
  <x:si>
    <x:t xml:space="preserve">https://www.eib.org/en/publications/20240237-financial-report-2024</x:t>
  </x:si>
  <x:si>
    <x:t xml:space="preserve">Normalized country/member share observations</x:t>
  </x:si>
  <x:si>
    <x:t xml:space="preserve">As-of date</x:t>
  </x:si>
  <x:si>
    <x:t xml:space="preserve">Year</x:t>
  </x:si>
  <x:si>
    <x:t xml:space="preserve">Member</x:t>
  </x:si>
  <x:si>
    <x:t xml:space="preserve">Member type</x:t>
  </x:si>
  <x:si>
    <x:t xml:space="preserve">Member group</x:t>
  </x:si>
  <x:si>
    <x:t xml:space="preserve">Subscription units</x:t>
  </x:si>
  <x:si>
    <x:t xml:space="preserve">Denominator units</x:t>
  </x:si>
  <x:si>
    <x:t xml:space="preserve">Unit label</x:t>
  </x:si>
  <x:si>
    <x:t xml:space="preserve">Reported capital %</x:t>
  </x:si>
  <x:si>
    <x:t xml:space="preserve">Capital share %</x:t>
  </x:si>
  <x:si>
    <x:t xml:space="preserve">Votes</x:t>
  </x:si>
  <x:si>
    <x:t xml:space="preserve">Vote denominator</x:t>
  </x:si>
  <x:si>
    <x:t xml:space="preserve">Reported voting %</x:t>
  </x:si>
  <x:si>
    <x:t xml:space="preserve">Voting power %</x:t>
  </x:si>
  <x:si>
    <x:t xml:space="preserve">Source URL</x:t>
  </x:si>
  <x:si>
    <x:t xml:space="preserve">Source locator</x:t>
  </x:si>
  <x:si>
    <x:t xml:space="preserve">Data status</x:t>
  </x:si>
  <x:si>
    <x:t xml:space="preserve">Note</x:t>
  </x:si>
  <x:si>
    <x:t xml:space="preserve">Afghanistan</x:t>
  </x:si>
  <x:si>
    <x:t xml:space="preserve">Regional</x:t>
  </x:si>
  <x:si>
    <x:t xml:space="preserve">https://data.adb.org/media/7886/download</x:t>
  </x:si>
  <x:si>
    <x:t xml:space="preserve">Members, Capital Stock, and Voting Power (one-page annual table)</x:t>
  </x:si>
  <x:si>
    <x:t xml:space="preserve">Official extract</x:t>
  </x:si>
  <x:si>
    <x:t xml:space="preserve">ADB voting power includes basic votes and proportional share votes.</x:t>
  </x:si>
  <x:si>
    <x:t xml:space="preserve">Armenia</x:t>
  </x:si>
  <x:si>
    <x:t xml:space="preserve">Australia</x:t>
  </x:si>
  <x:si>
    <x:t xml:space="preserve">Azerbaijan</x:t>
  </x:si>
  <x:si>
    <x:t xml:space="preserve">Bangladesh</x:t>
  </x:si>
  <x:si>
    <x:t xml:space="preserve">Bhutan</x:t>
  </x:si>
  <x:si>
    <x:t xml:space="preserve">Brunei Darussalam</x:t>
  </x:si>
  <x:si>
    <x:t xml:space="preserve">Cambodia</x:t>
  </x:si>
  <x:si>
    <x:t xml:space="preserve">China, People's Republic of</x:t>
  </x:si>
  <x:si>
    <x:t xml:space="preserve">Cook Islands</x:t>
  </x:si>
  <x:si>
    <x:t xml:space="preserve">Fiji</x:t>
  </x:si>
  <x:si>
    <x:t xml:space="preserve">Georgia</x:t>
  </x:si>
  <x:si>
    <x:t xml:space="preserve">Hong Kong, China</x:t>
  </x:si>
  <x:si>
    <x:t xml:space="preserve">India</x:t>
  </x:si>
  <x:si>
    <x:t xml:space="preserve">Indonesia</x:t>
  </x:si>
  <x:si>
    <x:t xml:space="preserve">Japan</x:t>
  </x:si>
  <x:si>
    <x:t xml:space="preserve">Kazakhstan</x:t>
  </x:si>
  <x:si>
    <x:t xml:space="preserve">Kiribati</x:t>
  </x:si>
  <x:si>
    <x:t xml:space="preserve">Korea, Republic of</x:t>
  </x:si>
  <x:si>
    <x:t xml:space="preserve">Kyrgyz Republic</x:t>
  </x:si>
  <x:si>
    <x:t xml:space="preserve">Lao People's Democratic Republic</x:t>
  </x:si>
  <x:si>
    <x:t xml:space="preserve">Malaysia</x:t>
  </x:si>
  <x:si>
    <x:t xml:space="preserve">Maldives</x:t>
  </x:si>
  <x:si>
    <x:t xml:space="preserve">Marshall Islands</x:t>
  </x:si>
  <x:si>
    <x:t xml:space="preserve">Micronesia, Federated States of</x:t>
  </x:si>
  <x:si>
    <x:t xml:space="preserve">Mongolia</x:t>
  </x:si>
  <x:si>
    <x:t xml:space="preserve">Myanmar</x:t>
  </x:si>
  <x:si>
    <x:t xml:space="preserve">Nauru</x:t>
  </x:si>
  <x:si>
    <x:t xml:space="preserve">Nepal</x:t>
  </x:si>
  <x:si>
    <x:t xml:space="preserve">New Zealand</x:t>
  </x:si>
  <x:si>
    <x:t xml:space="preserve">Niue</x:t>
  </x:si>
  <x:si>
    <x:t xml:space="preserve">Pakistan</x:t>
  </x:si>
  <x:si>
    <x:t xml:space="preserve">Palau</x:t>
  </x:si>
  <x:si>
    <x:t xml:space="preserve">Papua New Guinea</x:t>
  </x:si>
  <x:si>
    <x:t xml:space="preserve">Philippines</x:t>
  </x:si>
  <x:si>
    <x:t xml:space="preserve">Samoa</x:t>
  </x:si>
  <x:si>
    <x:t xml:space="preserve">Singapore</x:t>
  </x:si>
  <x:si>
    <x:t xml:space="preserve">Solomon Islands</x:t>
  </x:si>
  <x:si>
    <x:t xml:space="preserve">Sri Lanka</x:t>
  </x:si>
  <x:si>
    <x:t xml:space="preserve">Taipei,China</x:t>
  </x:si>
  <x:si>
    <x:t xml:space="preserve">Tajikistan</x:t>
  </x:si>
  <x:si>
    <x:t xml:space="preserve">Thailand</x:t>
  </x:si>
  <x:si>
    <x:t xml:space="preserve">Timor-Leste</x:t>
  </x:si>
  <x:si>
    <x:t xml:space="preserve">Tonga</x:t>
  </x:si>
  <x:si>
    <x:t xml:space="preserve">Turkmenistan</x:t>
  </x:si>
  <x:si>
    <x:t xml:space="preserve">Tuvalu</x:t>
  </x:si>
  <x:si>
    <x:t xml:space="preserve">Uzbekistan</x:t>
  </x:si>
  <x:si>
    <x:t xml:space="preserve">Vanuatu</x:t>
  </x:si>
  <x:si>
    <x:t xml:space="preserve">Viet Nam</x:t>
  </x:si>
  <x:si>
    <x:t xml:space="preserve">Austria</x:t>
  </x:si>
  <x:si>
    <x:t xml:space="preserve">Nonregional</x:t>
  </x:si>
  <x:si>
    <x:t xml:space="preserve">Belgium</x:t>
  </x:si>
  <x:si>
    <x:t xml:space="preserve">Canada</x:t>
  </x:si>
  <x:si>
    <x:t xml:space="preserve">Denmark</x:t>
  </x:si>
  <x:si>
    <x:t xml:space="preserve">Finland</x:t>
  </x:si>
  <x:si>
    <x:t xml:space="preserve">France</x:t>
  </x:si>
  <x:si>
    <x:t xml:space="preserve">Germany</x:t>
  </x:si>
  <x:si>
    <x:t xml:space="preserve">Ireland</x:t>
  </x:si>
  <x:si>
    <x:t xml:space="preserve">Italy</x:t>
  </x:si>
  <x:si>
    <x:t xml:space="preserve">Luxembourg</x:t>
  </x:si>
  <x:si>
    <x:t xml:space="preserve">Netherlands</x:t>
  </x:si>
  <x:si>
    <x:t xml:space="preserve">Norway</x:t>
  </x:si>
  <x:si>
    <x:t xml:space="preserve">Portugal</x:t>
  </x:si>
  <x:si>
    <x:t xml:space="preserve">Spain</x:t>
  </x:si>
  <x:si>
    <x:t xml:space="preserve">Sweden</x:t>
  </x:si>
  <x:si>
    <x:t xml:space="preserve">Switzerland</x:t>
  </x:si>
  <x:si>
    <x:t xml:space="preserve">Türkiye</x:t>
  </x:si>
  <x:si>
    <x:t xml:space="preserve">United Kingdom</x:t>
  </x:si>
  <x:si>
    <x:t xml:space="preserve">United States</x:t>
  </x:si>
  <x:si>
    <x:t xml:space="preserve">https://data.adb.org/media/9551/download</x:t>
  </x:si>
  <x:si>
    <x:t xml:space="preserve">Subscribed shares</x:t>
  </x:si>
  <x:si>
    <x:t xml:space="preserve">Note C15, pp. 23–24</x:t>
  </x:si>
  <x:si>
    <x:t xml:space="preserve">Financial statements report subscribed shares; voting power is available on AIIB's rendered members page.</x:t>
  </x:si>
  <x:si>
    <x:t xml:space="preserve">Algeria</x:t>
  </x:si>
  <x:si>
    <x:t xml:space="preserve">Argentina</x:t>
  </x:si>
  <x:si>
    <x:t xml:space="preserve">Bahrain</x:t>
  </x:si>
  <x:si>
    <x:t xml:space="preserve">Belarus</x:t>
  </x:si>
  <x:si>
    <x:t xml:space="preserve">Benin</x:t>
  </x:si>
  <x:si>
    <x:t xml:space="preserve">Brazil</x:t>
  </x:si>
  <x:si>
    <x:t xml:space="preserve">Chile</x:t>
  </x:si>
  <x:si>
    <x:t xml:space="preserve">China</x:t>
  </x:si>
  <x:si>
    <x:t xml:space="preserve">Côte d’Ivoire</x:t>
  </x:si>
  <x:si>
    <x:t xml:space="preserve">Croatia</x:t>
  </x:si>
  <x:si>
    <x:t xml:space="preserve">Cyprus</x:t>
  </x:si>
  <x:si>
    <x:t xml:space="preserve">Ecuador</x:t>
  </x:si>
  <x:si>
    <x:t xml:space="preserve">Egypt</x:t>
  </x:si>
  <x:si>
    <x:t xml:space="preserve">Ethiopia</x:t>
  </x:si>
  <x:si>
    <x:t xml:space="preserve">Ghana</x:t>
  </x:si>
  <x:si>
    <x:t xml:space="preserve">Greece</x:t>
  </x:si>
  <x:si>
    <x:t xml:space="preserve">Guinea</x:t>
  </x:si>
  <x:si>
    <x:t xml:space="preserve">Hungary</x:t>
  </x:si>
  <x:si>
    <x:t xml:space="preserve">Iceland</x:t>
  </x:si>
  <x:si>
    <x:t xml:space="preserve">Iran</x:t>
  </x:si>
  <x:si>
    <x:t xml:space="preserve">Iraq</x:t>
  </x:si>
  <x:si>
    <x:t xml:space="preserve">Israel</x:t>
  </x:si>
  <x:si>
    <x:t xml:space="preserve">Jordan</x:t>
  </x:si>
  <x:si>
    <x:t xml:space="preserve">Korea</x:t>
  </x:si>
  <x:si>
    <x:t xml:space="preserve">Lao PDR</x:t>
  </x:si>
  <x:si>
    <x:t xml:space="preserve">Liberia</x:t>
  </x:si>
  <x:si>
    <x:t xml:space="preserve">Libya</x:t>
  </x:si>
  <x:si>
    <x:t xml:space="preserve">Madagascar</x:t>
  </x:si>
  <x:si>
    <x:t xml:space="preserve">Malta</x:t>
  </x:si>
  <x:si>
    <x:t xml:space="preserve">Morocco</x:t>
  </x:si>
  <x:si>
    <x:t xml:space="preserve">Oman</x:t>
  </x:si>
  <x:si>
    <x:t xml:space="preserve">Peru</x:t>
  </x:si>
  <x:si>
    <x:t xml:space="preserve">Poland</x:t>
  </x:si>
  <x:si>
    <x:t xml:space="preserve">Qatar</x:t>
  </x:si>
  <x:si>
    <x:t xml:space="preserve">Romania</x:t>
  </x:si>
  <x:si>
    <x:t xml:space="preserve">Russia</x:t>
  </x:si>
  <x:si>
    <x:t xml:space="preserve">Rwanda</x:t>
  </x:si>
  <x:si>
    <x:t xml:space="preserve">Saudi Arabia</x:t>
  </x:si>
  <x:si>
    <x:t xml:space="preserve">Serbia</x:t>
  </x:si>
  <x:si>
    <x:t xml:space="preserve">South Africa</x:t>
  </x:si>
  <x:si>
    <x:t xml:space="preserve">Sudan</x:t>
  </x:si>
  <x:si>
    <x:t xml:space="preserve">Togo</x:t>
  </x:si>
  <x:si>
    <x:t xml:space="preserve">Tunisia</x:t>
  </x:si>
  <x:si>
    <x:t xml:space="preserve">United Arab Emirates</x:t>
  </x:si>
  <x:si>
    <x:t xml:space="preserve">Uruguay</x:t>
  </x:si>
  <x:si>
    <x:t xml:space="preserve">https://www.afdb.org/sites/default/files/documents/board-documents/pouvoirs_de_vote_de_la_bad-31_juillet_2024_corr.1.pdf</x:t>
  </x:si>
  <x:si>
    <x:t xml:space="preserve">Voting power by member, pp. 1–2</x:t>
  </x:si>
  <x:si>
    <x:t xml:space="preserve">This extract is voting power, not subscribed-capital share. Member rows sum one vote above the printed regional subtotal; the official grand total is used as denominator.</x:t>
  </x:si>
  <x:si>
    <x:t xml:space="preserve">Angola</x:t>
  </x:si>
  <x:si>
    <x:t xml:space="preserve">Botswana</x:t>
  </x:si>
  <x:si>
    <x:t xml:space="preserve">Burkina Faso</x:t>
  </x:si>
  <x:si>
    <x:t xml:space="preserve">Burundi</x:t>
  </x:si>
  <x:si>
    <x:t xml:space="preserve">Cabo Verde</x:t>
  </x:si>
  <x:si>
    <x:t xml:space="preserve">Cameroon</x:t>
  </x:si>
  <x:si>
    <x:t xml:space="preserve">Central African Republic</x:t>
  </x:si>
  <x:si>
    <x:t xml:space="preserve">Chad</x:t>
  </x:si>
  <x:si>
    <x:t xml:space="preserve">Comoros</x:t>
  </x:si>
  <x:si>
    <x:t xml:space="preserve">Congo</x:t>
  </x:si>
  <x:si>
    <x:t xml:space="preserve">Democratic Republic of the Congo</x:t>
  </x:si>
  <x:si>
    <x:t xml:space="preserve">Djibouti</x:t>
  </x:si>
  <x:si>
    <x:t xml:space="preserve">Equatorial Guinea</x:t>
  </x:si>
  <x:si>
    <x:t xml:space="preserve">Eritrea</x:t>
  </x:si>
  <x:si>
    <x:t xml:space="preserve">Eswatini</x:t>
  </x:si>
  <x:si>
    <x:t xml:space="preserve">Gabon</x:t>
  </x:si>
  <x:si>
    <x:t xml:space="preserve">Gambia</x:t>
  </x:si>
  <x:si>
    <x:t xml:space="preserve">Guinea-Bissau</x:t>
  </x:si>
  <x:si>
    <x:t xml:space="preserve">Kenya</x:t>
  </x:si>
  <x:si>
    <x:t xml:space="preserve">Lesotho</x:t>
  </x:si>
  <x:si>
    <x:t xml:space="preserve">Malawi</x:t>
  </x:si>
  <x:si>
    <x:t xml:space="preserve">Mali</x:t>
  </x:si>
  <x:si>
    <x:t xml:space="preserve">Mauritania</x:t>
  </x:si>
  <x:si>
    <x:t xml:space="preserve">Mauritius</x:t>
  </x:si>
  <x:si>
    <x:t xml:space="preserve">Mozambique</x:t>
  </x:si>
  <x:si>
    <x:t xml:space="preserve">Namibia</x:t>
  </x:si>
  <x:si>
    <x:t xml:space="preserve">Niger</x:t>
  </x:si>
  <x:si>
    <x:t xml:space="preserve">Nigeria</x:t>
  </x:si>
  <x:si>
    <x:t xml:space="preserve">Sao Tome and Principe</x:t>
  </x:si>
  <x:si>
    <x:t xml:space="preserve">Senegal</x:t>
  </x:si>
  <x:si>
    <x:t xml:space="preserve">Seychelles</x:t>
  </x:si>
  <x:si>
    <x:t xml:space="preserve">Sierra Leone</x:t>
  </x:si>
  <x:si>
    <x:t xml:space="preserve">Somalia</x:t>
  </x:si>
  <x:si>
    <x:t xml:space="preserve">South Sudan</x:t>
  </x:si>
  <x:si>
    <x:t xml:space="preserve">Tanzania</x:t>
  </x:si>
  <x:si>
    <x:t xml:space="preserve">Uganda</x:t>
  </x:si>
  <x:si>
    <x:t xml:space="preserve">Zambia</x:t>
  </x:si>
  <x:si>
    <x:t xml:space="preserve">Zimbabwe</x:t>
  </x:si>
  <x:si>
    <x:t xml:space="preserve">Kuwait</x:t>
  </x:si>
  <x:si>
    <x:t xml:space="preserve">USD thousands, paid-in contribution</x:t>
  </x:si>
  <x:si>
    <x:t xml:space="preserve">Appendix I, pp. 81–82</x:t>
  </x:si>
  <x:si>
    <x:t xml:space="preserve">The appendix measures paid-in member contributions; subscribed callable and authorized capital are larger.</x:t>
  </x:si>
  <x:si>
    <x:t xml:space="preserve">Syria</x:t>
  </x:si>
  <x:si>
    <x:t xml:space="preserve">Palestine</x:t>
  </x:si>
  <x:si>
    <x:t xml:space="preserve">Lebanon</x:t>
  </x:si>
  <x:si>
    <x:t xml:space="preserve">Jamaica</x:t>
  </x:si>
  <x:si>
    <x:t xml:space="preserve">Note 19(c), pp. 106–109</x:t>
  </x:si>
  <x:si>
    <x:t xml:space="preserve">Trinidad and Tobago</x:t>
  </x:si>
  <x:si>
    <x:t xml:space="preserve">Bahamas</x:t>
  </x:si>
  <x:si>
    <x:t xml:space="preserve">Guyana</x:t>
  </x:si>
  <x:si>
    <x:t xml:space="preserve">Colombia</x:t>
  </x:si>
  <x:si>
    <x:t xml:space="preserve">Mexico</x:t>
  </x:si>
  <x:si>
    <x:t xml:space="preserve">Venezuela</x:t>
  </x:si>
  <x:si>
    <x:t xml:space="preserve">Barbados</x:t>
  </x:si>
  <x:si>
    <x:t xml:space="preserve">Suriname</x:t>
  </x:si>
  <x:si>
    <x:t xml:space="preserve">Belize</x:t>
  </x:si>
  <x:si>
    <x:t xml:space="preserve">Dominica</x:t>
  </x:si>
  <x:si>
    <x:t xml:space="preserve">Grenada</x:t>
  </x:si>
  <x:si>
    <x:t xml:space="preserve">St. Lucia</x:t>
  </x:si>
  <x:si>
    <x:t xml:space="preserve">St. Vincent and the Grenadines</x:t>
  </x:si>
  <x:si>
    <x:t xml:space="preserve">Antigua and Barbuda</x:t>
  </x:si>
  <x:si>
    <x:t xml:space="preserve">St. Kitts and Nevis</x:t>
  </x:si>
  <x:si>
    <x:t xml:space="preserve">Anguilla</x:t>
  </x:si>
  <x:si>
    <x:t xml:space="preserve">Territory</x:t>
  </x:si>
  <x:si>
    <x:t xml:space="preserve">Regional territory</x:t>
  </x:si>
  <x:si>
    <x:t xml:space="preserve">Five UK territories are one composite voting member; see the separate composite voting row.</x:t>
  </x:si>
  <x:si>
    <x:t xml:space="preserve">Montserrat</x:t>
  </x:si>
  <x:si>
    <x:t xml:space="preserve">British Virgin Islands</x:t>
  </x:si>
  <x:si>
    <x:t xml:space="preserve">Cayman Islands</x:t>
  </x:si>
  <x:si>
    <x:t xml:space="preserve">Turks and Caicos Islands</x:t>
  </x:si>
  <x:si>
    <x:t xml:space="preserve">Haiti</x:t>
  </x:si>
  <x:si>
    <x:t xml:space="preserve">UK Overseas Territories (composite voting member)</x:t>
  </x:si>
  <x:si>
    <x:t xml:space="preserve">Composite member</x:t>
  </x:si>
  <x:si>
    <x:t xml:space="preserve">Regional territory group</x:t>
  </x:si>
  <x:si>
    <x:t xml:space="preserve">Composite voting member for Anguilla, Montserrat, British Virgin Islands, Cayman Islands, and Turks and Caicos Islands.</x:t>
  </x:si>
  <x:si>
    <x:t xml:space="preserve">Albania</x:t>
  </x:si>
  <x:si>
    <x:t xml:space="preserve">Country/economy shareholder</x:t>
  </x:si>
  <x:si>
    <x:t xml:space="preserve">EUR thousands, capital subscription</x:t>
  </x:si>
  <x:si>
    <x:t xml:space="preserve">Rendered shareholder table; accessed 18 Aug 2026</x:t>
  </x:si>
  <x:si>
    <x:t xml:space="preserve">Current page; formal as-of date not stated</x:t>
  </x:si>
  <x:si>
    <x:t xml:space="preserve">The denominator includes the European Union and European Investment Bank as shareholders.</x:t>
  </x:si>
  <x:si>
    <x:t xml:space="preserve">Bosnia and Herzegovina</x:t>
  </x:si>
  <x:si>
    <x:t xml:space="preserve">Bulgaria</x:t>
  </x:si>
  <x:si>
    <x:t xml:space="preserve">Czechia</x:t>
  </x:si>
  <x:si>
    <x:t xml:space="preserve">Estonia</x:t>
  </x:si>
  <x:si>
    <x:t xml:space="preserve">Institutional shareholder</x:t>
  </x:si>
  <x:si>
    <x:t xml:space="preserve">European Union</x:t>
  </x:si>
  <x:si>
    <x:t xml:space="preserve">Kosovo</x:t>
  </x:si>
  <x:si>
    <x:t xml:space="preserve">Economy</x:t>
  </x:si>
  <x:si>
    <x:t xml:space="preserve">Latvia</x:t>
  </x:si>
  <x:si>
    <x:t xml:space="preserve">Liechtenstein</x:t>
  </x:si>
  <x:si>
    <x:t xml:space="preserve">Lithuania</x:t>
  </x:si>
  <x:si>
    <x:t xml:space="preserve">Moldova</x:t>
  </x:si>
  <x:si>
    <x:t xml:space="preserve">Montenegro</x:t>
  </x:si>
  <x:si>
    <x:t xml:space="preserve">North Macedonia</x:t>
  </x:si>
  <x:si>
    <x:t xml:space="preserve">Russian Federation</x:t>
  </x:si>
  <x:si>
    <x:t xml:space="preserve">San Marino</x:t>
  </x:si>
  <x:si>
    <x:t xml:space="preserve">Slovak Republic</x:t>
  </x:si>
  <x:si>
    <x:t xml:space="preserve">Slovenia</x:t>
  </x:si>
  <x:si>
    <x:t xml:space="preserve">Ukraine</x:t>
  </x:si>
  <x:si>
    <x:t xml:space="preserve">United States of America</x:t>
  </x:si>
  <x:si>
    <x:t xml:space="preserve">Regional developing</x:t>
  </x:si>
  <x:si>
    <x:t xml:space="preserve">Subscribed voting shares</x:t>
  </x:si>
  <x:si>
    <x:t xml:space="preserve">Schedule I-4, p. 126</x:t>
  </x:si>
  <x:si>
    <x:t xml:space="preserve">Ordinary Capital only. Each member has 135 basic votes plus one vote per voting share.</x:t>
  </x:si>
  <x:si>
    <x:t xml:space="preserve">Bolivia</x:t>
  </x:si>
  <x:si>
    <x:t xml:space="preserve">Costa Rica</x:t>
  </x:si>
  <x:si>
    <x:t xml:space="preserve">Dominican Republic</x:t>
  </x:si>
  <x:si>
    <x:t xml:space="preserve">El Salvador</x:t>
  </x:si>
  <x:si>
    <x:t xml:space="preserve">Guatemala</x:t>
  </x:si>
  <x:si>
    <x:t xml:space="preserve">Honduras</x:t>
  </x:si>
  <x:si>
    <x:t xml:space="preserve">Nicaragua</x:t>
  </x:si>
  <x:si>
    <x:t xml:space="preserve">Panama</x:t>
  </x:si>
  <x:si>
    <x:t xml:space="preserve">Paraguay</x:t>
  </x:si>
  <x:si>
    <x:t xml:space="preserve">Approx. ID million (page display rounded)</x:t>
  </x:si>
  <x:si>
    <x:t xml:space="preserve">Member countries capital table; accessed 18 Aug 2026</x:t>
  </x:si>
  <x:si>
    <x:t xml:space="preserve">Capital subscription amounts are displayed in rounded billions/millions; the reported percentage is used.</x:t>
  </x:si>
  <x:si>
    <x:t xml:space="preserve">Yemen</x:t>
  </x:si>
  <x:si>
    <x:t xml:space="preserve">Founding member</x:t>
  </x:si>
  <x:si>
    <x:t xml:space="preserve">Shareholding structure, investor presentation</x:t>
  </x:si>
  <x:si>
    <x:t xml:space="preserve">Prospective members are excluded until accession/subscription becomes effective; published percentages are rounded.</x:t>
  </x:si>
  <x:si>
    <x:t xml:space="preserve">New member</x:t>
  </x:si>
  <x:si>
    <x:t xml:space="preserve">EU member state</x:t>
  </x:si>
  <x:si>
    <x:t xml:space="preserve">EUR, subscribed capital</x:t>
  </x:si>
  <x:si>
    <x:t xml:space="preserve">Note H.1, p. 68</x:t>
  </x:si>
  <x:si>
    <x:t xml:space="preserve">Capital subscription is the comparable ownership measure; EIB statutory voting rules are not a simple one-for-one share percentage.</x:t>
  </x:si>
  <x:si>
    <x:t xml:space="preserve">Czech Republic</x:t>
  </x:si>
  <x:si>
    <x:t xml:space="preserve">Slovakia</x:t>
  </x:si>
  <x:si>
    <x:t xml:space="preserve">Live official API access: IBRD and IDA</x:t>
  </x:si>
  <x:si>
    <x:t xml:space="preserve">These official World Bank Finances One datasets are the cleanest current access route. They publish the latest snapshot, so archive responses for panel work.</x:t>
  </x:si>
  <x:si>
    <x:t xml:space="preserve">Dataset / data as of</x:t>
  </x:si>
  <x:si>
    <x:t xml:space="preserve">Dataset page</x:t>
  </x:si>
  <x:si>
    <x:t xml:space="preserve">API explorer</x:t>
  </x:si>
  <x:si>
    <x:t xml:space="preserve">Bulk JSON</x:t>
  </x:si>
  <x:si>
    <x:t xml:space="preserve">Sample API request</x:t>
  </x:si>
  <x:si>
    <x:t xml:space="preserve">Key fields</x:t>
  </x:si>
  <x:si>
    <x:t xml:space="preserve">Panel caveat</x:t>
  </x:si>
  <x:si>
    <x:t xml:space="preserve">IBRD Subscriptions and Voting Power of Member Countries
Data as of 2026-06-30</x:t>
  </x:si>
  <x:si>
    <x:t xml:space="preserve">https://financesonefiles.worldbank.org/f-one/DS00051/RS00053/IBRD_Subscriptions_and_Voting_Power_of_Member_Countries.json</x:t>
  </x:si>
  <x:si>
    <x:t xml:space="preserve">https://datacatalogapi.worldbank.org/dexapps/fone/api/apiservice?datasetId=DS00051&amp;resourceId=RS00053&amp;top=1000&amp;type=json</x:t>
  </x:si>
  <x:si>
    <x:t xml:space="preserve">member; subscription_amount; percentage_of_total_subscriptions; number_of_votes; percentage_of_total_voting_power; as_of_date</x:t>
  </x:si>
  <x:si>
    <x:t xml:space="preserve">Latest snapshot only. Save dated copies if you need a panel.</x:t>
  </x:si>
  <x:si>
    <x:t xml:space="preserve">IDA Voting Power of Member Countries
Data as of 2026-03-31</x:t>
  </x:si>
  <x:si>
    <x:t xml:space="preserve">https://financesonefiles.worldbank.org/f-one/DS00049/RS00051/IDA_Voting_Power_of_Member_Countries.json</x:t>
  </x:si>
  <x:si>
    <x:t xml:space="preserve">https://datacatalogapi.worldbank.org/dexapps/fone/api/apiservice?datasetId=DS00049&amp;resourceId=RS00051&amp;top=1000&amp;type=json</x:t>
  </x:si>
  <x:si>
    <x:t xml:space="preserve">member; number_of_votes; percentage_of_total_voting_power; as_of_date</x:t>
  </x:si>
  <x:si>
    <x:t xml:space="preserve">Voting power only; not directly comparable to subscribed-capital share.</x:t>
  </x:si>
</x:sst>
</file>

<file path=xl/styles.xml><?xml version="1.0" encoding="utf-8"?>
<x:styleSheet xmlns:x="http://schemas.openxmlformats.org/spreadsheetml/2006/main">
  <x:numFmts count="8">
    <x:numFmt numFmtId="164" formatCode="yyyy\-mm\-dd"/>
    <x:numFmt numFmtId="165" formatCode="0.000%"/>
    <x:numFmt numFmtId="200" formatCode="#,##0"/>
    <x:numFmt numFmtId="201" formatCode="yyyy-mm-dd"/>
    <x:numFmt numFmtId="202" formatCode="#,##0.00"/>
    <x:numFmt numFmtId="203" formatCode="m/d/yy"/>
    <x:numFmt numFmtId="204" formatCode="0.00"/>
    <x:numFmt numFmtId="205" formatCode="0"/>
  </x:numFmts>
  <x:fonts count="2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2B3A"/>
      <x:name val="Carlito"/>
    </x:font>
    <x:font>
      <x:b/>
      <x:sz val="11"/>
      <x:color rgb="FFFFFFFF"/>
      <x:name val="Carlito"/>
    </x:font>
    <x:font>
      <x:b/>
      <x:sz val="18"/>
      <x:color rgb="FF0B2E4F"/>
      <x:name val="Carlito"/>
    </x:font>
    <x:font>
      <x:b/>
      <x:sz val="12"/>
      <x:color rgb="FFFFFFFF"/>
      <x:name val="Carlito"/>
    </x:font>
    <x:font>
      <x:sz val="11"/>
      <x:color rgb="FF172B3A"/>
      <x:name val="Carlito"/>
    </x:font>
    <x:font>
      <x:b/>
      <x:sz val="11"/>
      <x:color rgb="FF0B2E4F"/>
      <x:name val="Carlito"/>
    </x:font>
    <x:font>
      <x:b/>
      <x:sz val="11"/>
      <x:color rgb="FFA16207"/>
      <x:name val="Carlito"/>
    </x:font>
    <x:font>
      <x:sz val="11"/>
      <x:color rgb="FF2563EB"/>
      <x:name val="Carlito"/>
    </x:font>
    <x:font>
      <x:sz val="11"/>
      <x:name val="Carlito"/>
    </x:font>
    <x:font>
      <x:sz val="11"/>
      <x:color theme="1"/>
      <x:name val="Carlito"/>
    </x:font>
    <x:font>
      <x:sz val="11"/>
      <x:color theme="10"/>
      <x:name val="Carlito"/>
    </x:font>
    <x:font>
      <x:b/>
      <x:sz val="11"/>
      <x:color theme="0"/>
      <x:name val="Carlito"/>
    </x:font>
    <x:font>
      <x:sz val="8"/>
      <x:name val="Carlito"/>
    </x:font>
    <x:font>
      <x:b/>
      <x:sz val="14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9"/>
      <x:color rgb="FF17324D"/>
      <x:name val="Carlito"/>
    </x:font>
    <x:font>
      <x:b/>
      <x:sz val="11"/>
      <x:color rgb="FF17324D"/>
      <x:name val="Carlito"/>
    </x:font>
    <x:font>
      <x:b/>
      <x:sz val="9"/>
      <x:color rgb="FF17324D"/>
      <x:name val="Carlito"/>
    </x:font>
    <x:font>
      <x:b/>
      <x:sz val="18"/>
      <x:color rgb="FF0B3555"/>
      <x:name val="Carlito"/>
    </x:font>
    <x:font>
      <x:i/>
      <x:sz val="9"/>
      <x:color rgb="FF17324D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E7F4F7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FFF7D6"/>
      </x:patternFill>
    </x:fill>
    <x:fill>
      <x:patternFill patternType="solid">
        <x:fgColor rgb="FFF0F9FF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rgb="FF0B3555"/>
      </x:patternFill>
    </x:fill>
    <x:fill>
      <x:patternFill patternType="solid">
        <x:fgColor rgb="FFEAF6FA"/>
      </x:patternFill>
    </x:fill>
    <x:fill>
      <x:patternFill patternType="solid">
        <x:fgColor rgb="FF147E9B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4CE"/>
      </x:patternFill>
    </x:fill>
    <x:fill>
      <x:patternFill patternType="solid">
        <x:fgColor rgb="FFFFFFFF"/>
      </x:patternFill>
    </x:fill>
    <x:fill>
      <x:patternFill patternType="solid">
        <x:fgColor rgb="FF0B3555"/>
      </x:patternFill>
    </x:fill>
    <x:fill>
      <x:patternFill patternType="solid">
        <x:fgColor rgb="FFEAF6FA"/>
      </x:patternFill>
    </x:fill>
    <x:fill>
      <x:patternFill patternType="solid">
        <x:fgColor rgb="FF147E9B"/>
      </x:patternFill>
    </x:fill>
    <x:fill>
      <x:patternFill patternType="solid">
        <x:fgColor rgb="FFFFF4CE"/>
      </x:patternFill>
    </x:fill>
  </x:fills>
  <x:borders count="48">
    <x:border/>
    <x:border>
      <x:left style="thin">
        <x:color rgb="FFD6E1E8"/>
      </x:left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  <x:border>
      <x:left style="thin">
        <x:color rgb="FFD6E1E8"/>
      </x:left>
      <x:top style="thin">
        <x:color rgb="FFD6E1E8"/>
      </x:top>
      <x:bottom style="thin">
        <x:color rgb="FFD6E1E8"/>
      </x:bottom>
    </x:border>
    <x:border>
      <x:top style="thin">
        <x:color rgb="FFD6E1E8"/>
      </x:top>
      <x:bottom style="thin">
        <x:color rgb="FFD6E1E8"/>
      </x:bottom>
    </x:border>
    <x:border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medium">
        <x:color rgb="FFF2C94C"/>
      </x:left>
      <x:top style="medium">
        <x:color rgb="FFF2C94C"/>
      </x:top>
    </x:border>
    <x:border>
      <x:top style="medium">
        <x:color rgb="FFF2C94C"/>
      </x:top>
    </x:border>
    <x:border>
      <x:right style="medium">
        <x:color rgb="FFF2C94C"/>
      </x:right>
      <x:top style="medium">
        <x:color rgb="FFF2C94C"/>
      </x:top>
    </x:border>
    <x:border>
      <x:left style="medium">
        <x:color rgb="FFF2C94C"/>
      </x:left>
      <x:bottom style="medium">
        <x:color rgb="FFF2C94C"/>
      </x:bottom>
    </x:border>
    <x:border>
      <x:bottom style="medium">
        <x:color rgb="FFF2C94C"/>
      </x:bottom>
    </x:border>
    <x:border>
      <x:right style="medium">
        <x:color rgb="FFF2C94C"/>
      </x:right>
      <x:bottom style="medium">
        <x:color rgb="FFF2C94C"/>
      </x:bottom>
    </x:border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left style="thin">
        <x:color theme="4" tint="0.39998"/>
      </x:left>
      <x:bottom style="thin">
        <x:color theme="4" tint="0.39998"/>
      </x:bottom>
    </x:border>
    <x:border>
      <x:bottom style="thin">
        <x:color theme="4" tint="0.39998"/>
      </x:bottom>
    </x:border>
    <x:border>
      <x:right style="thin">
        <x:color theme="4" tint="0.39998"/>
      </x:right>
      <x:bottom style="thin">
        <x:color theme="4" tint="0.39998"/>
      </x:bottom>
    </x:border>
    <x:border>
      <x:top style="thin">
        <x:color theme="4" tint="0.39998"/>
      </x:top>
    </x:border>
    <x:border>
      <x:left style="thin">
        <x:color theme="4" tint="0.39998"/>
      </x:left>
      <x:top style="thin">
        <x:color theme="4" tint="0.39998"/>
      </x:top>
    </x:border>
    <x:border>
      <x:right style="thin">
        <x:color theme="4" tint="0.39998"/>
      </x:right>
      <x:top style="thin">
        <x:color theme="4" tint="0.39998"/>
      </x:top>
    </x:border>
    <x:border/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left style="thin">
        <x:color theme="4" tint="0.39998"/>
      </x:left>
      <x:bottom style="thin">
        <x:color theme="4" tint="0.39998"/>
      </x:bottom>
    </x:border>
    <x:border>
      <x:bottom style="thin">
        <x:color theme="4" tint="0.39998"/>
      </x:bottom>
    </x:border>
    <x:border>
      <x:right style="thin">
        <x:color theme="4" tint="0.39998"/>
      </x:right>
      <x:bottom style="thin">
        <x:color theme="4" tint="0.39998"/>
      </x:bottom>
    </x:border>
    <x:border>
      <x:left style="thin">
        <x:color theme="4" tint="0.39998"/>
      </x:left>
      <x:top style="thin">
        <x:color theme="4" tint="0.39998"/>
      </x:top>
    </x:border>
    <x:border>
      <x:top style="thin">
        <x:color theme="4" tint="0.39998"/>
      </x:top>
    </x:border>
    <x:border>
      <x:right style="thin">
        <x:color theme="4" tint="0.39998"/>
      </x:right>
      <x:top style="thin">
        <x:color theme="4" tint="0.39998"/>
      </x:top>
    </x:border>
    <x:border>
      <x:left style="medium">
        <x:color rgb="FFF2C94C"/>
      </x:left>
      <x:top style="medium">
        <x:color rgb="FFF2C94C"/>
      </x:top>
    </x:border>
    <x:border>
      <x:top style="medium">
        <x:color rgb="FFF2C94C"/>
      </x:top>
    </x:border>
    <x:border>
      <x:right style="medium">
        <x:color rgb="FFF2C94C"/>
      </x:right>
      <x:top style="medium">
        <x:color rgb="FFF2C94C"/>
      </x:top>
    </x:border>
    <x:border>
      <x:left style="medium">
        <x:color rgb="FFF2C94C"/>
      </x:left>
      <x:bottom style="medium">
        <x:color rgb="FFF2C94C"/>
      </x:bottom>
    </x:border>
    <x:border>
      <x:bottom style="medium">
        <x:color rgb="FFF2C94C"/>
      </x:bottom>
    </x:border>
    <x:border>
      <x:right style="medium">
        <x:color rgb="FFF2C94C"/>
      </x:right>
      <x:bottom style="medium">
        <x:color rgb="FFF2C94C"/>
      </x:bottom>
    </x:border>
    <x:border>
      <x:left style="thin">
        <x:color rgb="FFD6E1E8"/>
      </x:left>
      <x:top style="thin">
        <x:color rgb="FFD6E1E8"/>
      </x:top>
      <x:bottom style="thin">
        <x:color rgb="FFD6E1E8"/>
      </x:bottom>
    </x:border>
    <x:border>
      <x:top style="thin">
        <x:color rgb="FFD6E1E8"/>
      </x:top>
      <x:bottom style="thin">
        <x:color rgb="FFD6E1E8"/>
      </x:bottom>
    </x:border>
    <x:border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D6E1E8"/>
      </x:left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</x:borders>
  <x:cellStyleXfs count="3">
    <x:xf numFmtId="0" fontId="0" fillId="0" borderId="0"/>
    <x:xf numFmtId="9" fontId="10" fillId="0" borderId="0" applyFont="0" applyFill="0" applyBorder="0" applyAlignment="0" applyProtection="0"/>
    <x:xf numFmtId="0" fontId="12" fillId="0" borderId="0" applyNumberFormat="0" applyFill="0" applyBorder="0" applyAlignment="0" applyProtection="0"/>
  </x:cellStyleXfs>
  <x:cellXfs count="523">
    <x:xf numFmtId="0" fontId="0" fillId="0" borderId="0" xfId="0"/>
    <x:xf numFmtId="0" fontId="3" fillId="4" borderId="8" xfId="0" applyFont="1" applyFill="1" applyBorder="1" applyAlignment="1">
      <x:alignment vertical="center" wrapText="1"/>
    </x:xf>
    <x:xf numFmtId="0" fontId="0" fillId="0" borderId="8" xfId="0" applyBorder="1" applyAlignment="1">
      <x:alignment vertical="top" wrapText="1"/>
    </x:xf>
    <x:xf numFmtId="0" fontId="9" fillId="0" borderId="8" xfId="0" applyFont="1" applyBorder="1" applyAlignment="1">
      <x:alignment vertical="top" wrapText="1"/>
    </x:xf>
    <x:xf numFmtId="1" fontId="0" fillId="0" borderId="8" xfId="0" applyNumberFormat="1" applyBorder="1" applyAlignment="1">
      <x:alignment vertical="top" wrapText="1"/>
    </x:xf>
    <x:xf numFmtId="0" fontId="0" fillId="0" borderId="8" xfId="0" applyBorder="1" applyAlignment="1">
      <x:alignment vertical="top"/>
    </x:xf>
    <x:xf numFmtId="164" fontId="0" fillId="0" borderId="8" xfId="0" applyNumberFormat="1" applyBorder="1" applyAlignment="1">
      <x:alignment vertical="top"/>
    </x:xf>
    <x:xf numFmtId="165" fontId="0" fillId="0" borderId="8" xfId="0" applyNumberFormat="1" applyBorder="1" applyAlignment="1">
      <x:alignment vertical="top"/>
    </x:xf>
    <x:xf numFmtId="3" fontId="0" fillId="0" borderId="8" xfId="0" applyNumberFormat="1" applyBorder="1" applyAlignment="1">
      <x:alignment vertical="top"/>
    </x:xf>
    <x:xf numFmtId="165" fontId="0" fillId="8" borderId="8" xfId="0" applyNumberFormat="1" applyFill="1" applyBorder="1" applyAlignment="1">
      <x:alignment vertical="top"/>
    </x:xf>
    <x:xf numFmtId="0" fontId="9" fillId="0" borderId="8" xfId="0" applyFont="1" applyBorder="1" applyAlignment="1">
      <x:alignment vertical="top"/>
    </x:xf>
    <x:xf numFmtId="164" fontId="0" fillId="0" borderId="8" xfId="0" applyNumberFormat="1" applyBorder="1" applyAlignment="1">
      <x:alignment vertical="top" wrapText="1"/>
    </x:xf>
    <x:xf numFmtId="165" fontId="0" fillId="0" borderId="8" xfId="0" applyNumberFormat="1" applyBorder="1" applyAlignment="1">
      <x:alignment vertical="top" wrapText="1"/>
    </x:xf>
    <x:xf numFmtId="0" fontId="12" fillId="0" borderId="8" xfId="2" applyBorder="1" applyAlignment="1">
      <x:alignment vertical="top" wrapText="1"/>
    </x:xf>
    <x:xf numFmtId="0" fontId="11" fillId="0" borderId="15" xfId="0" applyFont="1" applyBorder="1"/>
    <x:xf numFmtId="0" fontId="11" fillId="0" borderId="16" xfId="0" applyFont="1" applyBorder="1"/>
    <x:xf numFmtId="0" fontId="11" fillId="0" borderId="17" xfId="0" applyFont="1" applyBorder="1"/>
    <x:xf numFmtId="2" fontId="0" fillId="0" borderId="0" xfId="0" applyNumberFormat="1"/>
    <x:xf numFmtId="14" fontId="0" fillId="0" borderId="0" xfId="0" applyNumberFormat="1"/>
    <x:xf numFmtId="0" fontId="13" fillId="10" borderId="18" xfId="0" applyFont="1" applyFill="1" applyBorder="1"/>
    <x:xf numFmtId="0" fontId="13" fillId="10" borderId="19" xfId="0" applyFont="1" applyFill="1" applyBorder="1"/>
    <x:xf numFmtId="0" fontId="13" fillId="10" borderId="20" xfId="0" applyFont="1" applyFill="1" applyBorder="1"/>
    <x:xf numFmtId="2" fontId="0" fillId="0" borderId="0" xfId="1" applyNumberFormat="1" applyFont="1"/>
    <x:xf numFmtId="0" fontId="13" fillId="10" borderId="22" xfId="0" applyFont="1" applyFill="1" applyBorder="1"/>
    <x:xf numFmtId="0" fontId="13" fillId="10" borderId="21" xfId="0" applyFont="1" applyFill="1" applyBorder="1"/>
    <x:xf numFmtId="0" fontId="13" fillId="10" borderId="23" xfId="0" applyFont="1" applyFill="1" applyBorder="1"/>
    <x:xf numFmtId="0" fontId="11" fillId="9" borderId="22" xfId="0" applyFont="1" applyFill="1" applyBorder="1"/>
    <x:xf numFmtId="0" fontId="11" fillId="9" borderId="21" xfId="0" applyFont="1" applyFill="1" applyBorder="1"/>
    <x:xf numFmtId="2" fontId="11" fillId="9" borderId="21" xfId="0" applyNumberFormat="1" applyFont="1" applyFill="1" applyBorder="1"/>
    <x:xf numFmtId="14" fontId="11" fillId="9" borderId="21" xfId="0" applyNumberFormat="1" applyFont="1" applyFill="1" applyBorder="1"/>
    <x:xf numFmtId="0" fontId="11" fillId="9" borderId="23" xfId="0" applyFont="1" applyFill="1" applyBorder="1"/>
    <x:xf numFmtId="0" fontId="11" fillId="0" borderId="22" xfId="0" applyFont="1" applyBorder="1"/>
    <x:xf numFmtId="0" fontId="11" fillId="0" borderId="21" xfId="0" applyFont="1" applyBorder="1"/>
    <x:xf numFmtId="2" fontId="11" fillId="0" borderId="21" xfId="0" applyNumberFormat="1" applyFont="1" applyBorder="1"/>
    <x:xf numFmtId="14" fontId="11" fillId="0" borderId="21" xfId="0" applyNumberFormat="1" applyFont="1" applyBorder="1"/>
    <x:xf numFmtId="0" fontId="11" fillId="0" borderId="23" xfId="0" applyFont="1" applyBorder="1"/>
    <x:xf numFmtId="2" fontId="11" fillId="0" borderId="17" xfId="0" applyNumberFormat="1" applyFont="1" applyBorder="1"/>
    <x:xf numFmtId="0" fontId="8" fillId="7" borderId="9" xfId="0" applyFont="1" applyFill="1" applyBorder="1" applyAlignment="1">
      <x:alignment vertical="center" wrapText="1"/>
    </x:xf>
    <x:xf numFmtId="0" fontId="8" fillId="7" borderId="10" xfId="0" applyFont="1" applyFill="1" applyBorder="1" applyAlignment="1">
      <x:alignment vertical="center" wrapText="1"/>
    </x:xf>
    <x:xf numFmtId="0" fontId="8" fillId="7" borderId="11" xfId="0" applyFont="1" applyFill="1" applyBorder="1" applyAlignment="1">
      <x:alignment vertical="center" wrapText="1"/>
    </x:xf>
    <x:xf numFmtId="0" fontId="8" fillId="7" borderId="12" xfId="0" applyFont="1" applyFill="1" applyBorder="1" applyAlignment="1">
      <x:alignment vertical="center" wrapText="1"/>
    </x:xf>
    <x:xf numFmtId="0" fontId="8" fillId="7" borderId="13" xfId="0" applyFont="1" applyFill="1" applyBorder="1" applyAlignment="1">
      <x:alignment vertical="center" wrapText="1"/>
    </x:xf>
    <x:xf numFmtId="0" fontId="8" fillId="7" borderId="14" xfId="0" applyFont="1" applyFill="1" applyBorder="1" applyAlignment="1">
      <x:alignment vertical="center" wrapText="1"/>
    </x:xf>
    <x:xf numFmtId="0" fontId="7" fillId="3" borderId="8" xfId="0" applyFont="1" applyFill="1" applyBorder="1" applyAlignment="1">
      <x:alignment vertical="center" wrapText="1"/>
    </x:xf>
    <x:xf numFmtId="0" fontId="6" fillId="5" borderId="8" xfId="0" applyFont="1" applyFill="1" applyBorder="1" applyAlignment="1">
      <x:alignment vertical="center" wrapText="1"/>
    </x:xf>
    <x:xf numFmtId="0" fontId="6" fillId="6" borderId="5" xfId="0" applyFont="1" applyFill="1" applyBorder="1" applyAlignment="1">
      <x:alignment vertical="center" wrapText="1"/>
    </x:xf>
    <x:xf numFmtId="0" fontId="6" fillId="6" borderId="6" xfId="0" applyFont="1" applyFill="1" applyBorder="1" applyAlignment="1">
      <x:alignment vertical="center" wrapText="1"/>
    </x:xf>
    <x:xf numFmtId="0" fontId="6" fillId="6" borderId="7" xfId="0" applyFont="1" applyFill="1" applyBorder="1" applyAlignment="1">
      <x:alignment vertical="center" wrapText="1"/>
    </x:xf>
    <x:xf numFmtId="0" fontId="5" fillId="2" borderId="0" xfId="0" applyFont="1" applyFill="1"/>
    <x:xf numFmtId="0" fontId="6" fillId="5" borderId="5" xfId="0" applyFont="1" applyFill="1" applyBorder="1" applyAlignment="1">
      <x:alignment vertical="center" wrapText="1"/>
    </x:xf>
    <x:xf numFmtId="0" fontId="6" fillId="5" borderId="6" xfId="0" applyFont="1" applyFill="1" applyBorder="1" applyAlignment="1">
      <x:alignment vertical="center" wrapText="1"/>
    </x:xf>
    <x:xf numFmtId="0" fontId="6" fillId="5" borderId="7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2" fillId="3" borderId="0" xfId="0" applyFont="1" applyFill="1" applyAlignment="1">
      <x:alignment vertical="center" wrapText="1"/>
    </x:xf>
    <x:xf numFmtId="0" fontId="3" fillId="4" borderId="0" xfId="0" applyFont="1" applyFill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4" fillId="5" borderId="2" xfId="0" applyFont="1" applyFill="1" applyBorder="1" applyAlignment="1">
      <x:alignment horizontal="center" vertical="center"/>
    </x:xf>
    <x:xf numFmtId="0" fontId="4" fillId="5" borderId="3" xfId="0" applyFont="1" applyFill="1" applyBorder="1" applyAlignment="1">
      <x:alignment horizontal="center" vertical="center"/>
    </x:xf>
    <x:xf numFmtId="0" fontId="4" fillId="5" borderId="4" xfId="0" applyFont="1" applyFill="1" applyBorder="1" applyAlignment="1">
      <x:alignment horizontal="center" vertical="center"/>
    </x:xf>
    <x:xf numFmtId="0" fontId="0" fillId="0" borderId="24" xfId="0" applyNumberFormat="1" applyFont="1" applyFill="1" applyBorder="1"/>
    <x:xf numFmtId="0" fontId="3" fillId="4" borderId="25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top" wrapText="1"/>
    </x:xf>
    <x:xf numFmtId="0" fontId="9" fillId="0" borderId="25" xfId="0" applyNumberFormat="1" applyFont="1" applyFill="1" applyBorder="1" applyAlignment="1">
      <x:alignment vertical="top" wrapText="1"/>
    </x:xf>
    <x:xf numFmtId="1" fontId="0" fillId="0" borderId="25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/>
    </x:xf>
    <x:xf numFmtId="164" fontId="0" fillId="0" borderId="25" xfId="0" applyNumberFormat="1" applyFont="1" applyFill="1" applyBorder="1" applyAlignment="1">
      <x:alignment vertical="top"/>
    </x:xf>
    <x:xf numFmtId="165" fontId="0" fillId="0" borderId="25" xfId="0" applyNumberFormat="1" applyFont="1" applyFill="1" applyBorder="1" applyAlignment="1">
      <x:alignment vertical="top"/>
    </x:xf>
    <x:xf numFmtId="3" fontId="0" fillId="0" borderId="25" xfId="0" applyNumberFormat="1" applyFont="1" applyFill="1" applyBorder="1" applyAlignment="1">
      <x:alignment vertical="top"/>
    </x:xf>
    <x:xf numFmtId="165" fontId="0" fillId="8" borderId="25" xfId="0" applyNumberFormat="1" applyFont="1" applyFill="1" applyBorder="1" applyAlignment="1">
      <x:alignment vertical="top"/>
    </x:xf>
    <x:xf numFmtId="0" fontId="9" fillId="0" borderId="25" xfId="0" applyNumberFormat="1" applyFont="1" applyFill="1" applyBorder="1" applyAlignment="1">
      <x:alignment vertical="top"/>
    </x:xf>
    <x:xf numFmtId="164" fontId="0" fillId="0" borderId="25" xfId="0" applyNumberFormat="1" applyFont="1" applyFill="1" applyBorder="1" applyAlignment="1">
      <x:alignment vertical="top" wrapText="1"/>
    </x:xf>
    <x:xf numFmtId="165" fontId="0" fillId="0" borderId="25" xfId="0" applyNumberFormat="1" applyFont="1" applyFill="1" applyBorder="1" applyAlignment="1">
      <x:alignment vertical="top" wrapText="1"/>
    </x:xf>
    <x:xf numFmtId="0" fontId="12" fillId="0" borderId="25" xfId="0" applyNumberFormat="1" applyFont="1" applyFill="1" applyBorder="1" applyAlignment="1">
      <x:alignment vertical="top" wrapText="1"/>
    </x:xf>
    <x:xf numFmtId="0" fontId="11" fillId="0" borderId="26" xfId="0" applyNumberFormat="1" applyFont="1" applyFill="1" applyBorder="1"/>
    <x:xf numFmtId="0" fontId="11" fillId="0" borderId="27" xfId="0" applyNumberFormat="1" applyFont="1" applyFill="1" applyBorder="1"/>
    <x:xf numFmtId="0" fontId="11" fillId="0" borderId="28" xfId="0" applyNumberFormat="1" applyFont="1" applyFill="1" applyBorder="1"/>
    <x:xf numFmtId="2" fontId="0" fillId="0" borderId="24" xfId="0" applyNumberFormat="1" applyFont="1" applyFill="1" applyBorder="1"/>
    <x:xf numFmtId="14" fontId="0" fillId="0" borderId="24" xfId="0" applyNumberFormat="1" applyFont="1" applyFill="1" applyBorder="1"/>
    <x:xf numFmtId="0" fontId="13" fillId="10" borderId="29" xfId="0" applyNumberFormat="1" applyFont="1" applyFill="1" applyBorder="1"/>
    <x:xf numFmtId="0" fontId="13" fillId="10" borderId="30" xfId="0" applyNumberFormat="1" applyFont="1" applyFill="1" applyBorder="1"/>
    <x:xf numFmtId="0" fontId="13" fillId="10" borderId="31" xfId="0" applyNumberFormat="1" applyFont="1" applyFill="1" applyBorder="1"/>
    <x:xf numFmtId="0" fontId="13" fillId="10" borderId="32" xfId="0" applyNumberFormat="1" applyFont="1" applyFill="1" applyBorder="1"/>
    <x:xf numFmtId="0" fontId="13" fillId="10" borderId="33" xfId="0" applyNumberFormat="1" applyFont="1" applyFill="1" applyBorder="1"/>
    <x:xf numFmtId="0" fontId="13" fillId="10" borderId="34" xfId="0" applyNumberFormat="1" applyFont="1" applyFill="1" applyBorder="1"/>
    <x:xf numFmtId="0" fontId="11" fillId="9" borderId="32" xfId="0" applyNumberFormat="1" applyFont="1" applyFill="1" applyBorder="1"/>
    <x:xf numFmtId="0" fontId="11" fillId="9" borderId="33" xfId="0" applyNumberFormat="1" applyFont="1" applyFill="1" applyBorder="1"/>
    <x:xf numFmtId="2" fontId="11" fillId="9" borderId="33" xfId="0" applyNumberFormat="1" applyFont="1" applyFill="1" applyBorder="1"/>
    <x:xf numFmtId="14" fontId="11" fillId="9" borderId="33" xfId="0" applyNumberFormat="1" applyFont="1" applyFill="1" applyBorder="1"/>
    <x:xf numFmtId="0" fontId="11" fillId="9" borderId="34" xfId="0" applyNumberFormat="1" applyFont="1" applyFill="1" applyBorder="1"/>
    <x:xf numFmtId="0" fontId="11" fillId="0" borderId="32" xfId="0" applyNumberFormat="1" applyFont="1" applyFill="1" applyBorder="1"/>
    <x:xf numFmtId="0" fontId="11" fillId="0" borderId="33" xfId="0" applyNumberFormat="1" applyFont="1" applyFill="1" applyBorder="1"/>
    <x:xf numFmtId="2" fontId="11" fillId="0" borderId="33" xfId="0" applyNumberFormat="1" applyFont="1" applyFill="1" applyBorder="1"/>
    <x:xf numFmtId="14" fontId="11" fillId="0" borderId="33" xfId="0" applyNumberFormat="1" applyFont="1" applyFill="1" applyBorder="1"/>
    <x:xf numFmtId="0" fontId="11" fillId="0" borderId="34" xfId="0" applyNumberFormat="1" applyFont="1" applyFill="1" applyBorder="1"/>
    <x:xf numFmtId="2" fontId="11" fillId="0" borderId="28" xfId="0" applyNumberFormat="1" applyFont="1" applyFill="1" applyBorder="1"/>
    <x:xf numFmtId="0" fontId="8" fillId="7" borderId="35" xfId="0" applyNumberFormat="1" applyFont="1" applyFill="1" applyBorder="1" applyAlignment="1">
      <x:alignment vertical="center" wrapText="1"/>
    </x:xf>
    <x:xf numFmtId="0" fontId="8" fillId="7" borderId="36" xfId="0" applyNumberFormat="1" applyFont="1" applyFill="1" applyBorder="1" applyAlignment="1">
      <x:alignment vertical="center" wrapText="1"/>
    </x:xf>
    <x:xf numFmtId="0" fontId="8" fillId="7" borderId="37" xfId="0" applyNumberFormat="1" applyFont="1" applyFill="1" applyBorder="1" applyAlignment="1">
      <x:alignment vertical="center" wrapText="1"/>
    </x:xf>
    <x:xf numFmtId="0" fontId="8" fillId="7" borderId="38" xfId="0" applyNumberFormat="1" applyFont="1" applyFill="1" applyBorder="1" applyAlignment="1">
      <x:alignment vertical="center" wrapText="1"/>
    </x:xf>
    <x:xf numFmtId="0" fontId="8" fillId="7" borderId="39" xfId="0" applyNumberFormat="1" applyFont="1" applyFill="1" applyBorder="1" applyAlignment="1">
      <x:alignment vertical="center" wrapText="1"/>
    </x:xf>
    <x:xf numFmtId="0" fontId="8" fillId="7" borderId="40" xfId="0" applyNumberFormat="1" applyFont="1" applyFill="1" applyBorder="1" applyAlignment="1">
      <x:alignment vertical="center" wrapText="1"/>
    </x:xf>
    <x:xf numFmtId="0" fontId="7" fillId="3" borderId="25" xfId="0" applyNumberFormat="1" applyFont="1" applyFill="1" applyBorder="1" applyAlignment="1">
      <x:alignment vertical="center" wrapText="1"/>
    </x:xf>
    <x:xf numFmtId="0" fontId="6" fillId="5" borderId="25" xfId="0" applyNumberFormat="1" applyFont="1" applyFill="1" applyBorder="1" applyAlignment="1">
      <x:alignment vertical="center" wrapText="1"/>
    </x:xf>
    <x:xf numFmtId="0" fontId="6" fillId="6" borderId="41" xfId="0" applyNumberFormat="1" applyFont="1" applyFill="1" applyBorder="1" applyAlignment="1">
      <x:alignment vertical="center" wrapText="1"/>
    </x:xf>
    <x:xf numFmtId="0" fontId="6" fillId="6" borderId="42" xfId="0" applyNumberFormat="1" applyFont="1" applyFill="1" applyBorder="1" applyAlignment="1">
      <x:alignment vertical="center" wrapText="1"/>
    </x:xf>
    <x:xf numFmtId="0" fontId="6" fillId="6" borderId="43" xfId="0" applyNumberFormat="1" applyFont="1" applyFill="1" applyBorder="1" applyAlignment="1">
      <x:alignment vertical="center" wrapText="1"/>
    </x:xf>
    <x:xf numFmtId="0" fontId="5" fillId="2" borderId="24" xfId="0" applyNumberFormat="1" applyFont="1" applyFill="1" applyBorder="1"/>
    <x:xf numFmtId="0" fontId="6" fillId="5" borderId="41" xfId="0" applyNumberFormat="1" applyFont="1" applyFill="1" applyBorder="1" applyAlignment="1">
      <x:alignment vertical="center" wrapText="1"/>
    </x:xf>
    <x:xf numFmtId="0" fontId="6" fillId="5" borderId="42" xfId="0" applyNumberFormat="1" applyFont="1" applyFill="1" applyBorder="1" applyAlignment="1">
      <x:alignment vertical="center" wrapText="1"/>
    </x:xf>
    <x:xf numFmtId="0" fontId="6" fillId="5" borderId="4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3" fillId="4" borderId="24" xfId="0" applyNumberFormat="1" applyFont="1" applyFill="1" applyBorder="1" applyAlignment="1">
      <x:alignment horizontal="center" vertical="center"/>
    </x:xf>
    <x:xf numFmtId="0" fontId="4" fillId="5" borderId="44" xfId="0" applyNumberFormat="1" applyFont="1" applyFill="1" applyBorder="1" applyAlignment="1">
      <x:alignment horizontal="center" vertical="center"/>
    </x:xf>
    <x:xf numFmtId="0" fontId="4" fillId="5" borderId="45" xfId="0" applyNumberFormat="1" applyFont="1" applyFill="1" applyBorder="1" applyAlignment="1">
      <x:alignment horizontal="center" vertical="center"/>
    </x:xf>
    <x:xf numFmtId="0" fontId="4" fillId="5" borderId="46" xfId="0" applyNumberFormat="1" applyFont="1" applyFill="1" applyBorder="1" applyAlignment="1">
      <x:alignment horizontal="center" vertical="center"/>
    </x:xf>
    <x:xf numFmtId="0" fontId="4" fillId="5" borderId="47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left"/>
    </x:xf>
    <x:xf numFmtId="0" fontId="15" fillId="11" borderId="0" xfId="0" applyNumberFormat="1" applyFont="1" applyFill="1" applyBorder="1" applyAlignment="1">
      <x:alignment horizontal="left" vertical="center"/>
    </x:xf>
    <x:xf numFmtId="0" fontId="0" fillId="11" borderId="24" xfId="0" applyNumberFormat="1" applyFont="1" applyFill="1" applyBorder="1"/>
    <x:xf numFmtId="0" fontId="15" fillId="11" borderId="24" xfId="0" applyNumberFormat="1" applyFont="1" applyFill="1" applyBorder="1"/>
    <x:xf numFmtId="0" fontId="15" fillId="11" borderId="24" xfId="0" applyNumberFormat="1" applyFont="1" applyFill="1" applyBorder="1" applyAlignment="1">
      <x:alignment horizontal="left"/>
    </x:xf>
    <x:xf numFmtId="0" fontId="15" fillId="11" borderId="24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0" fontId="16" fillId="12" borderId="0" xfId="0" applyNumberFormat="1" applyFont="1" applyFill="1" applyBorder="1" applyAlignment="1">
      <x:alignment horizontal="left" wrapText="1"/>
    </x:xf>
    <x:xf numFmtId="0" fontId="16" fillId="12" borderId="0" xfId="0" applyNumberFormat="1" applyFont="1" applyFill="1" applyBorder="1" applyAlignment="1">
      <x:alignment horizontal="left" vertical="center" wrapText="1"/>
    </x:xf>
    <x:xf numFmtId="0" fontId="0" fillId="12" borderId="24" xfId="0" applyNumberFormat="1" applyFont="1" applyFill="1" applyBorder="1"/>
    <x:xf numFmtId="0" fontId="16" fillId="12" borderId="24" xfId="0" applyNumberFormat="1" applyFont="1" applyFill="1" applyBorder="1"/>
    <x:xf numFmtId="0" fontId="16" fillId="12" borderId="24" xfId="0" applyNumberFormat="1" applyFont="1" applyFill="1" applyBorder="1" applyAlignment="1">
      <x:alignment wrapText="1"/>
    </x:xf>
    <x:xf numFmtId="0" fontId="16" fillId="12" borderId="24" xfId="0" applyNumberFormat="1" applyFont="1" applyFill="1" applyBorder="1" applyAlignment="1">
      <x:alignment horizontal="left" wrapText="1"/>
    </x:xf>
    <x:xf numFmtId="0" fontId="16" fillId="12" borderId="24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wrapText="1"/>
    </x:xf>
    <x:xf numFmtId="0" fontId="17" fillId="13" borderId="0" xfId="0" applyNumberFormat="1" applyFont="1" applyFill="1" applyBorder="1" applyAlignment="1">
      <x:alignment horizontal="center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0" fontId="0" fillId="13" borderId="24" xfId="0" applyNumberFormat="1" applyFont="1" applyFill="1" applyBorder="1"/>
    <x:xf numFmtId="0" fontId="17" fillId="13" borderId="24" xfId="0" applyNumberFormat="1" applyFont="1" applyFill="1" applyBorder="1"/>
    <x:xf numFmtId="0" fontId="17" fillId="13" borderId="24" xfId="0" applyNumberFormat="1" applyFont="1" applyFill="1" applyBorder="1" applyAlignment="1">
      <x:alignment wrapText="1"/>
    </x:xf>
    <x:xf numFmtId="0" fontId="17" fillId="13" borderId="24" xfId="0" applyNumberFormat="1" applyFont="1" applyFill="1" applyBorder="1" applyAlignment="1">
      <x:alignment horizontal="center" wrapText="1"/>
    </x:xf>
    <x:xf numFmtId="0" fontId="17" fillId="13" borderId="24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18" fillId="0" borderId="24" xfId="0" applyNumberFormat="1" applyFont="1" applyFill="1" applyBorder="1"/>
    <x:xf numFmtId="0" fontId="18" fillId="0" borderId="24" xfId="0" applyNumberFormat="1" applyFont="1" applyFill="1" applyBorder="1" applyAlignment="1">
      <x:alignment wrapText="1"/>
    </x:xf>
    <x:xf numFmtId="0" fontId="18" fillId="0" borderId="24" xfId="0" applyNumberFormat="1" applyFont="1" applyFill="1" applyBorder="1" applyAlignment="1">
      <x:alignment vertical="top" wrapText="1"/>
    </x:xf>
    <x:xf numFmtId="0" fontId="18" fillId="14" borderId="0" xfId="0" applyNumberFormat="1" applyFont="1" applyFill="1" applyBorder="1" applyAlignment="1">
      <x:alignment vertical="top" wrapText="1"/>
    </x:xf>
    <x:xf numFmtId="0" fontId="18" fillId="14" borderId="24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0" fillId="15" borderId="24" xfId="0" applyNumberFormat="1" applyFont="1" applyFill="1" applyBorder="1"/>
    <x:xf numFmtId="0" fontId="19" fillId="15" borderId="24" xfId="0" applyNumberFormat="1" applyFont="1" applyFill="1" applyBorder="1"/>
    <x:xf numFmtId="200" fontId="18" fillId="14" borderId="0" xfId="0" applyNumberFormat="1" applyFont="1" applyFill="1" applyBorder="1" applyAlignment="1">
      <x:alignment vertical="top" wrapText="1"/>
    </x:xf>
    <x:xf numFmtId="200" fontId="19" fillId="15" borderId="0" xfId="0" applyNumberFormat="1" applyFont="1" applyFill="1" applyBorder="1"/>
    <x:xf numFmtId="200" fontId="18" fillId="14" borderId="24" xfId="0" applyNumberFormat="1" applyFont="1" applyFill="1" applyBorder="1" applyAlignment="1">
      <x:alignment vertical="top" wrapText="1"/>
    </x:xf>
    <x:xf numFmtId="200" fontId="19" fillId="15" borderId="24" xfId="0" applyNumberFormat="1" applyFont="1" applyFill="1" applyBorder="1"/>
    <x:xf numFmtId="165" fontId="18" fillId="14" borderId="0" xfId="0" applyNumberFormat="1" applyFont="1" applyFill="1" applyBorder="1" applyAlignment="1">
      <x:alignment vertical="top" wrapText="1"/>
    </x:xf>
    <x:xf numFmtId="165" fontId="19" fillId="15" borderId="0" xfId="0" applyNumberFormat="1" applyFont="1" applyFill="1" applyBorder="1"/>
    <x:xf numFmtId="165" fontId="18" fillId="14" borderId="24" xfId="0" applyNumberFormat="1" applyFont="1" applyFill="1" applyBorder="1" applyAlignment="1">
      <x:alignment vertical="top" wrapText="1"/>
    </x:xf>
    <x:xf numFmtId="165" fontId="19" fillId="15" borderId="24" xfId="0" applyNumberFormat="1" applyFont="1" applyFill="1" applyBorder="1"/>
    <x:xf numFmtId="0" fontId="19" fillId="15" borderId="0" xfId="0" applyNumberFormat="1" applyFont="1" applyFill="1" applyBorder="1" applyAlignment="1">
      <x:alignment wrapText="1"/>
    </x:xf>
    <x:xf numFmtId="200" fontId="19" fillId="15" borderId="0" xfId="0" applyNumberFormat="1" applyFont="1" applyFill="1" applyBorder="1" applyAlignment="1">
      <x:alignment wrapText="1"/>
    </x:xf>
    <x:xf numFmtId="165" fontId="19" fillId="15" borderId="0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200" fontId="19" fillId="15" borderId="24" xfId="0" applyNumberFormat="1" applyFont="1" applyFill="1" applyBorder="1" applyAlignment="1">
      <x:alignment wrapText="1"/>
    </x:xf>
    <x:xf numFmtId="165" fontId="19" fillId="15" borderId="24" xfId="0" applyNumberFormat="1" applyFont="1" applyFill="1" applyBorder="1" applyAlignment="1">
      <x:alignment wrapText="1"/>
    </x:xf>
    <x:xf numFmtId="201" fontId="18" fillId="14" borderId="0" xfId="0" applyNumberFormat="1" applyFont="1" applyFill="1" applyBorder="1" applyAlignment="1">
      <x:alignment vertical="top" wrapText="1"/>
    </x:xf>
    <x:xf numFmtId="201" fontId="18" fillId="14" borderId="24" xfId="0" applyNumberFormat="1" applyFont="1" applyFill="1" applyBorder="1" applyAlignment="1">
      <x:alignment vertical="top" wrapText="1"/>
    </x:xf>
    <x:xf numFmtId="202" fontId="18" fillId="14" borderId="0" xfId="0" applyNumberFormat="1" applyFont="1" applyFill="1" applyBorder="1" applyAlignment="1">
      <x:alignment vertical="top" wrapText="1"/>
    </x:xf>
    <x:xf numFmtId="202" fontId="18" fillId="14" borderId="24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horizontal="left" vertical="center" wrapText="1"/>
    </x:xf>
    <x:xf numFmtId="0" fontId="1" fillId="11" borderId="24" xfId="0" applyNumberFormat="1" applyFont="1" applyFill="1" applyBorder="1" applyAlignment="1">
      <x:alignment vertical="center" wrapText="1"/>
    </x:xf>
    <x:xf numFmtId="0" fontId="15" fillId="11" borderId="24" xfId="0" applyNumberFormat="1" applyFont="1" applyFill="1" applyBorder="1" applyAlignment="1">
      <x:alignment vertical="center" wrapText="1"/>
    </x:xf>
    <x:xf numFmtId="0" fontId="15" fillId="11" borderId="24" xfId="0" applyNumberFormat="1" applyFont="1" applyFill="1" applyBorder="1" applyAlignment="1">
      <x:alignment horizontal="left"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16" fillId="12" borderId="0" xfId="0" applyNumberFormat="1" applyFont="1" applyFill="1" applyBorder="1" applyAlignment="1">
      <x:alignment vertical="center" wrapText="1"/>
    </x:xf>
    <x:xf numFmtId="0" fontId="2" fillId="12" borderId="24" xfId="0" applyNumberFormat="1" applyFont="1" applyFill="1" applyBorder="1" applyAlignment="1">
      <x:alignment vertical="center" wrapText="1"/>
    </x:xf>
    <x:xf numFmtId="0" fontId="16" fillId="12" borderId="24" xfId="0" applyNumberFormat="1" applyFont="1" applyFill="1" applyBorder="1" applyAlignment="1">
      <x:alignment vertical="center" wrapText="1"/>
    </x:xf>
    <x:xf numFmtId="203" fontId="11" fillId="9" borderId="21" xfId="0" applyNumberFormat="1" applyFont="1" applyFill="1" applyBorder="1"/>
    <x:xf numFmtId="203" fontId="11" fillId="0" borderId="21" xfId="0" applyNumberFormat="1" applyFont="1" applyFill="1" applyBorder="1"/>
    <x:xf numFmtId="203" fontId="11" fillId="0" borderId="17" xfId="0" applyNumberFormat="1" applyFont="1" applyFill="1" applyBorder="1"/>
    <x:xf numFmtId="203" fontId="18" fillId="14" borderId="0" xfId="0" applyNumberFormat="1" applyFont="1" applyFill="1" applyBorder="1" applyAlignment="1">
      <x:alignment vertical="top" wrapText="1"/>
    </x:xf>
    <x:xf numFmtId="203" fontId="11" fillId="9" borderId="33" xfId="0" applyNumberFormat="1" applyFont="1" applyFill="1" applyBorder="1"/>
    <x:xf numFmtId="203" fontId="11" fillId="0" borderId="33" xfId="0" applyNumberFormat="1" applyFont="1" applyFill="1" applyBorder="1"/>
    <x:xf numFmtId="203" fontId="11" fillId="0" borderId="28" xfId="0" applyNumberFormat="1" applyFont="1" applyFill="1" applyBorder="1"/>
    <x:xf numFmtId="203" fontId="18" fillId="14" borderId="24" xfId="0" applyNumberFormat="1" applyFont="1" applyFill="1" applyBorder="1" applyAlignment="1">
      <x:alignment vertical="top" wrapText="1"/>
    </x:xf>
    <x:xf numFmtId="204" fontId="11" fillId="9" borderId="21" xfId="0" applyNumberFormat="1" applyFont="1" applyFill="1" applyBorder="1"/>
    <x:xf numFmtId="204" fontId="11" fillId="0" borderId="21" xfId="0" applyNumberFormat="1" applyFont="1" applyFill="1" applyBorder="1"/>
    <x:xf numFmtId="204" fontId="11" fillId="0" borderId="17" xfId="0" applyNumberFormat="1" applyFont="1" applyFill="1" applyBorder="1"/>
    <x:xf numFmtId="204" fontId="18" fillId="14" borderId="0" xfId="0" applyNumberFormat="1" applyFont="1" applyFill="1" applyBorder="1" applyAlignment="1">
      <x:alignment vertical="top" wrapText="1"/>
    </x:xf>
    <x:xf numFmtId="204" fontId="11" fillId="9" borderId="33" xfId="0" applyNumberFormat="1" applyFont="1" applyFill="1" applyBorder="1"/>
    <x:xf numFmtId="204" fontId="11" fillId="0" borderId="33" xfId="0" applyNumberFormat="1" applyFont="1" applyFill="1" applyBorder="1"/>
    <x:xf numFmtId="204" fontId="11" fillId="0" borderId="28" xfId="0" applyNumberFormat="1" applyFont="1" applyFill="1" applyBorder="1"/>
    <x:xf numFmtId="204" fontId="18" fillId="14" borderId="24" xfId="0" applyNumberFormat="1" applyFont="1" applyFill="1" applyBorder="1" applyAlignment="1">
      <x:alignment vertical="top" wrapText="1"/>
    </x:xf>
    <x:xf numFmtId="0" fontId="3" fillId="13" borderId="8" xfId="0" applyNumberFormat="1" applyFont="1" applyFill="1" applyBorder="1" applyAlignment="1">
      <x:alignment vertical="center" wrapText="1"/>
    </x:xf>
    <x:xf numFmtId="0" fontId="17" fillId="13" borderId="8" xfId="0" applyNumberFormat="1" applyFont="1" applyFill="1" applyBorder="1" applyAlignment="1">
      <x:alignment vertical="center" wrapText="1"/>
    </x:xf>
    <x:xf numFmtId="0" fontId="17" fillId="13" borderId="8" xfId="0" applyNumberFormat="1" applyFont="1" applyFill="1" applyBorder="1" applyAlignment="1">
      <x:alignment horizontal="center" vertical="center" wrapText="1"/>
    </x:xf>
    <x:xf numFmtId="0" fontId="3" fillId="13" borderId="25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vertical="top" wrapText="1"/>
    </x:xf>
    <x:xf numFmtId="164" fontId="18" fillId="0" borderId="8" xfId="0" applyNumberFormat="1" applyFont="1" applyFill="1" applyBorder="1" applyAlignment="1">
      <x:alignment vertical="top" wrapText="1"/>
    </x:xf>
    <x:xf numFmtId="165" fontId="18" fillId="0" borderId="8" xfId="0" applyNumberFormat="1" applyFont="1" applyFill="1" applyBorder="1" applyAlignment="1">
      <x:alignment vertical="top" wrapText="1"/>
    </x:xf>
    <x:xf numFmtId="0" fontId="18" fillId="0" borderId="25" xfId="0" applyNumberFormat="1" applyFont="1" applyFill="1" applyBorder="1" applyAlignment="1">
      <x:alignment vertical="top" wrapText="1"/>
    </x:xf>
    <x:xf numFmtId="164" fontId="18" fillId="0" borderId="25" xfId="0" applyNumberFormat="1" applyFont="1" applyFill="1" applyBorder="1" applyAlignment="1">
      <x:alignment vertical="top" wrapText="1"/>
    </x:xf>
    <x:xf numFmtId="165" fontId="18" fillId="0" borderId="25" xfId="0" applyNumberFormat="1" applyFont="1" applyFill="1" applyBorder="1" applyAlignment="1">
      <x:alignment vertical="top" wrapText="1"/>
    </x:xf>
    <x:xf numFmtId="0" fontId="18" fillId="14" borderId="8" xfId="0" applyNumberFormat="1" applyFont="1" applyFill="1" applyBorder="1" applyAlignment="1">
      <x:alignment vertical="top" wrapText="1"/>
    </x:xf>
    <x:xf numFmtId="164" fontId="18" fillId="14" borderId="8" xfId="0" applyNumberFormat="1" applyFont="1" applyFill="1" applyBorder="1" applyAlignment="1">
      <x:alignment vertical="top" wrapText="1"/>
    </x:xf>
    <x:xf numFmtId="165" fontId="18" fillId="14" borderId="8" xfId="0" applyNumberFormat="1" applyFont="1" applyFill="1" applyBorder="1" applyAlignment="1">
      <x:alignment vertical="top" wrapText="1"/>
    </x:xf>
    <x:xf numFmtId="0" fontId="18" fillId="14" borderId="25" xfId="0" applyNumberFormat="1" applyFont="1" applyFill="1" applyBorder="1" applyAlignment="1">
      <x:alignment vertical="top" wrapText="1"/>
    </x:xf>
    <x:xf numFmtId="164" fontId="18" fillId="14" borderId="25" xfId="0" applyNumberFormat="1" applyFont="1" applyFill="1" applyBorder="1" applyAlignment="1">
      <x:alignment vertical="top" wrapText="1"/>
    </x:xf>
    <x:xf numFmtId="165" fontId="18" fillId="14" borderId="25" xfId="0" applyNumberFormat="1" applyFont="1" applyFill="1" applyBorder="1" applyAlignment="1">
      <x:alignment vertical="top" wrapText="1"/>
    </x:xf>
    <x:xf numFmtId="201" fontId="18" fillId="14" borderId="8" xfId="0" applyNumberFormat="1" applyFont="1" applyFill="1" applyBorder="1" applyAlignment="1">
      <x:alignment vertical="top" wrapText="1"/>
    </x:xf>
    <x:xf numFmtId="201" fontId="18" fillId="14" borderId="25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/>
    <x:xf numFmtId="0" fontId="5" fillId="11" borderId="24" xfId="0" applyNumberFormat="1" applyFont="1" applyFill="1" applyBorder="1"/>
    <x:xf numFmtId="0" fontId="18" fillId="6" borderId="5" xfId="0" applyNumberFormat="1" applyFont="1" applyFill="1" applyBorder="1" applyAlignment="1">
      <x:alignment vertical="center" wrapText="1"/>
    </x:xf>
    <x:xf numFmtId="0" fontId="18" fillId="6" borderId="6" xfId="0" applyNumberFormat="1" applyFont="1" applyFill="1" applyBorder="1" applyAlignment="1">
      <x:alignment vertical="center" wrapText="1"/>
    </x:xf>
    <x:xf numFmtId="0" fontId="18" fillId="5" borderId="5" xfId="0" applyNumberFormat="1" applyFont="1" applyFill="1" applyBorder="1" applyAlignment="1">
      <x:alignment vertical="center" wrapText="1"/>
    </x:xf>
    <x:xf numFmtId="0" fontId="18" fillId="5" borderId="6" xfId="0" applyNumberFormat="1" applyFont="1" applyFill="1" applyBorder="1" applyAlignment="1">
      <x:alignment vertical="center" wrapText="1"/>
    </x:xf>
    <x:xf numFmtId="0" fontId="18" fillId="6" borderId="5" xfId="0" applyNumberFormat="1" applyFont="1" applyFill="1" applyBorder="1" applyAlignment="1">
      <x:alignment vertical="top" wrapText="1"/>
    </x:xf>
    <x:xf numFmtId="0" fontId="18" fillId="6" borderId="6" xfId="0" applyNumberFormat="1" applyFont="1" applyFill="1" applyBorder="1" applyAlignment="1">
      <x:alignment vertical="top" wrapText="1"/>
    </x:xf>
    <x:xf numFmtId="0" fontId="18" fillId="5" borderId="5" xfId="0" applyNumberFormat="1" applyFont="1" applyFill="1" applyBorder="1" applyAlignment="1">
      <x:alignment vertical="top" wrapText="1"/>
    </x:xf>
    <x:xf numFmtId="0" fontId="18" fillId="5" borderId="6" xfId="0" applyNumberFormat="1" applyFont="1" applyFill="1" applyBorder="1" applyAlignment="1">
      <x:alignment vertical="top" wrapText="1"/>
    </x:xf>
    <x:xf numFmtId="0" fontId="18" fillId="6" borderId="41" xfId="0" applyNumberFormat="1" applyFont="1" applyFill="1" applyBorder="1" applyAlignment="1">
      <x:alignment vertical="center" wrapText="1"/>
    </x:xf>
    <x:xf numFmtId="0" fontId="18" fillId="6" borderId="42" xfId="0" applyNumberFormat="1" applyFont="1" applyFill="1" applyBorder="1" applyAlignment="1">
      <x:alignment vertical="center" wrapText="1"/>
    </x:xf>
    <x:xf numFmtId="0" fontId="18" fillId="5" borderId="41" xfId="0" applyNumberFormat="1" applyFont="1" applyFill="1" applyBorder="1" applyAlignment="1">
      <x:alignment vertical="center" wrapText="1"/>
    </x:xf>
    <x:xf numFmtId="0" fontId="18" fillId="5" borderId="42" xfId="0" applyNumberFormat="1" applyFont="1" applyFill="1" applyBorder="1" applyAlignment="1">
      <x:alignment vertical="center" wrapText="1"/>
    </x:xf>
    <x:xf numFmtId="0" fontId="18" fillId="6" borderId="41" xfId="0" applyNumberFormat="1" applyFont="1" applyFill="1" applyBorder="1" applyAlignment="1">
      <x:alignment vertical="top" wrapText="1"/>
    </x:xf>
    <x:xf numFmtId="0" fontId="18" fillId="6" borderId="42" xfId="0" applyNumberFormat="1" applyFont="1" applyFill="1" applyBorder="1" applyAlignment="1">
      <x:alignment vertical="top" wrapText="1"/>
    </x:xf>
    <x:xf numFmtId="0" fontId="18" fillId="5" borderId="41" xfId="0" applyNumberFormat="1" applyFont="1" applyFill="1" applyBorder="1" applyAlignment="1">
      <x:alignment vertical="top" wrapText="1"/>
    </x:xf>
    <x:xf numFmtId="0" fontId="18" fillId="5" borderId="42" xfId="0" applyNumberFormat="1" applyFont="1" applyFill="1" applyBorder="1" applyAlignment="1">
      <x:alignment vertical="top" wrapText="1"/>
    </x:xf>
    <x:xf numFmtId="0" fontId="20" fillId="3" borderId="8" xfId="0" applyNumberFormat="1" applyFont="1" applyFill="1" applyBorder="1" applyAlignment="1">
      <x:alignment vertical="center" wrapText="1"/>
    </x:xf>
    <x:xf numFmtId="0" fontId="18" fillId="5" borderId="8" xfId="0" applyNumberFormat="1" applyFont="1" applyFill="1" applyBorder="1" applyAlignment="1">
      <x:alignment vertical="center" wrapText="1"/>
    </x:xf>
    <x:xf numFmtId="0" fontId="20" fillId="7" borderId="9" xfId="0" applyNumberFormat="1" applyFont="1" applyFill="1" applyBorder="1" applyAlignment="1">
      <x:alignment vertical="center" wrapText="1"/>
    </x:xf>
    <x:xf numFmtId="0" fontId="20" fillId="7" borderId="10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0" fontId="20" fillId="7" borderId="13" xfId="0" applyNumberFormat="1" applyFont="1" applyFill="1" applyBorder="1" applyAlignment="1">
      <x:alignment vertical="center" wrapText="1"/>
    </x:xf>
    <x:xf numFmtId="0" fontId="20" fillId="3" borderId="8" xfId="0" applyNumberFormat="1" applyFont="1" applyFill="1" applyBorder="1" applyAlignment="1">
      <x:alignment vertical="top" wrapText="1"/>
    </x:xf>
    <x:xf numFmtId="0" fontId="18" fillId="5" borderId="8" xfId="0" applyNumberFormat="1" applyFont="1" applyFill="1" applyBorder="1" applyAlignment="1">
      <x:alignment vertical="top" wrapText="1"/>
    </x:xf>
    <x:xf numFmtId="0" fontId="20" fillId="7" borderId="9" xfId="0" applyNumberFormat="1" applyFont="1" applyFill="1" applyBorder="1" applyAlignment="1">
      <x:alignment vertical="top" wrapText="1"/>
    </x:xf>
    <x:xf numFmtId="0" fontId="20" fillId="7" borderId="10" xfId="0" applyNumberFormat="1" applyFont="1" applyFill="1" applyBorder="1" applyAlignment="1">
      <x:alignment vertical="top" wrapText="1"/>
    </x:xf>
    <x:xf numFmtId="0" fontId="20" fillId="7" borderId="12" xfId="0" applyNumberFormat="1" applyFont="1" applyFill="1" applyBorder="1" applyAlignment="1">
      <x:alignment vertical="top" wrapText="1"/>
    </x:xf>
    <x:xf numFmtId="0" fontId="20" fillId="7" borderId="13" xfId="0" applyNumberFormat="1" applyFont="1" applyFill="1" applyBorder="1" applyAlignment="1">
      <x:alignment vertical="top" wrapText="1"/>
    </x:xf>
    <x:xf numFmtId="0" fontId="20" fillId="3" borderId="25" xfId="0" applyNumberFormat="1" applyFont="1" applyFill="1" applyBorder="1" applyAlignment="1">
      <x:alignment vertical="center" wrapText="1"/>
    </x:xf>
    <x:xf numFmtId="0" fontId="18" fillId="5" borderId="25" xfId="0" applyNumberFormat="1" applyFont="1" applyFill="1" applyBorder="1" applyAlignment="1">
      <x:alignment vertical="center" wrapText="1"/>
    </x:xf>
    <x:xf numFmtId="0" fontId="20" fillId="7" borderId="35" xfId="0" applyNumberFormat="1" applyFont="1" applyFill="1" applyBorder="1" applyAlignment="1">
      <x:alignment vertical="center" wrapText="1"/>
    </x:xf>
    <x:xf numFmtId="0" fontId="20" fillId="7" borderId="36" xfId="0" applyNumberFormat="1" applyFont="1" applyFill="1" applyBorder="1" applyAlignment="1">
      <x:alignment vertical="center" wrapText="1"/>
    </x:xf>
    <x:xf numFmtId="0" fontId="20" fillId="7" borderId="38" xfId="0" applyNumberFormat="1" applyFont="1" applyFill="1" applyBorder="1" applyAlignment="1">
      <x:alignment vertical="center" wrapText="1"/>
    </x:xf>
    <x:xf numFmtId="0" fontId="20" fillId="7" borderId="39" xfId="0" applyNumberFormat="1" applyFont="1" applyFill="1" applyBorder="1" applyAlignment="1">
      <x:alignment vertical="center" wrapText="1"/>
    </x:xf>
    <x:xf numFmtId="0" fontId="20" fillId="3" borderId="25" xfId="0" applyNumberFormat="1" applyFont="1" applyFill="1" applyBorder="1" applyAlignment="1">
      <x:alignment vertical="top" wrapText="1"/>
    </x:xf>
    <x:xf numFmtId="0" fontId="18" fillId="5" borderId="25" xfId="0" applyNumberFormat="1" applyFont="1" applyFill="1" applyBorder="1" applyAlignment="1">
      <x:alignment vertical="top" wrapText="1"/>
    </x:xf>
    <x:xf numFmtId="0" fontId="20" fillId="7" borderId="35" xfId="0" applyNumberFormat="1" applyFont="1" applyFill="1" applyBorder="1" applyAlignment="1">
      <x:alignment vertical="top" wrapText="1"/>
    </x:xf>
    <x:xf numFmtId="0" fontId="20" fillId="7" borderId="36" xfId="0" applyNumberFormat="1" applyFont="1" applyFill="1" applyBorder="1" applyAlignment="1">
      <x:alignment vertical="top" wrapText="1"/>
    </x:xf>
    <x:xf numFmtId="0" fontId="20" fillId="7" borderId="38" xfId="0" applyNumberFormat="1" applyFont="1" applyFill="1" applyBorder="1" applyAlignment="1">
      <x:alignment vertical="top" wrapText="1"/>
    </x:xf>
    <x:xf numFmtId="0" fontId="20" fillId="7" borderId="39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vertical="top" wrapText="1"/>
    </x:xf>
    <x:xf numFmtId="0" fontId="20" fillId="0" borderId="24" xfId="0" applyNumberFormat="1" applyFont="1" applyFill="1" applyBorder="1" applyAlignment="1">
      <x:alignment vertical="top" wrapText="1"/>
    </x:xf>
    <x:xf numFmtId="0" fontId="18" fillId="16" borderId="0" xfId="0" applyNumberFormat="1" applyFont="1" applyFill="1" applyBorder="1" applyAlignment="1">
      <x:alignment vertical="top" wrapText="1"/>
    </x:xf>
    <x:xf numFmtId="0" fontId="20" fillId="16" borderId="0" xfId="0" applyNumberFormat="1" applyFont="1" applyFill="1" applyBorder="1" applyAlignment="1">
      <x:alignment vertical="top" wrapText="1"/>
    </x:xf>
    <x:xf numFmtId="0" fontId="18" fillId="16" borderId="24" xfId="0" applyNumberFormat="1" applyFont="1" applyFill="1" applyBorder="1" applyAlignment="1">
      <x:alignment vertical="top" wrapText="1"/>
    </x:xf>
    <x:xf numFmtId="0" fontId="20" fillId="16" borderId="24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center"/>
    </x:xf>
    <x:xf numFmtId="0" fontId="17" fillId="13" borderId="0" xfId="0" applyNumberFormat="1" applyFont="1" applyFill="1" applyBorder="1" applyAlignment="1">
      <x:alignment horizontal="center" vertical="center"/>
    </x:xf>
    <x:xf numFmtId="0" fontId="3" fillId="13" borderId="24" xfId="0" applyNumberFormat="1" applyFont="1" applyFill="1" applyBorder="1" applyAlignment="1">
      <x:alignment horizontal="center" vertical="center"/>
    </x:xf>
    <x:xf numFmtId="0" fontId="17" fillId="13" borderId="24" xfId="0" applyNumberFormat="1" applyFont="1" applyFill="1" applyBorder="1" applyAlignment="1">
      <x:alignment horizontal="center" vertical="center"/>
    </x:xf>
    <x:xf numFmtId="0" fontId="21" fillId="5" borderId="1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21" fillId="5" borderId="44" xfId="0" applyNumberFormat="1" applyFont="1" applyFill="1" applyBorder="1" applyAlignment="1">
      <x:alignment horizontal="center" vertical="center"/>
    </x:xf>
    <x:xf numFmtId="0" fontId="21" fillId="5" borderId="45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1" fontId="0" fillId="0" borderId="8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 applyAlignment="1">
      <x:alignment vertical="top"/>
    </x:xf>
    <x:xf numFmtId="164" fontId="0" fillId="0" borderId="8" xfId="0" applyNumberFormat="1" applyFont="1" applyFill="1" applyBorder="1" applyAlignment="1">
      <x:alignment vertical="top"/>
    </x:xf>
    <x:xf numFmtId="165" fontId="0" fillId="0" borderId="8" xfId="0" applyNumberFormat="1" applyFont="1" applyFill="1" applyBorder="1" applyAlignment="1">
      <x:alignment vertical="top"/>
    </x:xf>
    <x:xf numFmtId="3" fontId="0" fillId="0" borderId="8" xfId="0" applyNumberFormat="1" applyFont="1" applyFill="1" applyBorder="1" applyAlignment="1">
      <x:alignment vertical="top"/>
    </x:xf>
    <x:xf numFmtId="165" fontId="0" fillId="8" borderId="8" xfId="0" applyNumberFormat="1" applyFont="1" applyFill="1" applyBorder="1" applyAlignment="1">
      <x:alignment vertical="top"/>
    </x:xf>
    <x:xf numFmtId="0" fontId="9" fillId="0" borderId="8" xfId="0" applyNumberFormat="1" applyFont="1" applyFill="1" applyBorder="1" applyAlignment="1">
      <x:alignment vertical="top"/>
    </x:xf>
    <x:xf numFmtId="164" fontId="0" fillId="0" borderId="8" xfId="0" applyNumberFormat="1" applyFont="1" applyFill="1" applyBorder="1" applyAlignment="1">
      <x:alignment vertical="top" wrapText="1"/>
    </x:xf>
    <x:xf numFmtId="165" fontId="0" fillId="0" borderId="8" xfId="0" applyNumberFormat="1" applyFont="1" applyFill="1" applyBorder="1" applyAlignment="1">
      <x:alignment vertical="top" wrapText="1"/>
    </x:xf>
    <x:xf numFmtId="0" fontId="11" fillId="0" borderId="15" xfId="0" applyNumberFormat="1" applyFont="1" applyFill="1" applyBorder="1"/>
    <x:xf numFmtId="0" fontId="11" fillId="0" borderId="16" xfId="0" applyNumberFormat="1" applyFont="1" applyFill="1" applyBorder="1"/>
    <x:xf numFmtId="0" fontId="11" fillId="0" borderId="17" xfId="0" applyNumberFormat="1" applyFont="1" applyFill="1" applyBorder="1"/>
    <x:xf numFmtId="2" fontId="0" fillId="0" borderId="0" xfId="0" applyNumberFormat="1" applyFont="1" applyFill="1" applyBorder="1"/>
    <x:xf numFmtId="14" fontId="0" fillId="0" borderId="0" xfId="0" applyNumberFormat="1" applyFont="1" applyFill="1" applyBorder="1"/>
    <x:xf numFmtId="0" fontId="13" fillId="10" borderId="18" xfId="0" applyNumberFormat="1" applyFont="1" applyFill="1" applyBorder="1"/>
    <x:xf numFmtId="0" fontId="13" fillId="10" borderId="19" xfId="0" applyNumberFormat="1" applyFont="1" applyFill="1" applyBorder="1"/>
    <x:xf numFmtId="0" fontId="13" fillId="10" borderId="20" xfId="0" applyNumberFormat="1" applyFont="1" applyFill="1" applyBorder="1"/>
    <x:xf numFmtId="0" fontId="13" fillId="10" borderId="22" xfId="0" applyNumberFormat="1" applyFont="1" applyFill="1" applyBorder="1"/>
    <x:xf numFmtId="0" fontId="13" fillId="10" borderId="21" xfId="0" applyNumberFormat="1" applyFont="1" applyFill="1" applyBorder="1"/>
    <x:xf numFmtId="0" fontId="13" fillId="10" borderId="23" xfId="0" applyNumberFormat="1" applyFont="1" applyFill="1" applyBorder="1"/>
    <x:xf numFmtId="0" fontId="11" fillId="9" borderId="22" xfId="0" applyNumberFormat="1" applyFont="1" applyFill="1" applyBorder="1"/>
    <x:xf numFmtId="0" fontId="11" fillId="9" borderId="21" xfId="0" applyNumberFormat="1" applyFont="1" applyFill="1" applyBorder="1"/>
    <x:xf numFmtId="0" fontId="11" fillId="9" borderId="23" xfId="0" applyNumberFormat="1" applyFont="1" applyFill="1" applyBorder="1"/>
    <x:xf numFmtId="0" fontId="11" fillId="0" borderId="22" xfId="0" applyNumberFormat="1" applyFont="1" applyFill="1" applyBorder="1"/>
    <x:xf numFmtId="0" fontId="11" fillId="0" borderId="21" xfId="0" applyNumberFormat="1" applyFont="1" applyFill="1" applyBorder="1"/>
    <x:xf numFmtId="2" fontId="11" fillId="0" borderId="21" xfId="0" applyNumberFormat="1" applyFont="1" applyFill="1" applyBorder="1"/>
    <x:xf numFmtId="14" fontId="11" fillId="0" borderId="21" xfId="0" applyNumberFormat="1" applyFont="1" applyFill="1" applyBorder="1"/>
    <x:xf numFmtId="0" fontId="11" fillId="0" borderId="23" xfId="0" applyNumberFormat="1" applyFont="1" applyFill="1" applyBorder="1"/>
    <x:xf numFmtId="2" fontId="11" fillId="0" borderId="17" xfId="0" applyNumberFormat="1" applyFont="1" applyFill="1" applyBorder="1"/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vertical="top" wrapText="1"/>
    </x:xf>
    <x:xf numFmtId="200" fontId="18" fillId="5" borderId="0" xfId="0" applyNumberFormat="1" applyFont="1" applyFill="1" applyBorder="1" applyAlignment="1">
      <x:alignment vertical="top" wrapText="1"/>
    </x:xf>
    <x:xf numFmtId="165" fontId="18" fillId="5" borderId="0" xfId="0" applyNumberFormat="1" applyFont="1" applyFill="1" applyBorder="1" applyAlignment="1">
      <x:alignment vertical="top" wrapText="1"/>
    </x:xf>
    <x:xf numFmtId="201" fontId="18" fillId="5" borderId="0" xfId="0" applyNumberFormat="1" applyFont="1" applyFill="1" applyBorder="1" applyAlignment="1">
      <x:alignment vertical="top" wrapText="1"/>
    </x:xf>
    <x:xf numFmtId="202" fontId="18" fillId="5" borderId="0" xfId="0" applyNumberFormat="1" applyFont="1" applyFill="1" applyBorder="1" applyAlignment="1">
      <x:alignment vertical="top" wrapText="1"/>
    </x:xf>
    <x:xf numFmtId="203" fontId="18" fillId="5" borderId="0" xfId="0" applyNumberFormat="1" applyFont="1" applyFill="1" applyBorder="1" applyAlignment="1">
      <x:alignment vertical="top" wrapText="1"/>
    </x:xf>
    <x:xf numFmtId="204" fontId="18" fillId="5" borderId="0" xfId="0" applyNumberFormat="1" applyFont="1" applyFill="1" applyBorder="1" applyAlignment="1">
      <x:alignment vertical="top" wrapText="1"/>
    </x:xf>
    <x:xf numFmtId="164" fontId="18" fillId="5" borderId="8" xfId="0" applyNumberFormat="1" applyFont="1" applyFill="1" applyBorder="1" applyAlignment="1">
      <x:alignment vertical="top" wrapText="1"/>
    </x:xf>
    <x:xf numFmtId="165" fontId="18" fillId="5" borderId="8" xfId="0" applyNumberFormat="1" applyFont="1" applyFill="1" applyBorder="1" applyAlignment="1">
      <x:alignment vertical="top" wrapText="1"/>
    </x:xf>
    <x:xf numFmtId="201" fontId="18" fillId="5" borderId="8" xfId="0" applyNumberFormat="1" applyFont="1" applyFill="1" applyBorder="1" applyAlignment="1">
      <x:alignment vertical="top" wrapText="1"/>
    </x:xf>
    <x:xf numFmtId="0" fontId="15" fillId="17" borderId="0" xfId="0" applyNumberFormat="1" applyFont="1" applyFill="1" applyBorder="1" applyAlignment="1">
      <x:alignment horizontal="left" vertical="center" wrapText="1"/>
    </x:xf>
    <x:xf numFmtId="0" fontId="15" fillId="17" borderId="0" xfId="0" applyNumberFormat="1" applyFont="1" applyFill="1" applyBorder="1" applyAlignment="1">
      <x:alignment horizontal="left" vertical="center"/>
    </x:xf>
    <x:xf numFmtId="0" fontId="1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 applyAlignment="1">
      <x:alignment horizontal="left" vertical="center" wrapText="1"/>
    </x:xf>
    <x:xf numFmtId="0" fontId="17" fillId="17" borderId="8" xfId="0" applyNumberFormat="1" applyFont="1" applyFill="1" applyBorder="1" applyAlignment="1">
      <x:alignment horizontal="center" vertical="center" wrapText="1"/>
    </x:xf>
    <x:xf numFmtId="0" fontId="17" fillId="17" borderId="0" xfId="0" applyNumberFormat="1" applyFont="1" applyFill="1" applyBorder="1" applyAlignment="1">
      <x:alignment horizontal="center" vertical="center" wrapText="1"/>
    </x:xf>
    <x:xf numFmtId="0" fontId="18" fillId="17" borderId="8" xfId="0" applyNumberFormat="1" applyFont="1" applyFill="1" applyBorder="1" applyAlignment="1">
      <x:alignment vertical="top" wrapText="1"/>
    </x:xf>
    <x:xf numFmtId="201" fontId="18" fillId="17" borderId="8" xfId="0" applyNumberFormat="1" applyFont="1" applyFill="1" applyBorder="1" applyAlignment="1">
      <x:alignment vertical="top" wrapText="1"/>
    </x:xf>
    <x:xf numFmtId="165" fontId="18" fillId="17" borderId="8" xfId="0" applyNumberFormat="1" applyFont="1" applyFill="1" applyBorder="1" applyAlignment="1">
      <x:alignment vertical="top" wrapText="1"/>
    </x:xf>
    <x:xf numFmtId="0" fontId="18" fillId="17" borderId="0" xfId="0" applyNumberFormat="1" applyFont="1" applyFill="1" applyBorder="1" applyAlignment="1">
      <x:alignment vertical="top" wrapText="1"/>
    </x:xf>
    <x:xf numFmtId="201" fontId="18" fillId="17" borderId="0" xfId="0" applyNumberFormat="1" applyFont="1" applyFill="1" applyBorder="1" applyAlignment="1">
      <x:alignment vertical="top" wrapText="1"/>
    </x:xf>
    <x:xf numFmtId="165" fontId="18" fillId="17" borderId="0" xfId="0" applyNumberFormat="1" applyFont="1" applyFill="1" applyBorder="1" applyAlignment="1">
      <x:alignment vertical="top" wrapText="1"/>
    </x:xf>
    <x:xf numFmtId="0" fontId="20" fillId="17" borderId="0" xfId="0" applyNumberFormat="1" applyFont="1" applyFill="1" applyBorder="1" applyAlignment="1">
      <x:alignment horizontal="left" vertical="center" wrapText="1"/>
    </x:xf>
    <x:xf numFmtId="0" fontId="20" fillId="17" borderId="0" xfId="0" applyNumberFormat="1" applyFont="1" applyFill="1" applyBorder="1" applyAlignment="1">
      <x:alignment horizontal="left" vertical="center"/>
    </x:xf>
    <x:xf numFmtId="0" fontId="20" fillId="17" borderId="0" xfId="0" applyNumberFormat="1" applyFont="1" applyFill="1" applyBorder="1" applyAlignment="1">
      <x:alignment vertical="center" wrapText="1"/>
    </x:xf>
    <x:xf numFmtId="0" fontId="18" fillId="17" borderId="0" xfId="0" applyNumberFormat="1" applyFont="1" applyFill="1" applyBorder="1"/>
    <x:xf numFmtId="0" fontId="22" fillId="17" borderId="0" xfId="0" applyNumberFormat="1" applyFont="1" applyFill="1" applyBorder="1" applyAlignment="1">
      <x:alignment horizontal="left" vertical="center" wrapText="1"/>
    </x:xf>
    <x:xf numFmtId="0" fontId="20" fillId="17" borderId="8" xfId="0" applyNumberFormat="1" applyFont="1" applyFill="1" applyBorder="1" applyAlignment="1">
      <x:alignment horizontal="center" vertical="center" wrapText="1"/>
    </x:xf>
    <x:xf numFmtId="0" fontId="20" fillId="17" borderId="0" xfId="0" applyNumberFormat="1" applyFont="1" applyFill="1" applyBorder="1" applyAlignment="1">
      <x:alignment horizontal="center" vertical="center" wrapText="1"/>
    </x:xf>
    <x:xf numFmtId="0" fontId="18" fillId="17" borderId="0" xfId="0" applyNumberFormat="1" applyFont="1" applyFill="1" applyBorder="1" applyAlignment="1">
      <x:alignment wrapText="1"/>
    </x:xf>
    <x:xf numFmtId="0" fontId="20" fillId="17" borderId="0" xfId="0" applyNumberFormat="1" applyFont="1" applyFill="1" applyBorder="1" applyAlignment="1">
      <x:alignment horizontal="left" vertical="top" wrapText="1"/>
    </x:xf>
    <x:xf numFmtId="0" fontId="20" fillId="17" borderId="0" xfId="0" applyNumberFormat="1" applyFont="1" applyFill="1" applyBorder="1" applyAlignment="1">
      <x:alignment vertical="top" wrapText="1"/>
    </x:xf>
    <x:xf numFmtId="0" fontId="22" fillId="17" borderId="0" xfId="0" applyNumberFormat="1" applyFont="1" applyFill="1" applyBorder="1" applyAlignment="1">
      <x:alignment horizontal="left" vertical="top" wrapText="1"/>
    </x:xf>
    <x:xf numFmtId="0" fontId="20" fillId="17" borderId="8" xfId="0" applyNumberFormat="1" applyFont="1" applyFill="1" applyBorder="1" applyAlignment="1">
      <x:alignment horizontal="center" vertical="top" wrapText="1"/>
    </x:xf>
    <x:xf numFmtId="0" fontId="20" fillId="17" borderId="0" xfId="0" applyNumberFormat="1" applyFont="1" applyFill="1" applyBorder="1" applyAlignment="1">
      <x:alignment horizontal="center" vertical="top" wrapText="1"/>
    </x:xf>
    <x:xf numFmtId="0" fontId="20" fillId="18" borderId="0" xfId="0" applyNumberFormat="1" applyFont="1" applyFill="1" applyBorder="1" applyAlignment="1">
      <x:alignment horizontal="left" vertical="top" wrapText="1"/>
    </x:xf>
    <x:xf numFmtId="0" fontId="15" fillId="18" borderId="0" xfId="0" applyNumberFormat="1" applyFont="1" applyFill="1" applyBorder="1" applyAlignment="1">
      <x:alignment horizontal="left" vertical="top" wrapText="1"/>
    </x:xf>
    <x:xf numFmtId="0" fontId="15" fillId="18" borderId="0" xfId="0" applyNumberFormat="1" applyFont="1" applyFill="1" applyBorder="1" applyAlignment="1">
      <x:alignment horizontal="left" vertical="center" wrapText="1"/>
    </x:xf>
    <x:xf numFmtId="0" fontId="22" fillId="19" borderId="0" xfId="0" applyNumberFormat="1" applyFont="1" applyFill="1" applyBorder="1" applyAlignment="1">
      <x:alignment horizontal="left" vertical="top" wrapText="1"/>
    </x:xf>
    <x:xf numFmtId="0" fontId="16" fillId="19" borderId="0" xfId="0" applyNumberFormat="1" applyFont="1" applyFill="1" applyBorder="1" applyAlignment="1">
      <x:alignment horizontal="left" vertical="top" wrapText="1"/>
    </x:xf>
    <x:xf numFmtId="0" fontId="16" fillId="19" borderId="0" xfId="0" applyNumberFormat="1" applyFont="1" applyFill="1" applyBorder="1" applyAlignment="1">
      <x:alignment horizontal="left" vertical="center" wrapText="1"/>
    </x:xf>
    <x:xf numFmtId="0" fontId="20" fillId="20" borderId="8" xfId="0" applyNumberFormat="1" applyFont="1" applyFill="1" applyBorder="1" applyAlignment="1">
      <x:alignment horizontal="center" vertical="top" wrapText="1"/>
    </x:xf>
    <x:xf numFmtId="0" fontId="20" fillId="20" borderId="0" xfId="0" applyNumberFormat="1" applyFont="1" applyFill="1" applyBorder="1" applyAlignment="1">
      <x:alignment horizontal="center" vertical="top" wrapText="1"/>
    </x:xf>
    <x:xf numFmtId="0" fontId="17" fillId="20" borderId="8" xfId="0" applyNumberFormat="1" applyFont="1" applyFill="1" applyBorder="1" applyAlignment="1">
      <x:alignment horizontal="center" vertical="top" wrapText="1"/>
    </x:xf>
    <x:xf numFmtId="0" fontId="17" fillId="20" borderId="0" xfId="0" applyNumberFormat="1" applyFont="1" applyFill="1" applyBorder="1" applyAlignment="1">
      <x:alignment horizontal="center" vertical="top" wrapText="1"/>
    </x:xf>
    <x:xf numFmtId="0" fontId="17" fillId="20" borderId="8" xfId="0" applyNumberFormat="1" applyFont="1" applyFill="1" applyBorder="1" applyAlignment="1">
      <x:alignment horizontal="center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205" fontId="18" fillId="17" borderId="8" xfId="0" applyNumberFormat="1" applyFont="1" applyFill="1" applyBorder="1" applyAlignment="1">
      <x:alignment vertical="top" wrapText="1"/>
    </x:xf>
    <x:xf numFmtId="205" fontId="18" fillId="17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horizontal="center" vertical="center"/>
    </x:xf>
    <x:xf numFmtId="0" fontId="21" fillId="17" borderId="1" xfId="0" applyNumberFormat="1" applyFont="1" applyFill="1" applyBorder="1" applyAlignment="1">
      <x:alignment horizontal="center" vertical="center"/>
    </x:xf>
    <x:xf numFmtId="0" fontId="21" fillId="17" borderId="2" xfId="0" applyNumberFormat="1" applyFont="1" applyFill="1" applyBorder="1" applyAlignment="1">
      <x:alignment horizontal="center" vertical="center"/>
    </x:xf>
    <x:xf numFmtId="0" fontId="4" fillId="17" borderId="2" xfId="0" applyNumberFormat="1" applyFont="1" applyFill="1" applyBorder="1" applyAlignment="1">
      <x:alignment horizontal="center" vertical="center"/>
    </x:xf>
    <x:xf numFmtId="0" fontId="4" fillId="17" borderId="3" xfId="0" applyNumberFormat="1" applyFont="1" applyFill="1" applyBorder="1" applyAlignment="1">
      <x:alignment horizontal="center" vertical="center"/>
    </x:xf>
    <x:xf numFmtId="0" fontId="4" fillId="17" borderId="4" xfId="0" applyNumberFormat="1" applyFont="1" applyFill="1" applyBorder="1" applyAlignment="1">
      <x:alignment horizontal="center" vertical="center"/>
    </x:xf>
    <x:xf numFmtId="0" fontId="5" fillId="17" borderId="0" xfId="0" applyNumberFormat="1" applyFont="1" applyFill="1" applyBorder="1"/>
    <x:xf numFmtId="0" fontId="18" fillId="17" borderId="5" xfId="0" applyNumberFormat="1" applyFont="1" applyFill="1" applyBorder="1" applyAlignment="1">
      <x:alignment vertical="top" wrapText="1"/>
    </x:xf>
    <x:xf numFmtId="0" fontId="18" fillId="17" borderId="6" xfId="0" applyNumberFormat="1" applyFont="1" applyFill="1" applyBorder="1" applyAlignment="1">
      <x:alignment vertical="top" wrapText="1"/>
    </x:xf>
    <x:xf numFmtId="0" fontId="6" fillId="17" borderId="7" xfId="0" applyNumberFormat="1" applyFont="1" applyFill="1" applyBorder="1" applyAlignment="1">
      <x:alignment vertical="center" wrapText="1"/>
    </x:xf>
    <x:xf numFmtId="0" fontId="20" fillId="17" borderId="8" xfId="0" applyNumberFormat="1" applyFont="1" applyFill="1" applyBorder="1" applyAlignment="1">
      <x:alignment vertical="top" wrapText="1"/>
    </x:xf>
    <x:xf numFmtId="0" fontId="6" fillId="17" borderId="8" xfId="0" applyNumberFormat="1" applyFont="1" applyFill="1" applyBorder="1" applyAlignment="1">
      <x:alignment vertical="center" wrapText="1"/>
    </x:xf>
    <x:xf numFmtId="0" fontId="20" fillId="17" borderId="9" xfId="0" applyNumberFormat="1" applyFont="1" applyFill="1" applyBorder="1" applyAlignment="1">
      <x:alignment vertical="top" wrapText="1"/>
    </x:xf>
    <x:xf numFmtId="0" fontId="20" fillId="17" borderId="10" xfId="0" applyNumberFormat="1" applyFont="1" applyFill="1" applyBorder="1" applyAlignment="1">
      <x:alignment vertical="top" wrapText="1"/>
    </x:xf>
    <x:xf numFmtId="0" fontId="8" fillId="17" borderId="11" xfId="0" applyNumberFormat="1" applyFont="1" applyFill="1" applyBorder="1" applyAlignment="1">
      <x:alignment vertical="center" wrapText="1"/>
    </x:xf>
    <x:xf numFmtId="0" fontId="20" fillId="17" borderId="12" xfId="0" applyNumberFormat="1" applyFont="1" applyFill="1" applyBorder="1" applyAlignment="1">
      <x:alignment vertical="top" wrapText="1"/>
    </x:xf>
    <x:xf numFmtId="0" fontId="20" fillId="17" borderId="13" xfId="0" applyNumberFormat="1" applyFont="1" applyFill="1" applyBorder="1" applyAlignment="1">
      <x:alignment vertical="top" wrapText="1"/>
    </x:xf>
    <x:xf numFmtId="0" fontId="8" fillId="17" borderId="14" xfId="0" applyNumberFormat="1" applyFont="1" applyFill="1" applyBorder="1" applyAlignment="1">
      <x:alignment vertical="center" wrapText="1"/>
    </x:xf>
    <x:xf numFmtId="0" fontId="22" fillId="17" borderId="0" xfId="0" applyNumberFormat="1" applyFont="1" applyFill="1" applyBorder="1" applyAlignment="1">
      <x:alignment vertical="center" wrapText="1"/>
    </x:xf>
    <x:xf numFmtId="0" fontId="20" fillId="17" borderId="0" xfId="0" applyNumberFormat="1" applyFont="1" applyFill="1" applyBorder="1" applyAlignment="1">
      <x:alignment horizontal="center" vertical="center"/>
    </x:xf>
    <x:xf numFmtId="0" fontId="20" fillId="17" borderId="1" xfId="0" applyNumberFormat="1" applyFont="1" applyFill="1" applyBorder="1" applyAlignment="1">
      <x:alignment horizontal="center" vertical="center"/>
    </x:xf>
    <x:xf numFmtId="0" fontId="20" fillId="17" borderId="2" xfId="0" applyNumberFormat="1" applyFont="1" applyFill="1" applyBorder="1" applyAlignment="1">
      <x:alignment horizontal="center" vertical="center"/>
    </x:xf>
    <x:xf numFmtId="0" fontId="20" fillId="17" borderId="3" xfId="0" applyNumberFormat="1" applyFont="1" applyFill="1" applyBorder="1" applyAlignment="1">
      <x:alignment horizontal="center" vertical="center"/>
    </x:xf>
    <x:xf numFmtId="0" fontId="20" fillId="17" borderId="4" xfId="0" applyNumberFormat="1" applyFont="1" applyFill="1" applyBorder="1" applyAlignment="1">
      <x:alignment horizontal="center" vertical="center"/>
    </x:xf>
    <x:xf numFmtId="0" fontId="20" fillId="17" borderId="0" xfId="0" applyNumberFormat="1" applyFont="1" applyFill="1" applyBorder="1"/>
    <x:xf numFmtId="0" fontId="18" fillId="17" borderId="7" xfId="0" applyNumberFormat="1" applyFont="1" applyFill="1" applyBorder="1" applyAlignment="1">
      <x:alignment vertical="center" wrapText="1"/>
    </x:xf>
    <x:xf numFmtId="0" fontId="18" fillId="17" borderId="8" xfId="0" applyNumberFormat="1" applyFont="1" applyFill="1" applyBorder="1" applyAlignment="1">
      <x:alignment vertical="center" wrapText="1"/>
    </x:xf>
    <x:xf numFmtId="0" fontId="20" fillId="17" borderId="11" xfId="0" applyNumberFormat="1" applyFont="1" applyFill="1" applyBorder="1" applyAlignment="1">
      <x:alignment vertical="center" wrapText="1"/>
    </x:xf>
    <x:xf numFmtId="0" fontId="20" fillId="17" borderId="14" xfId="0" applyNumberFormat="1" applyFont="1" applyFill="1" applyBorder="1" applyAlignment="1">
      <x:alignment vertical="center" wrapText="1"/>
    </x:xf>
    <x:xf numFmtId="0" fontId="20" fillId="17" borderId="1" xfId="0" applyNumberFormat="1" applyFont="1" applyFill="1" applyBorder="1" applyAlignment="1">
      <x:alignment horizontal="center" vertical="center" wrapText="1"/>
    </x:xf>
    <x:xf numFmtId="0" fontId="20" fillId="17" borderId="2" xfId="0" applyNumberFormat="1" applyFont="1" applyFill="1" applyBorder="1" applyAlignment="1">
      <x:alignment horizontal="center" vertical="center" wrapText="1"/>
    </x:xf>
    <x:xf numFmtId="0" fontId="20" fillId="17" borderId="3" xfId="0" applyNumberFormat="1" applyFont="1" applyFill="1" applyBorder="1" applyAlignment="1">
      <x:alignment horizontal="center" vertical="center" wrapText="1"/>
    </x:xf>
    <x:xf numFmtId="0" fontId="20" fillId="17" borderId="4" xfId="0" applyNumberFormat="1" applyFont="1" applyFill="1" applyBorder="1" applyAlignment="1">
      <x:alignment horizontal="center" vertical="center" wrapText="1"/>
    </x:xf>
    <x:xf numFmtId="0" fontId="20" fillId="17" borderId="0" xfId="0" applyNumberFormat="1" applyFont="1" applyFill="1" applyBorder="1" applyAlignment="1">
      <x:alignment wrapText="1"/>
    </x:xf>
    <x:xf numFmtId="0" fontId="22" fillId="17" borderId="0" xfId="0" applyNumberFormat="1" applyFont="1" applyFill="1" applyBorder="1" applyAlignment="1">
      <x:alignment vertical="top" wrapText="1"/>
    </x:xf>
    <x:xf numFmtId="0" fontId="20" fillId="17" borderId="1" xfId="0" applyNumberFormat="1" applyFont="1" applyFill="1" applyBorder="1" applyAlignment="1">
      <x:alignment horizontal="center" vertical="top" wrapText="1"/>
    </x:xf>
    <x:xf numFmtId="0" fontId="20" fillId="17" borderId="2" xfId="0" applyNumberFormat="1" applyFont="1" applyFill="1" applyBorder="1" applyAlignment="1">
      <x:alignment horizontal="center" vertical="top" wrapText="1"/>
    </x:xf>
    <x:xf numFmtId="0" fontId="20" fillId="17" borderId="3" xfId="0" applyNumberFormat="1" applyFont="1" applyFill="1" applyBorder="1" applyAlignment="1">
      <x:alignment horizontal="center" vertical="top" wrapText="1"/>
    </x:xf>
    <x:xf numFmtId="0" fontId="20" fillId="17" borderId="4" xfId="0" applyNumberFormat="1" applyFont="1" applyFill="1" applyBorder="1" applyAlignment="1">
      <x:alignment horizontal="center" vertical="top" wrapText="1"/>
    </x:xf>
    <x:xf numFmtId="0" fontId="18" fillId="17" borderId="7" xfId="0" applyNumberFormat="1" applyFont="1" applyFill="1" applyBorder="1" applyAlignment="1">
      <x:alignment vertical="top" wrapText="1"/>
    </x:xf>
    <x:xf numFmtId="0" fontId="20" fillId="17" borderId="11" xfId="0" applyNumberFormat="1" applyFont="1" applyFill="1" applyBorder="1" applyAlignment="1">
      <x:alignment vertical="top" wrapText="1"/>
    </x:xf>
    <x:xf numFmtId="0" fontId="20" fillId="17" borderId="14" xfId="0" applyNumberFormat="1" applyFont="1" applyFill="1" applyBorder="1" applyAlignment="1">
      <x:alignment vertical="top" wrapText="1"/>
    </x:xf>
    <x:xf numFmtId="0" fontId="20" fillId="18" borderId="0" xfId="0" applyNumberFormat="1" applyFont="1" applyFill="1" applyBorder="1" applyAlignment="1">
      <x:alignment vertical="top" wrapText="1"/>
    </x:xf>
    <x:xf numFmtId="0" fontId="15" fillId="18" borderId="0" xfId="0" applyNumberFormat="1" applyFont="1" applyFill="1" applyBorder="1" applyAlignment="1">
      <x:alignment vertical="top" wrapText="1"/>
    </x:xf>
    <x:xf numFmtId="0" fontId="22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0" fontId="21" fillId="17" borderId="1" xfId="0" applyNumberFormat="1" applyFont="1" applyFill="1" applyBorder="1" applyAlignment="1">
      <x:alignment horizontal="center" vertical="top" wrapText="1"/>
    </x:xf>
    <x:xf numFmtId="0" fontId="21" fillId="17" borderId="2" xfId="0" applyNumberFormat="1" applyFont="1" applyFill="1" applyBorder="1" applyAlignment="1">
      <x:alignment horizontal="center" vertical="top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21" fillId="17" borderId="2" xfId="0" applyNumberFormat="1" applyFont="1" applyFill="1" applyBorder="1" applyAlignment="1">
      <x:alignment horizontal="center" vertical="center" wrapText="1"/>
    </x:xf>
    <x:xf numFmtId="0" fontId="20" fillId="19" borderId="8" xfId="0" applyNumberFormat="1" applyFont="1" applyFill="1" applyBorder="1" applyAlignment="1">
      <x:alignment vertical="top" wrapText="1"/>
    </x:xf>
    <x:xf numFmtId="0" fontId="20" fillId="19" borderId="0" xfId="0" applyNumberFormat="1" applyFont="1" applyFill="1" applyBorder="1" applyAlignment="1">
      <x:alignment vertical="top" wrapText="1"/>
    </x:xf>
    <x:xf numFmtId="0" fontId="18" fillId="19" borderId="0" xfId="0" applyNumberFormat="1" applyFont="1" applyFill="1" applyBorder="1" applyAlignment="1">
      <x:alignment vertical="top" wrapText="1"/>
    </x:xf>
    <x:xf numFmtId="0" fontId="20" fillId="19" borderId="9" xfId="0" applyNumberFormat="1" applyFont="1" applyFill="1" applyBorder="1" applyAlignment="1">
      <x:alignment vertical="top" wrapText="1"/>
    </x:xf>
    <x:xf numFmtId="0" fontId="20" fillId="19" borderId="10" xfId="0" applyNumberFormat="1" applyFont="1" applyFill="1" applyBorder="1" applyAlignment="1">
      <x:alignment vertical="top" wrapText="1"/>
    </x:xf>
    <x:xf numFmtId="0" fontId="20" fillId="19" borderId="12" xfId="0" applyNumberFormat="1" applyFont="1" applyFill="1" applyBorder="1" applyAlignment="1">
      <x:alignment vertical="top" wrapText="1"/>
    </x:xf>
    <x:xf numFmtId="0" fontId="20" fillId="19" borderId="13" xfId="0" applyNumberFormat="1" applyFont="1" applyFill="1" applyBorder="1" applyAlignment="1">
      <x:alignment vertical="top" wrapText="1"/>
    </x:xf>
    <x:xf numFmtId="0" fontId="20" fillId="21" borderId="0" xfId="0" applyNumberFormat="1" applyFont="1" applyFill="1" applyBorder="1" applyAlignment="1">
      <x:alignment vertical="top" wrapText="1"/>
    </x:xf>
    <x:xf numFmtId="0" fontId="18" fillId="21" borderId="0" xfId="0" applyNumberFormat="1" applyFont="1" applyFill="1" applyBorder="1" applyAlignment="1">
      <x:alignment vertical="top" wrapText="1"/>
    </x:xf>
    <x:xf numFmtId="0" fontId="20" fillId="21" borderId="0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horizontal="left" vertical="center" wrapText="1"/>
    </x:xf>
    <x:xf numFmtId="0" fontId="15" fillId="5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left" vertical="center" wrapText="1"/>
    </x:xf>
    <x:xf numFmtId="0" fontId="17" fillId="5" borderId="8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20" fillId="5" borderId="0" xfId="0" applyNumberFormat="1" applyFont="1" applyFill="1" applyBorder="1" applyAlignment="1">
      <x:alignment horizontal="left" vertical="center" wrapText="1"/>
    </x:xf>
    <x:xf numFmtId="0" fontId="20" fillId="5" borderId="0" xfId="0" applyNumberFormat="1" applyFont="1" applyFill="1" applyBorder="1" applyAlignment="1">
      <x:alignment horizontal="left" vertical="center"/>
    </x:xf>
    <x:xf numFmtId="0" fontId="20" fillId="5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/>
    <x:xf numFmtId="0" fontId="22" fillId="5" borderId="0" xfId="0" applyNumberFormat="1" applyFont="1" applyFill="1" applyBorder="1" applyAlignment="1">
      <x:alignment horizontal="left" vertical="center" wrapText="1"/>
    </x:xf>
    <x:xf numFmtId="0" fontId="20" fillId="5" borderId="8" xfId="0" applyNumberFormat="1" applyFont="1" applyFill="1" applyBorder="1" applyAlignment="1">
      <x:alignment horizontal="center" vertical="center" wrapText="1"/>
    </x:xf>
    <x:xf numFmtId="0" fontId="20" fillId="5" borderId="0" xfId="0" applyNumberFormat="1" applyFont="1" applyFill="1" applyBorder="1" applyAlignment="1">
      <x:alignment horizontal="center" vertical="center" wrapText="1"/>
    </x:xf>
    <x:xf numFmtId="0" fontId="18" fillId="5" borderId="0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horizontal="left" vertical="top" wrapText="1"/>
    </x:xf>
    <x:xf numFmtId="0" fontId="20" fillId="5" borderId="0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horizontal="left" vertical="top" wrapText="1"/>
    </x:xf>
    <x:xf numFmtId="0" fontId="20" fillId="5" borderId="8" xfId="0" applyNumberFormat="1" applyFont="1" applyFill="1" applyBorder="1" applyAlignment="1">
      <x:alignment horizontal="center" vertical="top" wrapText="1"/>
    </x:xf>
    <x:xf numFmtId="0" fontId="20" fillId="5" borderId="0" xfId="0" applyNumberFormat="1" applyFont="1" applyFill="1" applyBorder="1" applyAlignment="1">
      <x:alignment horizontal="center" vertical="top" wrapText="1"/>
    </x:xf>
    <x:xf numFmtId="0" fontId="20" fillId="11" borderId="0" xfId="0" applyNumberFormat="1" applyFont="1" applyFill="1" applyBorder="1" applyAlignment="1">
      <x:alignment horizontal="left" vertical="top" wrapText="1"/>
    </x:xf>
    <x:xf numFmtId="0" fontId="15" fillId="11" borderId="0" xfId="0" applyNumberFormat="1" applyFont="1" applyFill="1" applyBorder="1" applyAlignment="1">
      <x:alignment horizontal="left" vertical="top" wrapText="1"/>
    </x:xf>
    <x:xf numFmtId="0" fontId="22" fillId="12" borderId="0" xfId="0" applyNumberFormat="1" applyFont="1" applyFill="1" applyBorder="1" applyAlignment="1">
      <x:alignment horizontal="left" vertical="top" wrapText="1"/>
    </x:xf>
    <x:xf numFmtId="0" fontId="16" fillId="12" borderId="0" xfId="0" applyNumberFormat="1" applyFont="1" applyFill="1" applyBorder="1" applyAlignment="1">
      <x:alignment horizontal="left" vertical="top" wrapText="1"/>
    </x:xf>
    <x:xf numFmtId="0" fontId="20" fillId="13" borderId="8" xfId="0" applyNumberFormat="1" applyFont="1" applyFill="1" applyBorder="1" applyAlignment="1">
      <x:alignment horizontal="center" vertical="top" wrapText="1"/>
    </x:xf>
    <x:xf numFmtId="0" fontId="20" fillId="13" borderId="0" xfId="0" applyNumberFormat="1" applyFont="1" applyFill="1" applyBorder="1" applyAlignment="1">
      <x:alignment horizontal="center" vertical="top" wrapText="1"/>
    </x:xf>
    <x:xf numFmtId="0" fontId="17" fillId="13" borderId="8" xfId="0" applyNumberFormat="1" applyFont="1" applyFill="1" applyBorder="1" applyAlignment="1">
      <x:alignment horizontal="center" vertical="top" wrapText="1"/>
    </x:xf>
    <x:xf numFmtId="0" fontId="17" fillId="13" borderId="0" xfId="0" applyNumberFormat="1" applyFont="1" applyFill="1" applyBorder="1" applyAlignment="1">
      <x:alignment horizontal="center" vertical="top" wrapText="1"/>
    </x:xf>
    <x:xf numFmtId="205" fontId="18" fillId="5" borderId="8" xfId="0" applyNumberFormat="1" applyFont="1" applyFill="1" applyBorder="1" applyAlignment="1">
      <x:alignment vertical="top" wrapText="1"/>
    </x:xf>
    <x:xf numFmtId="205" fontId="18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20" fillId="5" borderId="8" xfId="0" applyNumberFormat="1" applyFont="1" applyFill="1" applyBorder="1" applyAlignment="1">
      <x:alignment vertical="top" wrapText="1"/>
    </x:xf>
    <x:xf numFmtId="0" fontId="20" fillId="5" borderId="9" xfId="0" applyNumberFormat="1" applyFont="1" applyFill="1" applyBorder="1" applyAlignment="1">
      <x:alignment vertical="top" wrapText="1"/>
    </x:xf>
    <x:xf numFmtId="0" fontId="20" fillId="5" borderId="10" xfId="0" applyNumberFormat="1" applyFont="1" applyFill="1" applyBorder="1" applyAlignment="1">
      <x:alignment vertical="top" wrapText="1"/>
    </x:xf>
    <x:xf numFmtId="0" fontId="8" fillId="5" borderId="11" xfId="0" applyNumberFormat="1" applyFont="1" applyFill="1" applyBorder="1" applyAlignment="1">
      <x:alignment vertical="center" wrapText="1"/>
    </x:xf>
    <x:xf numFmtId="0" fontId="20" fillId="5" borderId="12" xfId="0" applyNumberFormat="1" applyFont="1" applyFill="1" applyBorder="1" applyAlignment="1">
      <x:alignment vertical="top" wrapText="1"/>
    </x:xf>
    <x:xf numFmtId="0" fontId="20" fillId="5" borderId="13" xfId="0" applyNumberFormat="1" applyFont="1" applyFill="1" applyBorder="1" applyAlignment="1">
      <x:alignment vertical="top" wrapText="1"/>
    </x:xf>
    <x:xf numFmtId="0" fontId="8" fillId="5" borderId="14" xfId="0" applyNumberFormat="1" applyFont="1" applyFill="1" applyBorder="1" applyAlignment="1">
      <x:alignment vertical="center" wrapText="1"/>
    </x:xf>
    <x:xf numFmtId="0" fontId="22" fillId="5" borderId="0" xfId="0" applyNumberFormat="1" applyFont="1" applyFill="1" applyBorder="1" applyAlignment="1">
      <x:alignment vertical="center" wrapText="1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/>
    <x:xf numFmtId="0" fontId="18" fillId="5" borderId="7" xfId="0" applyNumberFormat="1" applyFont="1" applyFill="1" applyBorder="1" applyAlignment="1">
      <x:alignment vertical="center" wrapText="1"/>
    </x:xf>
    <x:xf numFmtId="0" fontId="20" fillId="5" borderId="11" xfId="0" applyNumberFormat="1" applyFont="1" applyFill="1" applyBorder="1" applyAlignment="1">
      <x:alignment vertical="center" wrapText="1"/>
    </x:xf>
    <x:xf numFmtId="0" fontId="20" fillId="5" borderId="14" xfId="0" applyNumberFormat="1" applyFont="1" applyFill="1" applyBorder="1" applyAlignment="1">
      <x:alignment vertical="center" wrapText="1"/>
    </x:xf>
    <x:xf numFmtId="0" fontId="20" fillId="5" borderId="1" xfId="0" applyNumberFormat="1" applyFont="1" applyFill="1" applyBorder="1" applyAlignment="1">
      <x:alignment horizontal="center" vertical="center" wrapText="1"/>
    </x:xf>
    <x:xf numFmtId="0" fontId="20" fillId="5" borderId="2" xfId="0" applyNumberFormat="1" applyFont="1" applyFill="1" applyBorder="1" applyAlignment="1">
      <x:alignment horizontal="center" vertical="center" wrapText="1"/>
    </x:xf>
    <x:xf numFmtId="0" fontId="20" fillId="5" borderId="3" xfId="0" applyNumberFormat="1" applyFont="1" applyFill="1" applyBorder="1" applyAlignment="1">
      <x:alignment horizontal="center" vertical="center" wrapText="1"/>
    </x:xf>
    <x:xf numFmtId="0" fontId="20" fillId="5" borderId="4" xfId="0" applyNumberFormat="1" applyFont="1" applyFill="1" applyBorder="1" applyAlignment="1">
      <x:alignment horizontal="center" vertical="center" wrapText="1"/>
    </x:xf>
    <x:xf numFmtId="0" fontId="20" fillId="5" borderId="0" xfId="0" applyNumberFormat="1" applyFont="1" applyFill="1" applyBorder="1" applyAlignment="1">
      <x:alignment wrapText="1"/>
    </x:xf>
    <x:xf numFmtId="0" fontId="22" fillId="5" borderId="0" xfId="0" applyNumberFormat="1" applyFont="1" applyFill="1" applyBorder="1" applyAlignment="1">
      <x:alignment vertical="top" wrapText="1"/>
    </x:xf>
    <x:xf numFmtId="0" fontId="20" fillId="5" borderId="1" xfId="0" applyNumberFormat="1" applyFont="1" applyFill="1" applyBorder="1" applyAlignment="1">
      <x:alignment horizontal="center" vertical="top" wrapText="1"/>
    </x:xf>
    <x:xf numFmtId="0" fontId="20" fillId="5" borderId="2" xfId="0" applyNumberFormat="1" applyFont="1" applyFill="1" applyBorder="1" applyAlignment="1">
      <x:alignment horizontal="center" vertical="top" wrapText="1"/>
    </x:xf>
    <x:xf numFmtId="0" fontId="20" fillId="5" borderId="3" xfId="0" applyNumberFormat="1" applyFont="1" applyFill="1" applyBorder="1" applyAlignment="1">
      <x:alignment horizontal="center" vertical="top" wrapText="1"/>
    </x:xf>
    <x:xf numFmtId="0" fontId="20" fillId="5" borderId="4" xfId="0" applyNumberFormat="1" applyFont="1" applyFill="1" applyBorder="1" applyAlignment="1">
      <x:alignment horizontal="center" vertical="top" wrapText="1"/>
    </x:xf>
    <x:xf numFmtId="0" fontId="18" fillId="5" borderId="7" xfId="0" applyNumberFormat="1" applyFont="1" applyFill="1" applyBorder="1" applyAlignment="1">
      <x:alignment vertical="top" wrapText="1"/>
    </x:xf>
    <x:xf numFmtId="0" fontId="20" fillId="5" borderId="11" xfId="0" applyNumberFormat="1" applyFont="1" applyFill="1" applyBorder="1" applyAlignment="1">
      <x:alignment vertical="top" wrapText="1"/>
    </x:xf>
    <x:xf numFmtId="0" fontId="20" fillId="5" borderId="14" xfId="0" applyNumberFormat="1" applyFont="1" applyFill="1" applyBorder="1" applyAlignment="1">
      <x:alignment vertical="top" wrapText="1"/>
    </x:xf>
    <x:xf numFmtId="0" fontId="20" fillId="11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 applyAlignment="1">
      <x:alignment vertical="top" wrapText="1"/>
    </x:xf>
    <x:xf numFmtId="0" fontId="22" fillId="12" borderId="0" xfId="0" applyNumberFormat="1" applyFont="1" applyFill="1" applyBorder="1" applyAlignment="1">
      <x:alignment vertical="top" wrapText="1"/>
    </x:xf>
    <x:xf numFmtId="0" fontId="16" fillId="12" borderId="0" xfId="0" applyNumberFormat="1" applyFont="1" applyFill="1" applyBorder="1" applyAlignment="1">
      <x:alignment vertical="top" wrapText="1"/>
    </x:xf>
    <x:xf numFmtId="0" fontId="21" fillId="5" borderId="1" xfId="0" applyNumberFormat="1" applyFont="1" applyFill="1" applyBorder="1" applyAlignment="1">
      <x:alignment horizontal="center" vertical="top" wrapText="1"/>
    </x:xf>
    <x:xf numFmtId="0" fontId="21" fillId="5" borderId="2" xfId="0" applyNumberFormat="1" applyFont="1" applyFill="1" applyBorder="1" applyAlignment="1">
      <x:alignment horizontal="center" vertical="top" wrapText="1"/>
    </x:xf>
    <x:xf numFmtId="0" fontId="21" fillId="5" borderId="1" xfId="0" applyNumberFormat="1" applyFont="1" applyFill="1" applyBorder="1" applyAlignment="1">
      <x:alignment horizontal="center" vertical="center" wrapText="1"/>
    </x:xf>
    <x:xf numFmtId="0" fontId="21" fillId="5" borderId="2" xfId="0" applyNumberFormat="1" applyFont="1" applyFill="1" applyBorder="1" applyAlignment="1">
      <x:alignment horizontal="center" vertical="center" wrapText="1"/>
    </x:xf>
    <x:xf numFmtId="0" fontId="20" fillId="12" borderId="8" xfId="0" applyNumberFormat="1" applyFont="1" applyFill="1" applyBorder="1" applyAlignment="1">
      <x:alignment vertical="top" wrapText="1"/>
    </x:xf>
    <x:xf numFmtId="0" fontId="20" fillId="12" borderId="0" xfId="0" applyNumberFormat="1" applyFont="1" applyFill="1" applyBorder="1" applyAlignment="1">
      <x:alignment vertical="top" wrapText="1"/>
    </x:xf>
    <x:xf numFmtId="0" fontId="18" fillId="12" borderId="0" xfId="0" applyNumberFormat="1" applyFont="1" applyFill="1" applyBorder="1" applyAlignment="1">
      <x:alignment vertical="top" wrapText="1"/>
    </x:xf>
    <x:xf numFmtId="0" fontId="20" fillId="12" borderId="9" xfId="0" applyNumberFormat="1" applyFont="1" applyFill="1" applyBorder="1" applyAlignment="1">
      <x:alignment vertical="top" wrapText="1"/>
    </x:xf>
    <x:xf numFmtId="0" fontId="20" fillId="12" borderId="10" xfId="0" applyNumberFormat="1" applyFont="1" applyFill="1" applyBorder="1" applyAlignment="1">
      <x:alignment vertical="top" wrapText="1"/>
    </x:xf>
    <x:xf numFmtId="0" fontId="20" fillId="12" borderId="12" xfId="0" applyNumberFormat="1" applyFont="1" applyFill="1" applyBorder="1" applyAlignment="1">
      <x:alignment vertical="top" wrapText="1"/>
    </x:xf>
    <x:xf numFmtId="0" fontId="20" fillId="12" borderId="13" xfId="0" applyNumberFormat="1" applyFont="1" applyFill="1" applyBorder="1" applyAlignment="1">
      <x:alignment vertical="top" wrapText="1"/>
    </x:xf>
    <x:xf numFmtId="0" fontId="20" fillId="16" borderId="0" xfId="0" applyNumberFormat="1" applyFont="1" applyFill="1" applyBorder="1" applyAlignment="1">
      <x:alignment vertical="center" wrapText="1"/>
    </x:xf>
  </x:cellXfs>
  <x:cellStyles count="3">
    <x:cellStyle name="Hyperlink" xfId="2"/>
    <x:cellStyle name="Normal" xfId="0"/>
    <x:cellStyle name="Per cent" xfId="1"/>
  </x:cellStyles>
  <x:dxfs count="22">
    <x:dxf>
      <x:font>
        <x:b/>
        <x:color rgb="FF991B1B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6EE"/>
        </x:patternFill>
      </x:fill>
    </x:dxf>
    <x:dxf>
      <x:numFmt numFmtId="19" formatCode="dd/mm/yyyy"/>
    </x:dxf>
    <x:dxf>
      <x:border>
        <x:top style="thin">
          <x:color theme="4" tint="0.39998"/>
        </x:top>
      </x:border>
    </x:dxf>
    <x:dxf>
      <x:border>
        <x:bottom style="thin">
          <x:color theme="4" tint="0.39998"/>
        </x:bottom>
      </x:border>
    </x:dxf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</x:dxf>
    <x:dxf>
      <x:numFmt numFmtId="2" formatCode="0.00"/>
    </x:dxf>
    <x:dxf>
      <x:numFmt numFmtId="2" formatCode="0.00"/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ill>
        <x:patternFill>
          <x:bgColor rgb="FFD9EEF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4CE"/>
        </x:patternFill>
      </x:fill>
    </x:dxf>
    <x:dxf>
      <x:fill>
        <x:patternFill>
          <x:bgColor rgb="FFD9EEF6"/>
        </x:patternFill>
      </x:fill>
    </x:dxf>
    <x:dxf>
      <x:font>
        <x:b/>
        <x:color rgb="FF17324D"/>
      </x:font>
      <x:fill>
        <x:patternFill>
          <x:bgColor rgb="FFE2F0D9"/>
        </x:patternFill>
      </x:fill>
    </x:dxf>
    <x:dxf>
      <x:font>
        <x:b/>
        <x:color rgb="FF17324D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a4f3f84164af6" /><Relationship Type="http://schemas.openxmlformats.org/officeDocument/2006/relationships/theme" Target="/xl/theme/theme1.xml" Id="R79df4544100148f1" /><Relationship Type="http://schemas.openxmlformats.org/officeDocument/2006/relationships/sheetMetadata" Target="/xl/metadata1.xml" Id="R46b07975e4534aa1" /><Relationship Type="http://schemas.openxmlformats.org/officeDocument/2006/relationships/sharedStrings" Target="/xl/sharedStrings.xml" Id="R7f37f952ddb448e9" /><Relationship Type="http://schemas.openxmlformats.org/officeDocument/2006/relationships/worksheet" Target="/xl/worksheets/sheet1.xml" Id="R26c43705e3f64738" /><Relationship Type="http://schemas.openxmlformats.org/officeDocument/2006/relationships/worksheet" Target="/xl/worksheets/sheet2.xml" Id="R9391a3519aa24f6a" /><Relationship Type="http://schemas.openxmlformats.org/officeDocument/2006/relationships/worksheet" Target="/xl/worksheets/sheet3.xml" Id="Re43167f600014587" /><Relationship Type="http://schemas.openxmlformats.org/officeDocument/2006/relationships/worksheet" Target="/xl/worksheets/sheet4.xml" Id="R339f1967e43f4ba3" /><Relationship Type="http://schemas.openxmlformats.org/officeDocument/2006/relationships/worksheet" Target="/xl/worksheets/sheet5.xml" Id="R79ba0d9126c24e67" /><Relationship Type="http://schemas.openxmlformats.org/officeDocument/2006/relationships/worksheet" Target="/xl/worksheets/sheet6.xml" Id="R28d853e7c2134b09" /><Relationship Type="http://schemas.openxmlformats.org/officeDocument/2006/relationships/worksheet" Target="/xl/worksheets/sheet7.xml" Id="R6dcee0c47ca047a3" /><Relationship Type="http://schemas.openxmlformats.org/officeDocument/2006/relationships/worksheet" Target="/xl/worksheets/sheet8.xml" Id="Rbf12fc1855b844f1" /><Relationship Type="http://schemas.openxmlformats.org/officeDocument/2006/relationships/worksheet" Target="/xl/worksheets/sheet9.xml" Id="Rc9e8d7a7bdd84b45" /><Relationship Type="http://schemas.openxmlformats.org/officeDocument/2006/relationships/worksheet" Target="/xl/worksheets/sheet10.xml" Id="R344e2368e0664fca" /><Relationship Type="http://schemas.openxmlformats.org/officeDocument/2006/relationships/worksheet" Target="/xl/worksheets/sheet11.xml" Id="R698850a2e33a4b0f" /><Relationship Type="http://schemas.openxmlformats.org/officeDocument/2006/relationships/worksheet" Target="/xl/worksheets/sheet12.xml" Id="Rfefbb5e4bcfe4724" /></Relationships>
</file>

<file path=xl/tables/table1.xml><?xml version="1.0" encoding="utf-8"?>
<x:table xmlns:x="http://schemas.openxmlformats.org/spreadsheetml/2006/main" id="5" name="tIBRD" displayName="tIBRD" ref="A1:G190" totalsRowShown="0">
  <x:autoFilter ref="A1:G190"/>
  <x:tableColumns count="7">
    <x:tableColumn id="1" name="Country"/>
    <x:tableColumn id="2" name="Institution "/>
    <x:tableColumn id="3" name="Date"/>
    <x:tableColumn id="4" name="MDB_ID"/>
    <x:tableColumn id="5" name="Capital invested" dataDxfId="7"/>
    <x:tableColumn id="6" name="Vote Share"/>
    <x:tableColumn id="7" name="Capital Share" dataDxfId="6">
      <x:calculatedColumnFormula>E2/SUM(tIBRD[Capital invested])*100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tIDA" displayName="tIDA" ref="A1:G190" totalsRowShown="0" headerRowBorderDxfId="4">
  <x:autoFilter ref="A1:G190"/>
  <x:tableColumns count="7">
    <x:tableColumn id="1" name="Country"/>
    <x:tableColumn id="2" name="Institution "/>
    <x:tableColumn id="3" name="Date" dataDxfId="2"/>
    <x:tableColumn id="4" name="MDB_ID"/>
    <x:tableColumn id="5" name="Capital invested"/>
    <x:tableColumn id="6" name="Vote Share"/>
    <x:tableColumn id="7" name="Capital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ourceMapTable" displayName="SourceMapTable" ref="A5:K19" totalsRowShown="0">
  <x:tableColumns count="11">
    <x:tableColumn id="1" name="ID"/>
    <x:tableColumn id="2" name="Institution"/>
    <x:tableColumn id="3" name="Preferred measure"/>
    <x:tableColumn id="4" name="Official source"/>
    <x:tableColumn id="5" name="Source type"/>
    <x:tableColumn id="6" name="Latest official / access date"/>
    <x:tableColumn id="7" name="Panel construction path"/>
    <x:tableColumn id="8" name="Coverage in workbook"/>
    <x:tableColumn id="9" name="Principal caveat"/>
    <x:tableColumn id="10" name="Extracted rows"/>
    <x:tableColumn id="11" name="Secondary source / arch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CountrySharesTable" displayName="CountrySharesTable" ref="A5:T659" totalsRowShown="0">
  <x:tableColumns count="20">
    <x:tableColumn id="1" name="ID"/>
    <x:tableColumn id="2" name="Institution"/>
    <x:tableColumn id="3" name="As-of date"/>
    <x:tableColumn id="4" name="Year"/>
    <x:tableColumn id="5" name="Member"/>
    <x:tableColumn id="6" name="Member type"/>
    <x:tableColumn id="7" name="Member group"/>
    <x:tableColumn id="8" name="Subscription units"/>
    <x:tableColumn id="9" name="Denominator units"/>
    <x:tableColumn id="10" name="Unit label"/>
    <x:tableColumn id="11" name="Reported capital %"/>
    <x:tableColumn id="12" name="Capital share %"/>
    <x:tableColumn id="13" name="Votes"/>
    <x:tableColumn id="14" name="Vote denominator"/>
    <x:tableColumn id="15" name="Reported voting %"/>
    <x:tableColumn id="16" name="Voting power %"/>
    <x:tableColumn id="17" name="Source URL"/>
    <x:tableColumn id="18" name="Source locator"/>
    <x:tableColumn id="19" name="Data status"/>
    <x:tableColumn id="20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LiveApiTable" displayName="LiveApiTable" ref="A5:H7" totalsRowShown="0">
  <x:tableColumns count="8">
    <x:tableColumn id="1" name="ID"/>
    <x:tableColumn id="2" name="Dataset / data as of"/>
    <x:tableColumn id="3" name="Dataset page"/>
    <x:tableColumn id="4" name="API explorer"/>
    <x:tableColumn id="5" name="Bulk JSON"/>
    <x:tableColumn id="6" name="Sample API request"/>
    <x:tableColumn id="7" name="Key fields"/>
    <x:tableColumn id="8" name="Panel 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QaTotalsTable" displayName="QaTotalsTable" ref="A5:G19" totalsRowShown="0">
  <x:tableColumns count="7">
    <x:tableColumn id="1" name="ID"/>
    <x:tableColumn id="2" name="As-of date"/>
    <x:tableColumn id="3" name="Observation rows"/>
    <x:tableColumn id="4" name="Capital-share total"/>
    <x:tableColumn id="5" name="Voting-power total"/>
    <x:tableColumn id="6" name="Status"/>
    <x:tableColumn id="7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1be02fc6eed4d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fc21006ded4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data.adb.org/dataset/adb-annual-report-2021-organizational-information" TargetMode="External" Id="R9b586a8a738940c3" /><Relationship Type="http://schemas.openxmlformats.org/officeDocument/2006/relationships/table" Target="/xl/tables/table3.xml" Id="R938986a108e94f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7591525f5494f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financesone.worldbank.org/ibrd-subscriptions-and-voting-power-of-member-countries/DS00051" TargetMode="External" Id="Rcace12aaf9cc4f5e" /><Relationship Type="http://schemas.openxmlformats.org/officeDocument/2006/relationships/table" Target="/xl/tables/table5.xml" Id="Rec644d482a1f47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5fe7aa1bb41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8" width="18" customWidth="1"/>
    <x:col min="1" max="1" width="16" hidden="0" customWidth="1"/>
    <x:col min="2" max="2" width="10" hidden="0" customWidth="1"/>
    <x:col min="3" max="3" width="16" hidden="0" customWidth="1"/>
    <x:col min="4" max="4" width="10" hidden="0" customWidth="1"/>
    <x:col min="5" max="5" width="16" hidden="0" customWidth="1"/>
    <x:col min="6" max="6" width="10" hidden="0" customWidth="1"/>
    <x:col min="7" max="7" width="16" hidden="0" customWidth="1"/>
    <x:col min="8" max="8" width="10" hidden="0" customWidth="1"/>
  </x:cols>
  <x:sheetData>
    <x:row r="1" ht="30" customHeight="1">
      <x:c r="A1" s="371" t="str">
        <x:v>MDB country ownership and ordinary loan-voting dataset</x:v>
      </x:c>
      <x:c r="B1" s="371"/>
      <x:c r="C1" s="371"/>
      <x:c r="D1" s="371"/>
      <x:c r="E1" s="371"/>
      <x:c r="F1" s="371"/>
      <x:c r="G1" s="371"/>
      <x:c r="H1" s="371"/>
    </x:row>
    <x:row r="2" ht="24" customHeight="1">
      <x:c r="A2" s="365"/>
      <x:c r="B2" s="365"/>
      <x:c r="C2" s="365"/>
      <x:c r="D2" s="365"/>
      <x:c r="E2" s="365"/>
      <x:c r="F2" s="365"/>
      <x:c r="G2" s="365"/>
      <x:c r="H2" s="365"/>
    </x:row>
    <x:row r="3" ht="42" customHeight="1">
      <x:c r="A3" s="374" t="str">
        <x:v>Official-source inventory plus normalized country/member observations. Updated 25 August 2026. Normalized sheets store fractions; the simplified Shareholdership Dataset stores percentage points.</x:v>
      </x:c>
      <x:c r="B3" s="374"/>
      <x:c r="C3" s="374"/>
      <x:c r="D3" s="374"/>
      <x:c r="E3" s="374"/>
      <x:c r="F3" s="374"/>
      <x:c r="G3" s="374"/>
      <x:c r="H3" s="374"/>
    </x:row>
    <x:row r="4">
      <x:c r="A4" s="353"/>
      <x:c r="B4" s="353"/>
      <x:c r="C4" s="353"/>
      <x:c r="D4" s="353"/>
      <x:c r="E4" s="353"/>
      <x:c r="F4" s="353"/>
      <x:c r="G4" s="353"/>
      <x:c r="H4" s="353"/>
    </x:row>
    <x:row r="5" ht="26" customHeight="1">
      <x:c r="A5" s="380" t="str">
        <x:v>MDBs mapped</x:v>
      </x:c>
      <x:c r="B5" s="380"/>
      <x:c r="C5" s="380" t="str">
        <x:v>MDBs with rows</x:v>
      </x:c>
      <x:c r="D5" s="380"/>
      <x:c r="E5" s="380" t="str">
        <x:v>Country/member rows</x:v>
      </x:c>
      <x:c r="F5" s="380"/>
      <x:c r="G5" s="380" t="str">
        <x:v>Live APIs linked</x:v>
      </x:c>
      <x:c r="H5" s="380"/>
    </x:row>
    <x:row r="6" ht="36" customHeight="1">
      <x:c r="A6" s="432" t="n">
        <x:v>14</x:v>
      </x:c>
      <x:c r="B6" s="433"/>
      <x:c r="C6" s="432" t="n">
        <x:v>12</x:v>
      </x:c>
      <x:c r="D6" s="433"/>
      <x:c r="E6" s="432" t="n">
        <x:v>692</x:v>
      </x:c>
      <x:c r="F6" s="433"/>
      <x:c r="G6" s="432" t="n">
        <x:v>2</x:v>
      </x:c>
      <x:c r="H6" s="433"/>
    </x:row>
    <x:row r="7">
      <x:c r="A7" s="421"/>
      <x:c r="B7" s="422"/>
      <x:c r="C7" s="421"/>
      <x:c r="D7" s="422"/>
      <x:c r="E7" s="421"/>
      <x:c r="F7" s="422"/>
      <x:c r="G7" s="421"/>
      <x:c r="H7" s="422"/>
    </x:row>
    <x:row r="8">
      <x:c r="A8" s="353"/>
      <x:c r="B8" s="353"/>
      <x:c r="C8" s="353"/>
      <x:c r="D8" s="353"/>
      <x:c r="E8" s="353"/>
      <x:c r="F8" s="353"/>
      <x:c r="G8" s="353"/>
      <x:c r="H8" s="353"/>
    </x:row>
    <x:row r="9">
      <x:c r="A9" s="353"/>
      <x:c r="B9" s="353"/>
      <x:c r="C9" s="353"/>
      <x:c r="D9" s="353"/>
      <x:c r="E9" s="353"/>
      <x:c r="F9" s="353"/>
      <x:c r="G9" s="353"/>
      <x:c r="H9" s="353"/>
    </x:row>
    <x:row r="10" ht="26" customHeight="1">
      <x:c r="A10" s="371" t="str">
        <x:v>How to use this workbook</x:v>
      </x:c>
      <x:c r="B10" s="371"/>
      <x:c r="C10" s="371"/>
      <x:c r="D10" s="371"/>
      <x:c r="E10" s="371"/>
      <x:c r="F10" s="371"/>
      <x:c r="G10" s="371"/>
      <x:c r="H10" s="371"/>
    </x:row>
    <x:row r="11" ht="38" customHeight="1">
      <x:c r="A11" s="391" t="str">
        <x:v>1. Start in Source_Map. It records the official source, access method, panel-construction route and comparability caveat for all mapped MDBs.</x:v>
      </x:c>
      <x:c r="B11" s="392"/>
      <x:c r="C11" s="392"/>
      <x:c r="D11" s="392"/>
      <x:c r="E11" s="392"/>
      <x:c r="F11" s="392"/>
      <x:c r="G11" s="392"/>
      <x:c r="H11" s="423"/>
    </x:row>
    <x:row r="12" ht="38" customHeight="1">
      <x:c r="A12" s="391" t="str">
        <x:v>2. Country_Shares is the normalized long table. Capital share % and published voting power retain their legal denominators; columns U–Y add ordinary loan-decision weights.</x:v>
      </x:c>
      <x:c r="B12" s="392"/>
      <x:c r="C12" s="392"/>
      <x:c r="D12" s="392"/>
      <x:c r="E12" s="392"/>
      <x:c r="F12" s="392"/>
      <x:c r="G12" s="392"/>
      <x:c r="H12" s="423"/>
    </x:row>
    <x:row r="13" ht="38" customHeight="1">
      <x:c r="A13" s="391" t="str">
        <x:v>3. For country-level analyses that require weights summing to 100%, use Country-normalized loan vote % in Country_Shares column Y or Shareholdership Dataset column D/L.</x:v>
      </x:c>
      <x:c r="B13" s="392"/>
      <x:c r="C13" s="392"/>
      <x:c r="D13" s="392"/>
      <x:c r="E13" s="392"/>
      <x:c r="F13" s="392"/>
      <x:c r="G13" s="392"/>
      <x:c r="H13" s="423"/>
    </x:row>
    <x:row r="14" ht="38" customHeight="1">
      <x:c r="A14" s="391" t="str">
        <x:v>4. Loan_Decision_Votes is the auditable seat/share ledger. Formal and country-normalized totals are checked separately and equal 100% within each modeled institution.</x:v>
      </x:c>
      <x:c r="B14" s="392"/>
      <x:c r="C14" s="392"/>
      <x:c r="D14" s="392"/>
      <x:c r="E14" s="392"/>
      <x:c r="F14" s="392"/>
      <x:c r="G14" s="392"/>
      <x:c r="H14" s="423"/>
    </x:row>
    <x:row r="15" ht="38" customHeight="1">
      <x:c r="A15" s="391" t="str">
        <x:v>5. Share_Class_Detail preserves raw share classes and capital concepts. Governance_Rules records the organ, quorum, normal approval rule and modeling treatment.</x:v>
      </x:c>
      <x:c r="B15" s="392"/>
      <x:c r="C15" s="392"/>
      <x:c r="D15" s="392"/>
      <x:c r="E15" s="392"/>
      <x:c r="F15" s="392"/>
      <x:c r="G15" s="392"/>
      <x:c r="H15" s="423"/>
    </x:row>
    <x:row r="16" ht="38" customHeight="1">
      <x:c r="A16" s="353" t="str">
        <x:v>6. Blank is not zero. Zero means a country is in the shareholder set but has no principal country-attributed vote in that snapshot; blank means unavailable or intentionally excluded as non-country.</x:v>
      </x:c>
      <x:c r="B16" s="353"/>
      <x:c r="C16" s="353"/>
      <x:c r="D16" s="353"/>
      <x:c r="E16" s="353"/>
      <x:c r="F16" s="353"/>
      <x:c r="G16" s="353"/>
      <x:c r="H16" s="353"/>
    </x:row>
    <x:row r="17">
      <x:c r="A17" s="353"/>
      <x:c r="B17" s="353"/>
      <x:c r="C17" s="353"/>
      <x:c r="D17" s="353"/>
      <x:c r="E17" s="353"/>
      <x:c r="F17" s="353"/>
      <x:c r="G17" s="353"/>
      <x:c r="H17" s="353"/>
    </x:row>
    <x:row r="18" ht="26" customHeight="1">
      <x:c r="A18" s="371" t="str">
        <x:v>Comparability rules</x:v>
      </x:c>
      <x:c r="B18" s="371"/>
      <x:c r="C18" s="371"/>
      <x:c r="D18" s="371"/>
      <x:c r="E18" s="371"/>
      <x:c r="F18" s="371"/>
      <x:c r="G18" s="371"/>
      <x:c r="H18" s="371"/>
    </x:row>
    <x:row r="19" ht="44" customHeight="1">
      <x:c r="A19" s="434" t="str">
        <x:v>Default ownership measure</x:v>
      </x:c>
      <x:c r="B19" s="434"/>
      <x:c r="C19" s="350" t="str">
        <x:v>Subscribed-capital share. BADEA is an explicit exception because its annual appendix reports paid-in member contributions.</x:v>
      </x:c>
      <x:c r="D19" s="350"/>
      <x:c r="E19" s="350"/>
      <x:c r="F19" s="350"/>
      <x:c r="G19" s="350"/>
      <x:c r="H19" s="350"/>
    </x:row>
    <x:row r="20" ht="44" customHeight="1">
      <x:c r="A20" s="434" t="str">
        <x:v>Published voting power</x:v>
      </x:c>
      <x:c r="B20" s="434"/>
      <x:c r="C20" s="350" t="str">
        <x:v>Kept separate because basic/membership votes and Board-seat rules can differ materially from capital ownership.</x:v>
      </x:c>
      <x:c r="D20" s="350"/>
      <x:c r="E20" s="350"/>
      <x:c r="F20" s="350"/>
      <x:c r="G20" s="350"/>
      <x:c r="H20" s="350"/>
    </x:row>
    <x:row r="21" ht="44" customHeight="1">
      <x:c r="A21" s="434" t="str">
        <x:v>Recommended analysis variable</x:v>
      </x:c>
      <x:c r="B21" s="434"/>
      <x:c r="C21" s="350" t="str">
        <x:v>Use the country-normalized ordinary loan vote when the unit of analysis is the sovereign country and weights must sum to 100%.</x:v>
      </x:c>
      <x:c r="D21" s="350"/>
      <x:c r="E21" s="350"/>
      <x:c r="F21" s="350"/>
      <x:c r="G21" s="350"/>
      <x:c r="H21" s="350"/>
    </x:row>
    <x:row r="22" ht="44" customHeight="1">
      <x:c r="A22" s="434" t="str">
        <x:v>CAF</x:v>
      </x:c>
      <x:c r="B22" s="434"/>
      <x:c r="C22" s="350" t="str">
        <x:v>Formal denominator: 24 Board seats at year-end 2024. Country denominator: 23 after excluding the private-banking seat. Countries without a principal seat receive an explicit 0.00%.</x:v>
      </x:c>
      <x:c r="D22" s="350"/>
      <x:c r="E22" s="350"/>
      <x:c r="F22" s="350"/>
      <x:c r="G22" s="350"/>
      <x:c r="H22" s="350"/>
    </x:row>
    <x:row r="23" ht="44" customHeight="1">
      <x:c r="A23" s="434" t="str">
        <x:v>CABEI</x:v>
      </x:c>
      <x:c r="B23" s="434"/>
      <x:c r="C23" s="350" t="str">
        <x:v>Weights are the underlying member A/B + C votes. Some directors represent multiple members and cast the represented constituency votes as a bloc.</x:v>
      </x:c>
      <x:c r="D23" s="350"/>
      <x:c r="E23" s="350"/>
      <x:c r="F23" s="350"/>
      <x:c r="G23" s="350"/>
      <x:c r="H23" s="350"/>
    </x:row>
    <x:row r="24" ht="44" customHeight="1">
      <x:c r="A24" s="435" t="str">
        <x:v>Meeting-specific caveat</x:v>
      </x:c>
      <x:c r="B24" s="435"/>
      <x:c r="C24" s="353" t="str">
        <x:v>These are ex ante full-board weights. Attendance, abstention, recusal and delegated approvals can change the effective denominator for a specific operation.</x:v>
      </x:c>
      <x:c r="D24" s="353"/>
      <x:c r="E24" s="353"/>
      <x:c r="F24" s="353"/>
      <x:c r="G24" s="353"/>
      <x:c r="H24" s="353"/>
    </x:row>
    <x:row r="25" ht="44" customHeight="1">
      <x:c r="A25" s="435" t="str">
        <x:v>IDA</x:v>
      </x:c>
      <x:c r="B25" s="435"/>
      <x:c r="C25" s="353" t="str">
        <x:v>Treat as voting power rather than conventional bank shareholding; votes arise under replenishment resolutions.</x:v>
      </x:c>
      <x:c r="D25" s="353"/>
      <x:c r="E25" s="353"/>
      <x:c r="F25" s="353"/>
      <x:c r="G25" s="353"/>
      <x:c r="H25" s="353"/>
    </x:row>
    <x:row r="26" ht="44" customHeight="1">
      <x:c r="A26" s="437" t="str">
        <x:v>Non-country shareholders</x:v>
      </x:c>
      <x:c r="B26" s="438"/>
      <x:c r="C26" s="397" t="str">
        <x:v>Retained in the formal denominator where legally relevant. Exclude them only through the documented country-normalized measure.</x:v>
      </x:c>
      <x:c r="D26" s="397"/>
      <x:c r="E26" s="397"/>
      <x:c r="F26" s="397"/>
      <x:c r="G26" s="397"/>
      <x:c r="H26" s="424"/>
    </x:row>
    <x:row r="27" ht="44" customHeight="1">
      <x:c r="A27" s="439" t="str">
        <x:v>Panel construction</x:v>
      </x:c>
      <x:c r="B27" s="440"/>
      <x:c r="C27" s="400" t="str">
        <x:v>Archive year-end capital schedules and Board-composition periods separately because governance and seat allocations can change over time.</x:v>
      </x:c>
      <x:c r="D27" s="400"/>
      <x:c r="E27" s="400"/>
      <x:c r="F27" s="400"/>
      <x:c r="G27" s="400"/>
      <x:c r="H27" s="425"/>
    </x:row>
    <x:row r="28" ht="34" customHeight="1">
      <x:c r="A28" s="365"/>
      <x:c r="B28" s="353"/>
      <x:c r="C28" s="353"/>
      <x:c r="D28" s="353"/>
      <x:c r="E28" s="353"/>
      <x:c r="F28" s="353"/>
      <x:c r="G28" s="353"/>
      <x:c r="H28" s="353"/>
    </x:row>
    <x:row r="29" ht="34" customHeight="1">
      <x:c r="A29" s="353"/>
      <x:c r="B29" s="353"/>
      <x:c r="C29" s="353"/>
      <x:c r="D29" s="353"/>
      <x:c r="E29" s="353"/>
      <x:c r="F29" s="353"/>
      <x:c r="G29" s="353"/>
      <x:c r="H29" s="353"/>
    </x:row>
    <x:row r="30" ht="58" customHeight="1">
      <x:c r="A30" s="443" t="str">
        <x:v>Important: this is a source-backed comparative panel, not a single legally harmonized ownership series. Retain the measure name, source date, decision organ and normalization choice when joining across MDBs.</x:v>
      </x:c>
      <x:c r="B30" s="443"/>
      <x:c r="C30" s="443"/>
      <x:c r="D30" s="443"/>
      <x:c r="E30" s="443"/>
      <x:c r="F30" s="443"/>
      <x:c r="G30" s="443"/>
      <x:c r="H30" s="443"/>
    </x:row>
    <x:row r="31">
      <x:c r="A31" s="353"/>
      <x:c r="B31" s="353"/>
      <x:c r="C31" s="353"/>
      <x:c r="D31" s="353"/>
      <x:c r="E31" s="353"/>
      <x:c r="F31" s="353"/>
      <x:c r="G31" s="353"/>
      <x:c r="H31" s="353"/>
    </x:row>
    <x:row r="32">
      <x:c r="A32" s="353"/>
      <x:c r="B32" s="353"/>
      <x:c r="C32" s="353"/>
      <x:c r="D32" s="353"/>
      <x:c r="E32" s="353"/>
      <x:c r="F32" s="353"/>
      <x:c r="G32" s="353"/>
      <x:c r="H32" s="353"/>
    </x:row>
  </x:sheetData>
  <x:mergeCells>
    <x:mergeCell ref="A1:H1"/>
    <x:mergeCell ref="A3:H3"/>
    <x:mergeCell ref="A5:B5"/>
    <x:mergeCell ref="A6:B6"/>
    <x:mergeCell ref="C5:D5"/>
    <x:mergeCell ref="C6:D6"/>
    <x:mergeCell ref="E5:F5"/>
    <x:mergeCell ref="E6:F6"/>
    <x:mergeCell ref="G5:H5"/>
    <x:mergeCell ref="G6:H6"/>
    <x:mergeCell ref="A10:H10"/>
    <x:mergeCell ref="A11:H11"/>
    <x:mergeCell ref="A12:H12"/>
    <x:mergeCell ref="A13:H13"/>
    <x:mergeCell ref="A14:H14"/>
    <x:mergeCell ref="A15:H15"/>
    <x:mergeCell ref="A16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7:B27"/>
    <x:mergeCell ref="C27:H27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"/>
  <x:cols>
    <x:col min="2" max="2" width="12.6640625" customWidth="1"/>
    <x:col min="3" max="3" width="15.1640625" customWidth="1"/>
    <x:col min="4" max="4" width="13" customWidth="1"/>
    <x:col min="6" max="6" width="13.6640625" customWidth="1"/>
    <x:col min="7" max="7" width="21.33203125" customWidth="1"/>
    <x:col min="8" max="8" width="16.6640625" customWidth="1"/>
    <x:col min="9" max="9" width="12.5" customWidth="1"/>
    <x:col min="10" max="10" width="45" hidden="0" customWidth="1"/>
    <x:col min="11" max="11" width="23" hidden="0" customWidth="1"/>
    <x:col min="12" max="12" width="30" hidden="0" customWidth="1"/>
  </x:cols>
  <x:sheetData>
    <x:row r="1" ht="30" customHeight="1">
      <x:c r="A1" s="23" t="s">
        <x:v>0</x:v>
      </x:c>
      <x:c r="B1" s="24" t="s">
        <x:v>1</x:v>
      </x:c>
      <x:c r="C1" s="24" t="s">
        <x:v>2</x:v>
      </x:c>
      <x:c r="D1" s="23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7</x:v>
      </x:c>
      <x:c r="I1" s="25" t="s">
        <x:v>8</x:v>
      </x:c>
      <x:c r="J1" s="139" t="str">
        <x:v>Vote Basis</x:v>
      </x:c>
      <x:c r="K1" s="139" t="str">
        <x:v>Formal Loan Vote Share</x:v>
      </x:c>
      <x:c r="L1" s="139" t="str">
        <x:v>Country-Normalized Loan Vote Share</x:v>
      </x:c>
    </x:row>
    <x:row r="2">
      <x:c r="A2" s="26" t="str" cm="1">
        <x:f t="array" ref="A2:A655"/>
        <x:v>Afghanistan</x:v>
      </x:c>
      <x:c r="B2" s="27" t="str" cm="1">
        <x:f t="array" ref="B2:B655"/>
        <x:v>adb</x:v>
      </x:c>
      <x:c r="C2" s="193" t="n" cm="1">
        <x:f t="array" ref="C2:C655"/>
        <x:v>0.034</x:v>
      </x:c>
      <x:c r="D2" s="193" t="n" cm="1">
        <x:f t="array" ref="D2:D655"/>
        <x:v>0.321</x:v>
      </x:c>
      <x:c r="E2" s="185" t="n" cm="1">
        <x:f t="array" ref="E2:E655"/>
        <x:v>44196</x:v>
      </x:c>
      <x:c r="F2" s="27" t="n">
        <x:v>5</x:v>
      </x:c>
      <x:c r="G2" s="27" t="str" cm="1">
        <x:f t="array" ref="G2:G655"/>
        <x:v>Country</x:v>
      </x:c>
      <x:c r="H2" s="27" t="str" cm="1">
        <x:f t="array" ref="H2:H655"/>
        <x:v>Regional</x:v>
      </x:c>
      <x:c r="I2" s="30" t="str">
        <x:v>Regional</x:v>
      </x:c>
      <x:c r="J2" s="151" t="str">
        <x:v>Institution-specific published voting measure</x:v>
      </x:c>
      <x:c r="K2" s="196"/>
      <x:c r="L2" s="196"/>
    </x:row>
    <x:row r="3">
      <x:c r="A3" s="31" t="str">
        <x:v>Armenia</x:v>
      </x:c>
      <x:c r="B3" s="32" t="str">
        <x:v>adb</x:v>
      </x:c>
      <x:c r="C3" s="194" t="n">
        <x:v>0.298</x:v>
      </x:c>
      <x:c r="D3" s="194" t="n">
        <x:v>0.532</x:v>
      </x:c>
      <x:c r="E3" s="186" t="n">
        <x:v>44196</x:v>
      </x:c>
      <x:c r="F3" s="32" t="n">
        <x:f t="shared" ref="F3:F66" si="0">COUNTIF(A3:A1034,A3)</x:f>
        <x:v>5</x:v>
      </x:c>
      <x:c r="G3" s="32" t="str">
        <x:v>Country</x:v>
      </x:c>
      <x:c r="H3" s="32" t="str">
        <x:v>Regional</x:v>
      </x:c>
      <x:c r="I3" s="35" t="str">
        <x:v>Regional</x:v>
      </x:c>
      <x:c r="J3" s="151" t="str">
        <x:v>Institution-specific published voting measure</x:v>
      </x:c>
      <x:c r="K3" s="196"/>
      <x:c r="L3" s="196"/>
    </x:row>
    <x:row r="4">
      <x:c r="A4" s="26" t="str">
        <x:v>Australia</x:v>
      </x:c>
      <x:c r="B4" s="27" t="str">
        <x:v>adb</x:v>
      </x:c>
      <x:c r="C4" s="193" t="n">
        <x:v>5.773</x:v>
      </x:c>
      <x:c r="D4" s="193" t="n">
        <x:v>4.913</x:v>
      </x:c>
      <x:c r="E4" s="185" t="n">
        <x:v>44196</x:v>
      </x:c>
      <x:c r="F4" s="27" t="n">
        <x:f t="shared" si="0"/>
        <x:v>5</x:v>
      </x:c>
      <x:c r="G4" s="27" t="str">
        <x:v>Country</x:v>
      </x:c>
      <x:c r="H4" s="27" t="str">
        <x:v>Regional</x:v>
      </x:c>
      <x:c r="I4" s="30" t="str">
        <x:v>Regional</x:v>
      </x:c>
      <x:c r="J4" s="151" t="str">
        <x:v>Institution-specific published voting measure</x:v>
      </x:c>
      <x:c r="K4" s="196"/>
      <x:c r="L4" s="196"/>
    </x:row>
    <x:row r="5">
      <x:c r="A5" s="31" t="str">
        <x:v>Azerbaijan</x:v>
      </x:c>
      <x:c r="B5" s="32" t="str">
        <x:v>adb</x:v>
      </x:c>
      <x:c r="C5" s="194" t="n">
        <x:v>0.44400000000000006</x:v>
      </x:c>
      <x:c r="D5" s="194" t="n">
        <x:v>0.649</x:v>
      </x:c>
      <x:c r="E5" s="186" t="n">
        <x:v>44196</x:v>
      </x:c>
      <x:c r="F5" s="32" t="n">
        <x:f t="shared" si="0"/>
        <x:v>6</x:v>
      </x:c>
      <x:c r="G5" s="32" t="str">
        <x:v>Country</x:v>
      </x:c>
      <x:c r="H5" s="32" t="str">
        <x:v>Regional</x:v>
      </x:c>
      <x:c r="I5" s="35" t="str">
        <x:v>Regional</x:v>
      </x:c>
      <x:c r="J5" s="151" t="str">
        <x:v>Institution-specific published voting measure</x:v>
      </x:c>
      <x:c r="K5" s="196"/>
      <x:c r="L5" s="196"/>
    </x:row>
    <x:row r="6">
      <x:c r="A6" s="26" t="str">
        <x:v>Bangladesh</x:v>
      </x:c>
      <x:c r="B6" s="27" t="str">
        <x:v>adb</x:v>
      </x:c>
      <x:c r="C6" s="193" t="n">
        <x:v>1.019</x:v>
      </x:c>
      <x:c r="D6" s="193" t="n">
        <x:v>1.109</x:v>
      </x:c>
      <x:c r="E6" s="185" t="n">
        <x:v>44196</x:v>
      </x:c>
      <x:c r="F6" s="27" t="n">
        <x:f t="shared" si="0"/>
        <x:v>6</x:v>
      </x:c>
      <x:c r="G6" s="27" t="str">
        <x:v>Country</x:v>
      </x:c>
      <x:c r="H6" s="27" t="str">
        <x:v>Regional</x:v>
      </x:c>
      <x:c r="I6" s="30" t="str">
        <x:v>Regional</x:v>
      </x:c>
      <x:c r="J6" s="151" t="str">
        <x:v>Institution-specific published voting measure</x:v>
      </x:c>
      <x:c r="K6" s="196"/>
      <x:c r="L6" s="196"/>
    </x:row>
    <x:row r="7">
      <x:c r="A7" s="31" t="str">
        <x:v>Bhutan</x:v>
      </x:c>
      <x:c r="B7" s="32" t="str">
        <x:v>adb</x:v>
      </x:c>
      <x:c r="C7" s="194" t="n">
        <x:v>0.006</x:v>
      </x:c>
      <x:c r="D7" s="194" t="n">
        <x:v>0.299</x:v>
      </x:c>
      <x:c r="E7" s="186" t="n">
        <x:v>44196</x:v>
      </x:c>
      <x:c r="F7" s="32" t="n">
        <x:f t="shared" si="0"/>
        <x:v>3</x:v>
      </x:c>
      <x:c r="G7" s="32" t="str">
        <x:v>Country</x:v>
      </x:c>
      <x:c r="H7" s="32" t="str">
        <x:v>Regional</x:v>
      </x:c>
      <x:c r="I7" s="35" t="str">
        <x:v>Regional</x:v>
      </x:c>
      <x:c r="J7" s="151" t="str">
        <x:v>Institution-specific published voting measure</x:v>
      </x:c>
      <x:c r="K7" s="196"/>
      <x:c r="L7" s="196"/>
    </x:row>
    <x:row r="8">
      <x:c r="A8" s="26" t="str">
        <x:v>Brunei Darussalam</x:v>
      </x:c>
      <x:c r="B8" s="27" t="str">
        <x:v>adb</x:v>
      </x:c>
      <x:c r="C8" s="193" t="n">
        <x:v>0.351</x:v>
      </x:c>
      <x:c r="D8" s="193" t="n">
        <x:v>0.575</x:v>
      </x:c>
      <x:c r="E8" s="185" t="n">
        <x:v>44196</x:v>
      </x:c>
      <x:c r="F8" s="27" t="n">
        <x:f t="shared" si="0"/>
        <x:v>5</x:v>
      </x:c>
      <x:c r="G8" s="27" t="str">
        <x:v>Country</x:v>
      </x:c>
      <x:c r="H8" s="27" t="str">
        <x:v>Regional</x:v>
      </x:c>
      <x:c r="I8" s="30" t="str">
        <x:v>Regional</x:v>
      </x:c>
      <x:c r="J8" s="151" t="str">
        <x:v>Institution-specific published voting measure</x:v>
      </x:c>
      <x:c r="K8" s="196"/>
      <x:c r="L8" s="196"/>
    </x:row>
    <x:row r="9">
      <x:c r="A9" s="31" t="str">
        <x:v>Cambodia</x:v>
      </x:c>
      <x:c r="B9" s="32" t="str">
        <x:v>adb</x:v>
      </x:c>
      <x:c r="C9" s="194" t="n">
        <x:v>0.049</x:v>
      </x:c>
      <x:c r="D9" s="194" t="n">
        <x:v>0.334</x:v>
      </x:c>
      <x:c r="E9" s="186" t="n">
        <x:v>44196</x:v>
      </x:c>
      <x:c r="F9" s="32" t="n">
        <x:f t="shared" si="0"/>
        <x:v>4</x:v>
      </x:c>
      <x:c r="G9" s="32" t="str">
        <x:v>Country</x:v>
      </x:c>
      <x:c r="H9" s="32" t="str">
        <x:v>Regional</x:v>
      </x:c>
      <x:c r="I9" s="35" t="str">
        <x:v>Regional</x:v>
      </x:c>
      <x:c r="J9" s="151" t="str">
        <x:v>Institution-specific published voting measure</x:v>
      </x:c>
      <x:c r="K9" s="196"/>
      <x:c r="L9" s="196"/>
    </x:row>
    <x:row r="10">
      <x:c r="A10" s="26" t="str">
        <x:v>China, People's Republic of</x:v>
      </x:c>
      <x:c r="B10" s="27" t="str">
        <x:v>adb</x:v>
      </x:c>
      <x:c r="C10" s="193" t="n">
        <x:v>6.429</x:v>
      </x:c>
      <x:c r="D10" s="193" t="n">
        <x:v>5.437</x:v>
      </x:c>
      <x:c r="E10" s="185" t="n">
        <x:v>44196</x:v>
      </x:c>
      <x:c r="F10" s="27" t="n">
        <x:f t="shared" si="0"/>
        <x:v>1</x:v>
      </x:c>
      <x:c r="G10" s="27" t="str">
        <x:v>Country</x:v>
      </x:c>
      <x:c r="H10" s="27" t="str">
        <x:v>Regional</x:v>
      </x:c>
      <x:c r="I10" s="30" t="str">
        <x:v>Regional</x:v>
      </x:c>
      <x:c r="J10" s="151" t="str">
        <x:v>Institution-specific published voting measure</x:v>
      </x:c>
      <x:c r="K10" s="196"/>
      <x:c r="L10" s="196"/>
    </x:row>
    <x:row r="11">
      <x:c r="A11" s="31" t="str">
        <x:v>Cook Islands</x:v>
      </x:c>
      <x:c r="B11" s="32" t="str">
        <x:v>adb</x:v>
      </x:c>
      <x:c r="C11" s="194" t="n">
        <x:v>0.003</x:v>
      </x:c>
      <x:c r="D11" s="194" t="n">
        <x:v>0.296</x:v>
      </x:c>
      <x:c r="E11" s="186" t="n">
        <x:v>44196</x:v>
      </x:c>
      <x:c r="F11" s="32" t="n">
        <x:f t="shared" si="0"/>
        <x:v>2</x:v>
      </x:c>
      <x:c r="G11" s="32" t="str">
        <x:v>Country</x:v>
      </x:c>
      <x:c r="H11" s="32" t="str">
        <x:v>Regional</x:v>
      </x:c>
      <x:c r="I11" s="35" t="str">
        <x:v>Regional</x:v>
      </x:c>
      <x:c r="J11" s="151" t="str">
        <x:v>Institution-specific published voting measure</x:v>
      </x:c>
      <x:c r="K11" s="196"/>
      <x:c r="L11" s="196"/>
    </x:row>
    <x:row r="12">
      <x:c r="A12" s="26" t="str">
        <x:v>Fiji</x:v>
      </x:c>
      <x:c r="B12" s="27" t="str">
        <x:v>adb</x:v>
      </x:c>
      <x:c r="C12" s="193" t="n">
        <x:v>0.068</x:v>
      </x:c>
      <x:c r="D12" s="193" t="n">
        <x:v>0.348</x:v>
      </x:c>
      <x:c r="E12" s="185" t="n">
        <x:v>44196</x:v>
      </x:c>
      <x:c r="F12" s="27" t="n">
        <x:f t="shared" si="0"/>
        <x:v>4</x:v>
      </x:c>
      <x:c r="G12" s="27" t="str">
        <x:v>Country</x:v>
      </x:c>
      <x:c r="H12" s="27" t="str">
        <x:v>Regional</x:v>
      </x:c>
      <x:c r="I12" s="30" t="str">
        <x:v>Regional</x:v>
      </x:c>
      <x:c r="J12" s="151" t="str">
        <x:v>Institution-specific published voting measure</x:v>
      </x:c>
      <x:c r="K12" s="196"/>
      <x:c r="L12" s="196"/>
    </x:row>
    <x:row r="13">
      <x:c r="A13" s="31" t="str">
        <x:v>Georgia</x:v>
      </x:c>
      <x:c r="B13" s="32" t="str">
        <x:v>adb</x:v>
      </x:c>
      <x:c r="C13" s="194" t="n">
        <x:v>0.341</x:v>
      </x:c>
      <x:c r="D13" s="194" t="n">
        <x:v>0.567</x:v>
      </x:c>
      <x:c r="E13" s="186" t="n">
        <x:v>44196</x:v>
      </x:c>
      <x:c r="F13" s="32" t="n">
        <x:f t="shared" si="0"/>
        <x:v>5</x:v>
      </x:c>
      <x:c r="G13" s="32" t="str">
        <x:v>Country</x:v>
      </x:c>
      <x:c r="H13" s="32" t="str">
        <x:v>Regional</x:v>
      </x:c>
      <x:c r="I13" s="35" t="str">
        <x:v>Regional</x:v>
      </x:c>
      <x:c r="J13" s="151" t="str">
        <x:v>Institution-specific published voting measure</x:v>
      </x:c>
      <x:c r="K13" s="196"/>
      <x:c r="L13" s="196"/>
    </x:row>
    <x:row r="14">
      <x:c r="A14" s="26" t="str">
        <x:v>Hong Kong, China</x:v>
      </x:c>
      <x:c r="B14" s="27" t="str">
        <x:v>adb</x:v>
      </x:c>
      <x:c r="C14" s="193" t="n">
        <x:v>0.543</x:v>
      </x:c>
      <x:c r="D14" s="193" t="n">
        <x:v>0.729</x:v>
      </x:c>
      <x:c r="E14" s="185" t="n">
        <x:v>44196</x:v>
      </x:c>
      <x:c r="F14" s="27" t="n">
        <x:f t="shared" si="0"/>
        <x:v>2</x:v>
      </x:c>
      <x:c r="G14" s="27" t="str">
        <x:v>Country</x:v>
      </x:c>
      <x:c r="H14" s="27" t="str">
        <x:v>Regional</x:v>
      </x:c>
      <x:c r="I14" s="30" t="str">
        <x:v>Regional</x:v>
      </x:c>
      <x:c r="J14" s="151" t="str">
        <x:v>Institution-specific published voting measure</x:v>
      </x:c>
      <x:c r="K14" s="196"/>
      <x:c r="L14" s="196"/>
    </x:row>
    <x:row r="15">
      <x:c r="A15" s="31" t="str">
        <x:v>India</x:v>
      </x:c>
      <x:c r="B15" s="32" t="str">
        <x:v>adb</x:v>
      </x:c>
      <x:c r="C15" s="194" t="n">
        <x:v>6.317</x:v>
      </x:c>
      <x:c r="D15" s="194" t="n">
        <x:v>5.347</x:v>
      </x:c>
      <x:c r="E15" s="186" t="n">
        <x:v>44196</x:v>
      </x:c>
      <x:c r="F15" s="32" t="n">
        <x:f t="shared" si="0"/>
        <x:v>7</x:v>
      </x:c>
      <x:c r="G15" s="32" t="str">
        <x:v>Country</x:v>
      </x:c>
      <x:c r="H15" s="32" t="str">
        <x:v>Regional</x:v>
      </x:c>
      <x:c r="I15" s="35" t="str">
        <x:v>Regional</x:v>
      </x:c>
      <x:c r="J15" s="151" t="str">
        <x:v>Institution-specific published voting measure</x:v>
      </x:c>
      <x:c r="K15" s="196"/>
      <x:c r="L15" s="196"/>
    </x:row>
    <x:row r="16">
      <x:c r="A16" s="26" t="str">
        <x:v>Indonesia</x:v>
      </x:c>
      <x:c r="B16" s="27" t="str">
        <x:v>adb</x:v>
      </x:c>
      <x:c r="C16" s="193" t="n">
        <x:v>5.434</x:v>
      </x:c>
      <x:c r="D16" s="193" t="n">
        <x:v>4.641</x:v>
      </x:c>
      <x:c r="E16" s="185" t="n">
        <x:v>44196</x:v>
      </x:c>
      <x:c r="F16" s="27" t="n">
        <x:f t="shared" si="0"/>
        <x:v>5</x:v>
      </x:c>
      <x:c r="G16" s="27" t="str">
        <x:v>Country</x:v>
      </x:c>
      <x:c r="H16" s="27" t="str">
        <x:v>Regional</x:v>
      </x:c>
      <x:c r="I16" s="30" t="str">
        <x:v>Regional</x:v>
      </x:c>
      <x:c r="J16" s="151" t="str">
        <x:v>Institution-specific published voting measure</x:v>
      </x:c>
      <x:c r="K16" s="196"/>
      <x:c r="L16" s="196"/>
    </x:row>
    <x:row r="17">
      <x:c r="A17" s="31" t="str">
        <x:v>Japan</x:v>
      </x:c>
      <x:c r="B17" s="32" t="str">
        <x:v>adb</x:v>
      </x:c>
      <x:c r="C17" s="194" t="n">
        <x:v>15.570999999999998</x:v>
      </x:c>
      <x:c r="D17" s="194" t="n">
        <x:v>12.750999999999998</x:v>
      </x:c>
      <x:c r="E17" s="186" t="n">
        <x:v>44196</x:v>
      </x:c>
      <x:c r="F17" s="32" t="n">
        <x:f t="shared" si="0"/>
        <x:v>6</x:v>
      </x:c>
      <x:c r="G17" s="32" t="str">
        <x:v>Country</x:v>
      </x:c>
      <x:c r="H17" s="32" t="str">
        <x:v>Regional</x:v>
      </x:c>
      <x:c r="I17" s="35" t="str">
        <x:v>Regional</x:v>
      </x:c>
      <x:c r="J17" s="151" t="str">
        <x:v>Institution-specific published voting measure</x:v>
      </x:c>
      <x:c r="K17" s="196"/>
      <x:c r="L17" s="196"/>
    </x:row>
    <x:row r="18">
      <x:c r="A18" s="26" t="str">
        <x:v>Kazakhstan</x:v>
      </x:c>
      <x:c r="B18" s="27" t="str">
        <x:v>adb</x:v>
      </x:c>
      <x:c r="C18" s="193" t="n">
        <x:v>0.8049999999999999</x:v>
      </x:c>
      <x:c r="D18" s="193" t="n">
        <x:v>0.938</x:v>
      </x:c>
      <x:c r="E18" s="185" t="n">
        <x:v>44196</x:v>
      </x:c>
      <x:c r="F18" s="27" t="n">
        <x:f t="shared" si="0"/>
        <x:v>6</x:v>
      </x:c>
      <x:c r="G18" s="27" t="str">
        <x:v>Country</x:v>
      </x:c>
      <x:c r="H18" s="27" t="str">
        <x:v>Regional</x:v>
      </x:c>
      <x:c r="I18" s="30" t="str">
        <x:v>Regional</x:v>
      </x:c>
      <x:c r="J18" s="151" t="str">
        <x:v>Institution-specific published voting measure</x:v>
      </x:c>
      <x:c r="K18" s="196"/>
      <x:c r="L18" s="196"/>
    </x:row>
    <x:row r="19">
      <x:c r="A19" s="31" t="str">
        <x:v>Kiribati</x:v>
      </x:c>
      <x:c r="B19" s="32" t="str">
        <x:v>adb</x:v>
      </x:c>
      <x:c r="C19" s="194" t="n">
        <x:v>0.004</x:v>
      </x:c>
      <x:c r="D19" s="194" t="n">
        <x:v>0.297</x:v>
      </x:c>
      <x:c r="E19" s="186" t="n">
        <x:v>44196</x:v>
      </x:c>
      <x:c r="F19" s="32" t="n">
        <x:f t="shared" si="0"/>
        <x:v>3</x:v>
      </x:c>
      <x:c r="G19" s="32" t="str">
        <x:v>Country</x:v>
      </x:c>
      <x:c r="H19" s="32" t="str">
        <x:v>Regional</x:v>
      </x:c>
      <x:c r="I19" s="35" t="str">
        <x:v>Regional</x:v>
      </x:c>
      <x:c r="J19" s="151" t="str">
        <x:v>Institution-specific published voting measure</x:v>
      </x:c>
      <x:c r="K19" s="196"/>
      <x:c r="L19" s="196"/>
    </x:row>
    <x:row r="20">
      <x:c r="A20" s="26" t="str">
        <x:v>Korea, Republic of</x:v>
      </x:c>
      <x:c r="B20" s="27" t="str">
        <x:v>adb</x:v>
      </x:c>
      <x:c r="C20" s="193" t="n">
        <x:v>5.026</x:v>
      </x:c>
      <x:c r="D20" s="193" t="n">
        <x:v>4.315</x:v>
      </x:c>
      <x:c r="E20" s="185" t="n">
        <x:v>44196</x:v>
      </x:c>
      <x:c r="F20" s="27" t="n">
        <x:f t="shared" si="0"/>
        <x:v>8</x:v>
      </x:c>
      <x:c r="G20" s="27" t="str">
        <x:v>Country</x:v>
      </x:c>
      <x:c r="H20" s="27" t="str">
        <x:v>Regional</x:v>
      </x:c>
      <x:c r="I20" s="30" t="str">
        <x:v>Regional</x:v>
      </x:c>
      <x:c r="J20" s="151" t="str">
        <x:v>Institution-specific published voting measure</x:v>
      </x:c>
      <x:c r="K20" s="196"/>
      <x:c r="L20" s="196"/>
    </x:row>
    <x:row r="21">
      <x:c r="A21" s="31" t="str">
        <x:v>Kyrgyz Republic</x:v>
      </x:c>
      <x:c r="B21" s="32" t="str">
        <x:v>adb</x:v>
      </x:c>
      <x:c r="C21" s="194" t="n">
        <x:v>0.298</x:v>
      </x:c>
      <x:c r="D21" s="194" t="n">
        <x:v>0.533</x:v>
      </x:c>
      <x:c r="E21" s="186" t="n">
        <x:v>44196</x:v>
      </x:c>
      <x:c r="F21" s="32" t="n">
        <x:f t="shared" si="0"/>
        <x:v>6</x:v>
      </x:c>
      <x:c r="G21" s="32" t="str">
        <x:v>Country</x:v>
      </x:c>
      <x:c r="H21" s="32" t="str">
        <x:v>Regional</x:v>
      </x:c>
      <x:c r="I21" s="35" t="str">
        <x:v>Regional</x:v>
      </x:c>
      <x:c r="J21" s="151" t="str">
        <x:v>Institution-specific published voting measure</x:v>
      </x:c>
      <x:c r="K21" s="196"/>
      <x:c r="L21" s="196"/>
    </x:row>
    <x:row r="22">
      <x:c r="A22" s="26" t="str">
        <x:v>Lao People's Democratic Republic</x:v>
      </x:c>
      <x:c r="B22" s="27" t="str">
        <x:v>adb</x:v>
      </x:c>
      <x:c r="C22" s="193" t="n">
        <x:v>0.014000000000000002</x:v>
      </x:c>
      <x:c r="D22" s="193" t="n">
        <x:v>0.305</x:v>
      </x:c>
      <x:c r="E22" s="185" t="n">
        <x:v>44196</x:v>
      </x:c>
      <x:c r="F22" s="27" t="n">
        <x:f t="shared" si="0"/>
        <x:v>3</x:v>
      </x:c>
      <x:c r="G22" s="27" t="str">
        <x:v>Country</x:v>
      </x:c>
      <x:c r="H22" s="27" t="str">
        <x:v>Regional</x:v>
      </x:c>
      <x:c r="I22" s="30" t="str">
        <x:v>Regional</x:v>
      </x:c>
      <x:c r="J22" s="151" t="str">
        <x:v>Institution-specific published voting measure</x:v>
      </x:c>
      <x:c r="K22" s="196"/>
      <x:c r="L22" s="196"/>
    </x:row>
    <x:row r="23">
      <x:c r="A23" s="31" t="str">
        <x:v>Malaysia</x:v>
      </x:c>
      <x:c r="B23" s="32" t="str">
        <x:v>adb</x:v>
      </x:c>
      <x:c r="C23" s="194" t="n">
        <x:v>2.717</x:v>
      </x:c>
      <x:c r="D23" s="194" t="n">
        <x:v>2.468</x:v>
      </x:c>
      <x:c r="E23" s="186" t="n">
        <x:v>44196</x:v>
      </x:c>
      <x:c r="F23" s="32" t="n">
        <x:f t="shared" si="0"/>
        <x:v>5</x:v>
      </x:c>
      <x:c r="G23" s="32" t="str">
        <x:v>Country</x:v>
      </x:c>
      <x:c r="H23" s="32" t="str">
        <x:v>Regional</x:v>
      </x:c>
      <x:c r="I23" s="35" t="str">
        <x:v>Regional</x:v>
      </x:c>
      <x:c r="J23" s="151" t="str">
        <x:v>Institution-specific published voting measure</x:v>
      </x:c>
      <x:c r="K23" s="196"/>
      <x:c r="L23" s="196"/>
    </x:row>
    <x:row r="24">
      <x:c r="A24" s="26" t="str">
        <x:v>Maldives</x:v>
      </x:c>
      <x:c r="B24" s="27" t="str">
        <x:v>adb</x:v>
      </x:c>
      <x:c r="C24" s="193" t="n">
        <x:v>0.004</x:v>
      </x:c>
      <x:c r="D24" s="193" t="n">
        <x:v>0.297</x:v>
      </x:c>
      <x:c r="E24" s="185" t="n">
        <x:v>44196</x:v>
      </x:c>
      <x:c r="F24" s="27" t="n">
        <x:f t="shared" si="0"/>
        <x:v>5</x:v>
      </x:c>
      <x:c r="G24" s="27" t="str">
        <x:v>Country</x:v>
      </x:c>
      <x:c r="H24" s="27" t="str">
        <x:v>Regional</x:v>
      </x:c>
      <x:c r="I24" s="30" t="str">
        <x:v>Regional</x:v>
      </x:c>
      <x:c r="J24" s="151" t="str">
        <x:v>Institution-specific published voting measure</x:v>
      </x:c>
      <x:c r="K24" s="196"/>
      <x:c r="L24" s="196"/>
    </x:row>
    <x:row r="25">
      <x:c r="A25" s="31" t="str">
        <x:v>Marshall Islands</x:v>
      </x:c>
      <x:c r="B25" s="32" t="str">
        <x:v>adb</x:v>
      </x:c>
      <x:c r="C25" s="194" t="n">
        <x:v>0.003</x:v>
      </x:c>
      <x:c r="D25" s="194" t="n">
        <x:v>0.296</x:v>
      </x:c>
      <x:c r="E25" s="186" t="n">
        <x:v>44196</x:v>
      </x:c>
      <x:c r="F25" s="32" t="n">
        <x:f t="shared" si="0"/>
        <x:v>3</x:v>
      </x:c>
      <x:c r="G25" s="32" t="str">
        <x:v>Country</x:v>
      </x:c>
      <x:c r="H25" s="32" t="str">
        <x:v>Regional</x:v>
      </x:c>
      <x:c r="I25" s="35" t="str">
        <x:v>Regional</x:v>
      </x:c>
      <x:c r="J25" s="151" t="str">
        <x:v>Institution-specific published voting measure</x:v>
      </x:c>
      <x:c r="K25" s="196"/>
      <x:c r="L25" s="196"/>
    </x:row>
    <x:row r="26">
      <x:c r="A26" s="26" t="str">
        <x:v>Micronesia, Federated States of</x:v>
      </x:c>
      <x:c r="B26" s="27" t="str">
        <x:v>adb</x:v>
      </x:c>
      <x:c r="C26" s="193" t="n">
        <x:v>0.004</x:v>
      </x:c>
      <x:c r="D26" s="193" t="n">
        <x:v>0.297</x:v>
      </x:c>
      <x:c r="E26" s="185" t="n">
        <x:v>44196</x:v>
      </x:c>
      <x:c r="F26" s="27" t="n">
        <x:f t="shared" si="0"/>
        <x:v>3</x:v>
      </x:c>
      <x:c r="G26" s="27" t="str">
        <x:v>Country</x:v>
      </x:c>
      <x:c r="H26" s="27" t="str">
        <x:v>Regional</x:v>
      </x:c>
      <x:c r="I26" s="30" t="str">
        <x:v>Regional</x:v>
      </x:c>
      <x:c r="J26" s="151" t="str">
        <x:v>Institution-specific published voting measure</x:v>
      </x:c>
      <x:c r="K26" s="196"/>
      <x:c r="L26" s="196"/>
    </x:row>
    <x:row r="27">
      <x:c r="A27" s="31" t="str">
        <x:v>Mongolia</x:v>
      </x:c>
      <x:c r="B27" s="32" t="str">
        <x:v>adb</x:v>
      </x:c>
      <x:c r="C27" s="194" t="n">
        <x:v>0.015</x:v>
      </x:c>
      <x:c r="D27" s="194" t="n">
        <x:v>0.306</x:v>
      </x:c>
      <x:c r="E27" s="186" t="n">
        <x:v>44196</x:v>
      </x:c>
      <x:c r="F27" s="32" t="n">
        <x:f t="shared" si="0"/>
        <x:v>5</x:v>
      </x:c>
      <x:c r="G27" s="32" t="str">
        <x:v>Country</x:v>
      </x:c>
      <x:c r="H27" s="32" t="str">
        <x:v>Regional</x:v>
      </x:c>
      <x:c r="I27" s="35" t="str">
        <x:v>Regional</x:v>
      </x:c>
      <x:c r="J27" s="151" t="str">
        <x:v>Institution-specific published voting measure</x:v>
      </x:c>
      <x:c r="K27" s="196"/>
      <x:c r="L27" s="196"/>
    </x:row>
    <x:row r="28">
      <x:c r="A28" s="26" t="str">
        <x:v>Myanmar</x:v>
      </x:c>
      <x:c r="B28" s="27" t="str">
        <x:v>adb</x:v>
      </x:c>
      <x:c r="C28" s="193" t="n">
        <x:v>0.543</x:v>
      </x:c>
      <x:c r="D28" s="193" t="n">
        <x:v>0.729</x:v>
      </x:c>
      <x:c r="E28" s="185" t="n">
        <x:v>44196</x:v>
      </x:c>
      <x:c r="F28" s="27" t="n">
        <x:f t="shared" si="0"/>
        <x:v>4</x:v>
      </x:c>
      <x:c r="G28" s="27" t="str">
        <x:v>Country</x:v>
      </x:c>
      <x:c r="H28" s="27" t="str">
        <x:v>Regional</x:v>
      </x:c>
      <x:c r="I28" s="30" t="str">
        <x:v>Regional</x:v>
      </x:c>
      <x:c r="J28" s="151" t="str">
        <x:v>Institution-specific published voting measure</x:v>
      </x:c>
      <x:c r="K28" s="196"/>
      <x:c r="L28" s="196"/>
    </x:row>
    <x:row r="29">
      <x:c r="A29" s="31" t="str">
        <x:v>Nauru</x:v>
      </x:c>
      <x:c r="B29" s="32" t="str">
        <x:v>adb</x:v>
      </x:c>
      <x:c r="C29" s="194" t="n">
        <x:v>0.004</x:v>
      </x:c>
      <x:c r="D29" s="194" t="n">
        <x:v>0.297</x:v>
      </x:c>
      <x:c r="E29" s="186" t="n">
        <x:v>44196</x:v>
      </x:c>
      <x:c r="F29" s="32" t="n">
        <x:f t="shared" si="0"/>
        <x:v>3</x:v>
      </x:c>
      <x:c r="G29" s="32" t="str">
        <x:v>Country</x:v>
      </x:c>
      <x:c r="H29" s="32" t="str">
        <x:v>Regional</x:v>
      </x:c>
      <x:c r="I29" s="35" t="str">
        <x:v>Regional</x:v>
      </x:c>
      <x:c r="J29" s="151" t="str">
        <x:v>Institution-specific published voting measure</x:v>
      </x:c>
      <x:c r="K29" s="196"/>
      <x:c r="L29" s="196"/>
    </x:row>
    <x:row r="30">
      <x:c r="A30" s="26" t="str">
        <x:v>Nepal</x:v>
      </x:c>
      <x:c r="B30" s="27" t="str">
        <x:v>adb</x:v>
      </x:c>
      <x:c r="C30" s="193" t="n">
        <x:v>0.147</x:v>
      </x:c>
      <x:c r="D30" s="193" t="n">
        <x:v>0.411</x:v>
      </x:c>
      <x:c r="E30" s="185" t="n">
        <x:v>44196</x:v>
      </x:c>
      <x:c r="F30" s="27" t="n">
        <x:f t="shared" si="0"/>
        <x:v>4</x:v>
      </x:c>
      <x:c r="G30" s="27" t="str">
        <x:v>Country</x:v>
      </x:c>
      <x:c r="H30" s="27" t="str">
        <x:v>Regional</x:v>
      </x:c>
      <x:c r="I30" s="30" t="str">
        <x:v>Regional</x:v>
      </x:c>
      <x:c r="J30" s="151" t="str">
        <x:v>Institution-specific published voting measure</x:v>
      </x:c>
      <x:c r="K30" s="196"/>
      <x:c r="L30" s="196"/>
    </x:row>
    <x:row r="31">
      <x:c r="A31" s="31" t="str">
        <x:v>New Zealand</x:v>
      </x:c>
      <x:c r="B31" s="32" t="str">
        <x:v>adb</x:v>
      </x:c>
      <x:c r="C31" s="194" t="n">
        <x:v>1.532</x:v>
      </x:c>
      <x:c r="D31" s="194" t="n">
        <x:v>1.52</x:v>
      </x:c>
      <x:c r="E31" s="186" t="n">
        <x:v>44196</x:v>
      </x:c>
      <x:c r="F31" s="32" t="n">
        <x:f t="shared" si="0"/>
        <x:v>5</x:v>
      </x:c>
      <x:c r="G31" s="32" t="str">
        <x:v>Country</x:v>
      </x:c>
      <x:c r="H31" s="32" t="str">
        <x:v>Regional</x:v>
      </x:c>
      <x:c r="I31" s="35" t="str">
        <x:v>Regional</x:v>
      </x:c>
      <x:c r="J31" s="151" t="str">
        <x:v>Institution-specific published voting measure</x:v>
      </x:c>
      <x:c r="K31" s="196"/>
      <x:c r="L31" s="196"/>
    </x:row>
    <x:row r="32">
      <x:c r="A32" s="26" t="str">
        <x:v>Niue</x:v>
      </x:c>
      <x:c r="B32" s="27" t="str">
        <x:v>adb</x:v>
      </x:c>
      <x:c r="C32" s="193" t="n">
        <x:v>0.001</x:v>
      </x:c>
      <x:c r="D32" s="193" t="n">
        <x:v>0.295</x:v>
      </x:c>
      <x:c r="E32" s="185" t="n">
        <x:v>44196</x:v>
      </x:c>
      <x:c r="F32" s="27" t="n">
        <x:f t="shared" si="0"/>
        <x:v>1</x:v>
      </x:c>
      <x:c r="G32" s="27" t="str">
        <x:v>Country</x:v>
      </x:c>
      <x:c r="H32" s="27" t="str">
        <x:v>Regional</x:v>
      </x:c>
      <x:c r="I32" s="30" t="str">
        <x:v>Regional</x:v>
      </x:c>
      <x:c r="J32" s="151" t="str">
        <x:v>Institution-specific published voting measure</x:v>
      </x:c>
      <x:c r="K32" s="196"/>
      <x:c r="L32" s="196"/>
    </x:row>
    <x:row r="33">
      <x:c r="A33" s="31" t="str">
        <x:v>Pakistan</x:v>
      </x:c>
      <x:c r="B33" s="32" t="str">
        <x:v>adb</x:v>
      </x:c>
      <x:c r="C33" s="194" t="n">
        <x:v>2.174</x:v>
      </x:c>
      <x:c r="D33" s="194" t="n">
        <x:v>2.033</x:v>
      </x:c>
      <x:c r="E33" s="186" t="n">
        <x:v>44196</x:v>
      </x:c>
      <x:c r="F33" s="32" t="n">
        <x:f t="shared" si="0"/>
        <x:v>5</x:v>
      </x:c>
      <x:c r="G33" s="32" t="str">
        <x:v>Country</x:v>
      </x:c>
      <x:c r="H33" s="32" t="str">
        <x:v>Regional</x:v>
      </x:c>
      <x:c r="I33" s="35" t="str">
        <x:v>Regional</x:v>
      </x:c>
      <x:c r="J33" s="151" t="str">
        <x:v>Institution-specific published voting measure</x:v>
      </x:c>
      <x:c r="K33" s="196"/>
      <x:c r="L33" s="196"/>
    </x:row>
    <x:row r="34">
      <x:c r="A34" s="26" t="str">
        <x:v>Palau</x:v>
      </x:c>
      <x:c r="B34" s="27" t="str">
        <x:v>adb</x:v>
      </x:c>
      <x:c r="C34" s="193" t="n">
        <x:v>0.003</x:v>
      </x:c>
      <x:c r="D34" s="193" t="n">
        <x:v>0.297</x:v>
      </x:c>
      <x:c r="E34" s="185" t="n">
        <x:v>44196</x:v>
      </x:c>
      <x:c r="F34" s="27" t="n">
        <x:f t="shared" si="0"/>
        <x:v>3</x:v>
      </x:c>
      <x:c r="G34" s="27" t="str">
        <x:v>Country</x:v>
      </x:c>
      <x:c r="H34" s="27" t="str">
        <x:v>Regional</x:v>
      </x:c>
      <x:c r="I34" s="30" t="str">
        <x:v>Regional</x:v>
      </x:c>
      <x:c r="J34" s="151" t="str">
        <x:v>Institution-specific published voting measure</x:v>
      </x:c>
      <x:c r="K34" s="196"/>
      <x:c r="L34" s="196"/>
    </x:row>
    <x:row r="35">
      <x:c r="A35" s="31" t="str">
        <x:v>Papua New Guinea</x:v>
      </x:c>
      <x:c r="B35" s="32" t="str">
        <x:v>adb</x:v>
      </x:c>
      <x:c r="C35" s="194" t="n">
        <x:v>0.094</x:v>
      </x:c>
      <x:c r="D35" s="194" t="n">
        <x:v>0.369</x:v>
      </x:c>
      <x:c r="E35" s="186" t="n">
        <x:v>44196</x:v>
      </x:c>
      <x:c r="F35" s="32" t="n">
        <x:f t="shared" si="0"/>
        <x:v>4</x:v>
      </x:c>
      <x:c r="G35" s="32" t="str">
        <x:v>Country</x:v>
      </x:c>
      <x:c r="H35" s="32" t="str">
        <x:v>Regional</x:v>
      </x:c>
      <x:c r="I35" s="35" t="str">
        <x:v>Regional</x:v>
      </x:c>
      <x:c r="J35" s="151" t="str">
        <x:v>Institution-specific published voting measure</x:v>
      </x:c>
      <x:c r="K35" s="196"/>
      <x:c r="L35" s="196"/>
    </x:row>
    <x:row r="36">
      <x:c r="A36" s="26" t="str">
        <x:v>Philippines</x:v>
      </x:c>
      <x:c r="B36" s="27" t="str">
        <x:v>adb</x:v>
      </x:c>
      <x:c r="C36" s="193" t="n">
        <x:v>2.377</x:v>
      </x:c>
      <x:c r="D36" s="193" t="n">
        <x:v>2.196</x:v>
      </x:c>
      <x:c r="E36" s="185" t="n">
        <x:v>44196</x:v>
      </x:c>
      <x:c r="F36" s="27" t="n">
        <x:f t="shared" si="0"/>
        <x:v>4</x:v>
      </x:c>
      <x:c r="G36" s="27" t="str">
        <x:v>Country</x:v>
      </x:c>
      <x:c r="H36" s="27" t="str">
        <x:v>Regional</x:v>
      </x:c>
      <x:c r="I36" s="30" t="str">
        <x:v>Regional</x:v>
      </x:c>
      <x:c r="J36" s="151" t="str">
        <x:v>Institution-specific published voting measure</x:v>
      </x:c>
      <x:c r="K36" s="196"/>
      <x:c r="L36" s="196"/>
    </x:row>
    <x:row r="37">
      <x:c r="A37" s="31" t="str">
        <x:v>Samoa</x:v>
      </x:c>
      <x:c r="B37" s="32" t="str">
        <x:v>adb</x:v>
      </x:c>
      <x:c r="C37" s="194" t="n">
        <x:v>0.003</x:v>
      </x:c>
      <x:c r="D37" s="194" t="n">
        <x:v>0.297</x:v>
      </x:c>
      <x:c r="E37" s="186" t="n">
        <x:v>44196</x:v>
      </x:c>
      <x:c r="F37" s="32" t="n">
        <x:f t="shared" si="0"/>
        <x:v>4</x:v>
      </x:c>
      <x:c r="G37" s="32" t="str">
        <x:v>Country</x:v>
      </x:c>
      <x:c r="H37" s="32" t="str">
        <x:v>Regional</x:v>
      </x:c>
      <x:c r="I37" s="35" t="str">
        <x:v>Regional</x:v>
      </x:c>
      <x:c r="J37" s="151" t="str">
        <x:v>Institution-specific published voting measure</x:v>
      </x:c>
      <x:c r="K37" s="196"/>
      <x:c r="L37" s="196"/>
    </x:row>
    <x:row r="38">
      <x:c r="A38" s="26" t="str">
        <x:v>Singapore</x:v>
      </x:c>
      <x:c r="B38" s="27" t="str">
        <x:v>adb</x:v>
      </x:c>
      <x:c r="C38" s="193" t="n">
        <x:v>0.34</x:v>
      </x:c>
      <x:c r="D38" s="193" t="n">
        <x:v>0.566</x:v>
      </x:c>
      <x:c r="E38" s="185" t="n">
        <x:v>44196</x:v>
      </x:c>
      <x:c r="F38" s="27" t="n">
        <x:f t="shared" si="0"/>
        <x:v>4</x:v>
      </x:c>
      <x:c r="G38" s="27" t="str">
        <x:v>Country</x:v>
      </x:c>
      <x:c r="H38" s="27" t="str">
        <x:v>Regional</x:v>
      </x:c>
      <x:c r="I38" s="30" t="str">
        <x:v>Regional</x:v>
      </x:c>
      <x:c r="J38" s="151" t="str">
        <x:v>Institution-specific published voting measure</x:v>
      </x:c>
      <x:c r="K38" s="196"/>
      <x:c r="L38" s="196"/>
    </x:row>
    <x:row r="39">
      <x:c r="A39" s="31" t="str">
        <x:v>Solomon Islands</x:v>
      </x:c>
      <x:c r="B39" s="32" t="str">
        <x:v>adb</x:v>
      </x:c>
      <x:c r="C39" s="194" t="n">
        <x:v>0.007000000000000001</x:v>
      </x:c>
      <x:c r="D39" s="194" t="n">
        <x:v>0.299</x:v>
      </x:c>
      <x:c r="E39" s="186" t="n">
        <x:v>44196</x:v>
      </x:c>
      <x:c r="F39" s="32" t="n">
        <x:f t="shared" si="0"/>
        <x:v>3</x:v>
      </x:c>
      <x:c r="G39" s="32" t="str">
        <x:v>Country</x:v>
      </x:c>
      <x:c r="H39" s="32" t="str">
        <x:v>Regional</x:v>
      </x:c>
      <x:c r="I39" s="35" t="str">
        <x:v>Regional</x:v>
      </x:c>
      <x:c r="J39" s="151" t="str">
        <x:v>Institution-specific published voting measure</x:v>
      </x:c>
      <x:c r="K39" s="196"/>
      <x:c r="L39" s="196"/>
    </x:row>
    <x:row r="40">
      <x:c r="A40" s="26" t="str">
        <x:v>Sri Lanka</x:v>
      </x:c>
      <x:c r="B40" s="27" t="str">
        <x:v>adb</x:v>
      </x:c>
      <x:c r="C40" s="193" t="n">
        <x:v>0.579</x:v>
      </x:c>
      <x:c r="D40" s="193" t="n">
        <x:v>0.757</x:v>
      </x:c>
      <x:c r="E40" s="185" t="n">
        <x:v>44196</x:v>
      </x:c>
      <x:c r="F40" s="27" t="n">
        <x:f t="shared" si="0"/>
        <x:v>4</x:v>
      </x:c>
      <x:c r="G40" s="27" t="str">
        <x:v>Country</x:v>
      </x:c>
      <x:c r="H40" s="27" t="str">
        <x:v>Regional</x:v>
      </x:c>
      <x:c r="I40" s="30" t="str">
        <x:v>Regional</x:v>
      </x:c>
      <x:c r="J40" s="151" t="str">
        <x:v>Institution-specific published voting measure</x:v>
      </x:c>
      <x:c r="K40" s="196"/>
      <x:c r="L40" s="196"/>
    </x:row>
    <x:row r="41">
      <x:c r="A41" s="31" t="str">
        <x:v>Taipei,China</x:v>
      </x:c>
      <x:c r="B41" s="32" t="str">
        <x:v>adb</x:v>
      </x:c>
      <x:c r="C41" s="194" t="n">
        <x:v>1.087</x:v>
      </x:c>
      <x:c r="D41" s="194" t="n">
        <x:v>1.164</x:v>
      </x:c>
      <x:c r="E41" s="186" t="n">
        <x:v>44196</x:v>
      </x:c>
      <x:c r="F41" s="32" t="n">
        <x:f t="shared" si="0"/>
        <x:v>2</x:v>
      </x:c>
      <x:c r="G41" s="32" t="str">
        <x:v>Country</x:v>
      </x:c>
      <x:c r="H41" s="32" t="str">
        <x:v>Regional</x:v>
      </x:c>
      <x:c r="I41" s="35" t="str">
        <x:v>Regional</x:v>
      </x:c>
      <x:c r="J41" s="151" t="str">
        <x:v>Institution-specific published voting measure</x:v>
      </x:c>
      <x:c r="K41" s="196"/>
      <x:c r="L41" s="196"/>
    </x:row>
    <x:row r="42">
      <x:c r="A42" s="26" t="str">
        <x:v>Tajikistan</x:v>
      </x:c>
      <x:c r="B42" s="27" t="str">
        <x:v>adb</x:v>
      </x:c>
      <x:c r="C42" s="193" t="n">
        <x:v>0.286</x:v>
      </x:c>
      <x:c r="D42" s="193" t="n">
        <x:v>0.523</x:v>
      </x:c>
      <x:c r="E42" s="185" t="n">
        <x:v>44196</x:v>
      </x:c>
      <x:c r="F42" s="27" t="n">
        <x:f t="shared" si="0"/>
        <x:v>6</x:v>
      </x:c>
      <x:c r="G42" s="27" t="str">
        <x:v>Country</x:v>
      </x:c>
      <x:c r="H42" s="27" t="str">
        <x:v>Regional</x:v>
      </x:c>
      <x:c r="I42" s="30" t="str">
        <x:v>Regional</x:v>
      </x:c>
      <x:c r="J42" s="151" t="str">
        <x:v>Institution-specific published voting measure</x:v>
      </x:c>
      <x:c r="K42" s="196"/>
      <x:c r="L42" s="196"/>
    </x:row>
    <x:row r="43">
      <x:c r="A43" s="31" t="str">
        <x:v>Thailand</x:v>
      </x:c>
      <x:c r="B43" s="32" t="str">
        <x:v>adb</x:v>
      </x:c>
      <x:c r="C43" s="194" t="n">
        <x:v>1.358</x:v>
      </x:c>
      <x:c r="D43" s="194" t="n">
        <x:v>1.381</x:v>
      </x:c>
      <x:c r="E43" s="186" t="n">
        <x:v>44196</x:v>
      </x:c>
      <x:c r="F43" s="32" t="n">
        <x:f t="shared" si="0"/>
        <x:v>4</x:v>
      </x:c>
      <x:c r="G43" s="32" t="str">
        <x:v>Country</x:v>
      </x:c>
      <x:c r="H43" s="32" t="str">
        <x:v>Regional</x:v>
      </x:c>
      <x:c r="I43" s="35" t="str">
        <x:v>Regional</x:v>
      </x:c>
      <x:c r="J43" s="151" t="str">
        <x:v>Institution-specific published voting measure</x:v>
      </x:c>
      <x:c r="K43" s="196"/>
      <x:c r="L43" s="196"/>
    </x:row>
    <x:row r="44">
      <x:c r="A44" s="26" t="str">
        <x:v>Timor-Leste</x:v>
      </x:c>
      <x:c r="B44" s="27" t="str">
        <x:v>adb</x:v>
      </x:c>
      <x:c r="C44" s="193" t="n">
        <x:v>0.01</x:v>
      </x:c>
      <x:c r="D44" s="193" t="n">
        <x:v>0.302</x:v>
      </x:c>
      <x:c r="E44" s="185" t="n">
        <x:v>44196</x:v>
      </x:c>
      <x:c r="F44" s="27" t="n">
        <x:f t="shared" si="0"/>
        <x:v>4</x:v>
      </x:c>
      <x:c r="G44" s="27" t="str">
        <x:v>Country</x:v>
      </x:c>
      <x:c r="H44" s="27" t="str">
        <x:v>Regional</x:v>
      </x:c>
      <x:c r="I44" s="30" t="str">
        <x:v>Regional</x:v>
      </x:c>
      <x:c r="J44" s="151" t="str">
        <x:v>Institution-specific published voting measure</x:v>
      </x:c>
      <x:c r="K44" s="196"/>
      <x:c r="L44" s="196"/>
    </x:row>
    <x:row r="45">
      <x:c r="A45" s="31" t="str">
        <x:v>Tonga</x:v>
      </x:c>
      <x:c r="B45" s="32" t="str">
        <x:v>adb</x:v>
      </x:c>
      <x:c r="C45" s="194" t="n">
        <x:v>0.004</x:v>
      </x:c>
      <x:c r="D45" s="194" t="n">
        <x:v>0.297</x:v>
      </x:c>
      <x:c r="E45" s="186" t="n">
        <x:v>44196</x:v>
      </x:c>
      <x:c r="F45" s="32" t="n">
        <x:f t="shared" si="0"/>
        <x:v>4</x:v>
      </x:c>
      <x:c r="G45" s="32" t="str">
        <x:v>Country</x:v>
      </x:c>
      <x:c r="H45" s="32" t="str">
        <x:v>Regional</x:v>
      </x:c>
      <x:c r="I45" s="35" t="str">
        <x:v>Regional</x:v>
      </x:c>
      <x:c r="J45" s="151" t="str">
        <x:v>Institution-specific published voting measure</x:v>
      </x:c>
      <x:c r="K45" s="196"/>
      <x:c r="L45" s="196"/>
    </x:row>
    <x:row r="46">
      <x:c r="A46" s="26" t="str">
        <x:v>Turkmenistan</x:v>
      </x:c>
      <x:c r="B46" s="27" t="str">
        <x:v>adb</x:v>
      </x:c>
      <x:c r="C46" s="193" t="n">
        <x:v>0.253</x:v>
      </x:c>
      <x:c r="D46" s="193" t="n">
        <x:v>0.496</x:v>
      </x:c>
      <x:c r="E46" s="185" t="n">
        <x:v>44196</x:v>
      </x:c>
      <x:c r="F46" s="27" t="n">
        <x:f t="shared" si="0"/>
        <x:v>5</x:v>
      </x:c>
      <x:c r="G46" s="27" t="str">
        <x:v>Country</x:v>
      </x:c>
      <x:c r="H46" s="27" t="str">
        <x:v>Regional</x:v>
      </x:c>
      <x:c r="I46" s="30" t="str">
        <x:v>Regional</x:v>
      </x:c>
      <x:c r="J46" s="151" t="str">
        <x:v>Institution-specific published voting measure</x:v>
      </x:c>
      <x:c r="K46" s="196"/>
      <x:c r="L46" s="196"/>
    </x:row>
    <x:row r="47">
      <x:c r="A47" s="31" t="str">
        <x:v>Tuvalu</x:v>
      </x:c>
      <x:c r="B47" s="32" t="str">
        <x:v>adb</x:v>
      </x:c>
      <x:c r="C47" s="194" t="n">
        <x:v>0.001</x:v>
      </x:c>
      <x:c r="D47" s="194" t="n">
        <x:v>0.295</x:v>
      </x:c>
      <x:c r="E47" s="186" t="n">
        <x:v>44196</x:v>
      </x:c>
      <x:c r="F47" s="32" t="n">
        <x:f t="shared" si="0"/>
        <x:v>3</x:v>
      </x:c>
      <x:c r="G47" s="32" t="str">
        <x:v>Country</x:v>
      </x:c>
      <x:c r="H47" s="32" t="str">
        <x:v>Regional</x:v>
      </x:c>
      <x:c r="I47" s="35" t="str">
        <x:v>Regional</x:v>
      </x:c>
      <x:c r="J47" s="151" t="str">
        <x:v>Institution-specific published voting measure</x:v>
      </x:c>
      <x:c r="K47" s="196"/>
      <x:c r="L47" s="196"/>
    </x:row>
    <x:row r="48">
      <x:c r="A48" s="26" t="str">
        <x:v>Uzbekistan</x:v>
      </x:c>
      <x:c r="B48" s="27" t="str">
        <x:v>adb</x:v>
      </x:c>
      <x:c r="C48" s="193" t="n">
        <x:v>0.672</x:v>
      </x:c>
      <x:c r="D48" s="193" t="n">
        <x:v>0.832</x:v>
      </x:c>
      <x:c r="E48" s="185" t="n">
        <x:v>44196</x:v>
      </x:c>
      <x:c r="F48" s="27" t="n">
        <x:f t="shared" si="0"/>
        <x:v>6</x:v>
      </x:c>
      <x:c r="G48" s="27" t="str">
        <x:v>Country</x:v>
      </x:c>
      <x:c r="H48" s="27" t="str">
        <x:v>Regional</x:v>
      </x:c>
      <x:c r="I48" s="30" t="str">
        <x:v>Regional</x:v>
      </x:c>
      <x:c r="J48" s="151" t="str">
        <x:v>Institution-specific published voting measure</x:v>
      </x:c>
      <x:c r="K48" s="196"/>
      <x:c r="L48" s="196"/>
    </x:row>
    <x:row r="49">
      <x:c r="A49" s="31" t="str">
        <x:v>Vanuatu</x:v>
      </x:c>
      <x:c r="B49" s="32" t="str">
        <x:v>adb</x:v>
      </x:c>
      <x:c r="C49" s="194" t="n">
        <x:v>0.007000000000000001</x:v>
      </x:c>
      <x:c r="D49" s="194" t="n">
        <x:v>0.299</x:v>
      </x:c>
      <x:c r="E49" s="186" t="n">
        <x:v>44196</x:v>
      </x:c>
      <x:c r="F49" s="32" t="n">
        <x:f t="shared" si="0"/>
        <x:v>4</x:v>
      </x:c>
      <x:c r="G49" s="32" t="str">
        <x:v>Country</x:v>
      </x:c>
      <x:c r="H49" s="32" t="str">
        <x:v>Regional</x:v>
      </x:c>
      <x:c r="I49" s="35" t="str">
        <x:v>Regional</x:v>
      </x:c>
      <x:c r="J49" s="151" t="str">
        <x:v>Institution-specific published voting measure</x:v>
      </x:c>
      <x:c r="K49" s="196"/>
      <x:c r="L49" s="196"/>
    </x:row>
    <x:row r="50">
      <x:c r="A50" s="26" t="str">
        <x:v>Viet Nam</x:v>
      </x:c>
      <x:c r="B50" s="27" t="str">
        <x:v>adb</x:v>
      </x:c>
      <x:c r="C50" s="193" t="n">
        <x:v>0.341</x:v>
      </x:c>
      <x:c r="D50" s="193" t="n">
        <x:v>0.567</x:v>
      </x:c>
      <x:c r="E50" s="185" t="n">
        <x:v>44196</x:v>
      </x:c>
      <x:c r="F50" s="27" t="n">
        <x:f t="shared" si="0"/>
        <x:v>4</x:v>
      </x:c>
      <x:c r="G50" s="27" t="str">
        <x:v>Country</x:v>
      </x:c>
      <x:c r="H50" s="27" t="str">
        <x:v>Regional</x:v>
      </x:c>
      <x:c r="I50" s="30" t="str">
        <x:v>Regional</x:v>
      </x:c>
      <x:c r="J50" s="151" t="str">
        <x:v>Institution-specific published voting measure</x:v>
      </x:c>
      <x:c r="K50" s="196"/>
      <x:c r="L50" s="196"/>
    </x:row>
    <x:row r="51">
      <x:c r="A51" s="31" t="str">
        <x:v>Austria</x:v>
      </x:c>
      <x:c r="B51" s="32" t="str">
        <x:v>adb</x:v>
      </x:c>
      <x:c r="C51" s="194" t="n">
        <x:v>0.34</x:v>
      </x:c>
      <x:c r="D51" s="194" t="n">
        <x:v>0.566</x:v>
      </x:c>
      <x:c r="E51" s="186" t="n">
        <x:v>44196</x:v>
      </x:c>
      <x:c r="F51" s="32" t="n">
        <x:f t="shared" si="0"/>
        <x:v>8</x:v>
      </x:c>
      <x:c r="G51" s="32" t="str">
        <x:v>Country</x:v>
      </x:c>
      <x:c r="H51" s="32" t="str">
        <x:v>Nonregional</x:v>
      </x:c>
      <x:c r="I51" s="35" t="str">
        <x:v>Regional</x:v>
      </x:c>
      <x:c r="J51" s="151" t="str">
        <x:v>Institution-specific published voting measure</x:v>
      </x:c>
      <x:c r="K51" s="196"/>
      <x:c r="L51" s="196"/>
    </x:row>
    <x:row r="52">
      <x:c r="A52" s="26" t="str">
        <x:v>Belgium</x:v>
      </x:c>
      <x:c r="B52" s="27" t="str">
        <x:v>adb</x:v>
      </x:c>
      <x:c r="C52" s="193" t="n">
        <x:v>0.34</x:v>
      </x:c>
      <x:c r="D52" s="193" t="n">
        <x:v>0.566</x:v>
      </x:c>
      <x:c r="E52" s="185" t="n">
        <x:v>44196</x:v>
      </x:c>
      <x:c r="F52" s="27" t="n">
        <x:f t="shared" si="0"/>
        <x:v>8</x:v>
      </x:c>
      <x:c r="G52" s="27" t="str">
        <x:v>Country</x:v>
      </x:c>
      <x:c r="H52" s="27" t="str">
        <x:v>Nonregional</x:v>
      </x:c>
      <x:c r="I52" s="30" t="str">
        <x:v>Regional</x:v>
      </x:c>
      <x:c r="J52" s="151" t="str">
        <x:v>Institution-specific published voting measure</x:v>
      </x:c>
      <x:c r="K52" s="196"/>
      <x:c r="L52" s="196"/>
    </x:row>
    <x:row r="53">
      <x:c r="A53" s="31" t="str">
        <x:v>Canada</x:v>
      </x:c>
      <x:c r="B53" s="32" t="str">
        <x:v>adb</x:v>
      </x:c>
      <x:c r="C53" s="194" t="n">
        <x:v>5.219</x:v>
      </x:c>
      <x:c r="D53" s="194" t="n">
        <x:v>4.469</x:v>
      </x:c>
      <x:c r="E53" s="186" t="n">
        <x:v>44196</x:v>
      </x:c>
      <x:c r="F53" s="32" t="n">
        <x:f t="shared" si="0"/>
        <x:v>8</x:v>
      </x:c>
      <x:c r="G53" s="32" t="str">
        <x:v>Country</x:v>
      </x:c>
      <x:c r="H53" s="32" t="str">
        <x:v>Nonregional</x:v>
      </x:c>
      <x:c r="I53" s="35" t="str">
        <x:v>Regional</x:v>
      </x:c>
      <x:c r="J53" s="151" t="str">
        <x:v>Institution-specific published voting measure</x:v>
      </x:c>
      <x:c r="K53" s="196"/>
      <x:c r="L53" s="196"/>
    </x:row>
    <x:row r="54">
      <x:c r="A54" s="26" t="str">
        <x:v>Denmark</x:v>
      </x:c>
      <x:c r="B54" s="27" t="str">
        <x:v>adb</x:v>
      </x:c>
      <x:c r="C54" s="193" t="n">
        <x:v>0.34</x:v>
      </x:c>
      <x:c r="D54" s="193" t="n">
        <x:v>0.566</x:v>
      </x:c>
      <x:c r="E54" s="185" t="n">
        <x:v>44196</x:v>
      </x:c>
      <x:c r="F54" s="27" t="n">
        <x:f t="shared" si="0"/>
        <x:v>8</x:v>
      </x:c>
      <x:c r="G54" s="27" t="str">
        <x:v>Country</x:v>
      </x:c>
      <x:c r="H54" s="27" t="str">
        <x:v>Nonregional</x:v>
      </x:c>
      <x:c r="I54" s="30" t="str">
        <x:v>Regional</x:v>
      </x:c>
      <x:c r="J54" s="151" t="str">
        <x:v>Institution-specific published voting measure</x:v>
      </x:c>
      <x:c r="K54" s="196"/>
      <x:c r="L54" s="196"/>
    </x:row>
    <x:row r="55">
      <x:c r="A55" s="31" t="str">
        <x:v>Finland</x:v>
      </x:c>
      <x:c r="B55" s="32" t="str">
        <x:v>adb</x:v>
      </x:c>
      <x:c r="C55" s="194" t="n">
        <x:v>0.34</x:v>
      </x:c>
      <x:c r="D55" s="194" t="n">
        <x:v>0.566</x:v>
      </x:c>
      <x:c r="E55" s="186" t="n">
        <x:v>44196</x:v>
      </x:c>
      <x:c r="F55" s="32" t="n">
        <x:f t="shared" si="0"/>
        <x:v>8</x:v>
      </x:c>
      <x:c r="G55" s="32" t="str">
        <x:v>Country</x:v>
      </x:c>
      <x:c r="H55" s="32" t="str">
        <x:v>Nonregional</x:v>
      </x:c>
      <x:c r="I55" s="35" t="str">
        <x:v>Regional</x:v>
      </x:c>
      <x:c r="J55" s="151" t="str">
        <x:v>Institution-specific published voting measure</x:v>
      </x:c>
      <x:c r="K55" s="196"/>
      <x:c r="L55" s="196"/>
    </x:row>
    <x:row r="56">
      <x:c r="A56" s="26" t="str">
        <x:v>France</x:v>
      </x:c>
      <x:c r="B56" s="27" t="str">
        <x:v>adb</x:v>
      </x:c>
      <x:c r="C56" s="193" t="n">
        <x:v>2.322</x:v>
      </x:c>
      <x:c r="D56" s="193" t="n">
        <x:v>2.152</x:v>
      </x:c>
      <x:c r="E56" s="185" t="n">
        <x:v>44196</x:v>
      </x:c>
      <x:c r="F56" s="27" t="n">
        <x:f t="shared" si="0"/>
        <x:v>8</x:v>
      </x:c>
      <x:c r="G56" s="27" t="str">
        <x:v>Country</x:v>
      </x:c>
      <x:c r="H56" s="27" t="str">
        <x:v>Nonregional</x:v>
      </x:c>
      <x:c r="I56" s="30" t="str">
        <x:v>Regional</x:v>
      </x:c>
      <x:c r="J56" s="151" t="str">
        <x:v>Institution-specific published voting measure</x:v>
      </x:c>
      <x:c r="K56" s="196"/>
      <x:c r="L56" s="196"/>
    </x:row>
    <x:row r="57">
      <x:c r="A57" s="31" t="str">
        <x:v>Germany</x:v>
      </x:c>
      <x:c r="B57" s="32" t="str">
        <x:v>adb</x:v>
      </x:c>
      <x:c r="C57" s="194" t="n">
        <x:v>4.316</x:v>
      </x:c>
      <x:c r="D57" s="194" t="n">
        <x:v>3.7469999999999994</x:v>
      </x:c>
      <x:c r="E57" s="186" t="n">
        <x:v>44196</x:v>
      </x:c>
      <x:c r="F57" s="32" t="n">
        <x:f t="shared" si="0"/>
        <x:v>9</x:v>
      </x:c>
      <x:c r="G57" s="32" t="str">
        <x:v>Country</x:v>
      </x:c>
      <x:c r="H57" s="32" t="str">
        <x:v>Nonregional</x:v>
      </x:c>
      <x:c r="I57" s="35" t="str">
        <x:v>Regional</x:v>
      </x:c>
      <x:c r="J57" s="151" t="str">
        <x:v>Institution-specific published voting measure</x:v>
      </x:c>
      <x:c r="K57" s="196"/>
      <x:c r="L57" s="196"/>
    </x:row>
    <x:row r="58">
      <x:c r="A58" s="26" t="str">
        <x:v>Ireland</x:v>
      </x:c>
      <x:c r="B58" s="27" t="str">
        <x:v>adb</x:v>
      </x:c>
      <x:c r="C58" s="193" t="n">
        <x:v>0.34</x:v>
      </x:c>
      <x:c r="D58" s="193" t="n">
        <x:v>0.566</x:v>
      </x:c>
      <x:c r="E58" s="185" t="n">
        <x:v>44196</x:v>
      </x:c>
      <x:c r="F58" s="27" t="n">
        <x:f t="shared" si="0"/>
        <x:v>7</x:v>
      </x:c>
      <x:c r="G58" s="27" t="str">
        <x:v>Country</x:v>
      </x:c>
      <x:c r="H58" s="27" t="str">
        <x:v>Nonregional</x:v>
      </x:c>
      <x:c r="I58" s="30" t="str">
        <x:v>Regional</x:v>
      </x:c>
      <x:c r="J58" s="151" t="str">
        <x:v>Institution-specific published voting measure</x:v>
      </x:c>
      <x:c r="K58" s="196"/>
      <x:c r="L58" s="196"/>
    </x:row>
    <x:row r="59">
      <x:c r="A59" s="31" t="str">
        <x:v>Italy</x:v>
      </x:c>
      <x:c r="B59" s="32" t="str">
        <x:v>adb</x:v>
      </x:c>
      <x:c r="C59" s="194" t="n">
        <x:v>1.8030000000000002</x:v>
      </x:c>
      <x:c r="D59" s="194" t="n">
        <x:v>1.737</x:v>
      </x:c>
      <x:c r="E59" s="186" t="n">
        <x:v>44196</x:v>
      </x:c>
      <x:c r="F59" s="32" t="n">
        <x:f t="shared" si="0"/>
        <x:v>9</x:v>
      </x:c>
      <x:c r="G59" s="32" t="str">
        <x:v>Country</x:v>
      </x:c>
      <x:c r="H59" s="32" t="str">
        <x:v>Nonregional</x:v>
      </x:c>
      <x:c r="I59" s="35" t="str">
        <x:v>Regional</x:v>
      </x:c>
      <x:c r="J59" s="151" t="str">
        <x:v>Institution-specific published voting measure</x:v>
      </x:c>
      <x:c r="K59" s="196"/>
      <x:c r="L59" s="196"/>
    </x:row>
    <x:row r="60">
      <x:c r="A60" s="26" t="str">
        <x:v>Luxembourg</x:v>
      </x:c>
      <x:c r="B60" s="27" t="str">
        <x:v>adb</x:v>
      </x:c>
      <x:c r="C60" s="193" t="n">
        <x:v>0.34</x:v>
      </x:c>
      <x:c r="D60" s="193" t="n">
        <x:v>0.566</x:v>
      </x:c>
      <x:c r="E60" s="185" t="n">
        <x:v>44196</x:v>
      </x:c>
      <x:c r="F60" s="27" t="n">
        <x:f t="shared" si="0"/>
        <x:v>7</x:v>
      </x:c>
      <x:c r="G60" s="27" t="str">
        <x:v>Country</x:v>
      </x:c>
      <x:c r="H60" s="27" t="str">
        <x:v>Nonregional</x:v>
      </x:c>
      <x:c r="I60" s="30" t="str">
        <x:v>Regional</x:v>
      </x:c>
      <x:c r="J60" s="151" t="str">
        <x:v>Institution-specific published voting measure</x:v>
      </x:c>
      <x:c r="K60" s="196"/>
      <x:c r="L60" s="196"/>
    </x:row>
    <x:row r="61">
      <x:c r="A61" s="31" t="str">
        <x:v>Netherlands</x:v>
      </x:c>
      <x:c r="B61" s="32" t="str">
        <x:v>adb</x:v>
      </x:c>
      <x:c r="C61" s="194" t="n">
        <x:v>1.023</x:v>
      </x:c>
      <x:c r="D61" s="194" t="n">
        <x:v>1.113</x:v>
      </x:c>
      <x:c r="E61" s="186" t="n">
        <x:v>44196</x:v>
      </x:c>
      <x:c r="F61" s="32" t="n">
        <x:f t="shared" si="0"/>
        <x:v>8</x:v>
      </x:c>
      <x:c r="G61" s="32" t="str">
        <x:v>Country</x:v>
      </x:c>
      <x:c r="H61" s="32" t="str">
        <x:v>Nonregional</x:v>
      </x:c>
      <x:c r="I61" s="35" t="str">
        <x:v>Regional</x:v>
      </x:c>
      <x:c r="J61" s="151" t="str">
        <x:v>Institution-specific published voting measure</x:v>
      </x:c>
      <x:c r="K61" s="196"/>
      <x:c r="L61" s="196"/>
    </x:row>
    <x:row r="62">
      <x:c r="A62" s="26" t="str">
        <x:v>Norway</x:v>
      </x:c>
      <x:c r="B62" s="27" t="str">
        <x:v>adb</x:v>
      </x:c>
      <x:c r="C62" s="193" t="n">
        <x:v>0.34</x:v>
      </x:c>
      <x:c r="D62" s="193" t="n">
        <x:v>0.566</x:v>
      </x:c>
      <x:c r="E62" s="185" t="n">
        <x:v>44196</x:v>
      </x:c>
      <x:c r="F62" s="27" t="n">
        <x:f t="shared" si="0"/>
        <x:v>7</x:v>
      </x:c>
      <x:c r="G62" s="27" t="str">
        <x:v>Country</x:v>
      </x:c>
      <x:c r="H62" s="27" t="str">
        <x:v>Nonregional</x:v>
      </x:c>
      <x:c r="I62" s="30" t="str">
        <x:v>Regional</x:v>
      </x:c>
      <x:c r="J62" s="151" t="str">
        <x:v>Institution-specific published voting measure</x:v>
      </x:c>
      <x:c r="K62" s="196"/>
      <x:c r="L62" s="196"/>
    </x:row>
    <x:row r="63">
      <x:c r="A63" s="31" t="str">
        <x:v>Portugal</x:v>
      </x:c>
      <x:c r="B63" s="32" t="str">
        <x:v>adb</x:v>
      </x:c>
      <x:c r="C63" s="194" t="n">
        <x:v>0.34</x:v>
      </x:c>
      <x:c r="D63" s="194" t="n">
        <x:v>0.566</x:v>
      </x:c>
      <x:c r="E63" s="186" t="n">
        <x:v>44196</x:v>
      </x:c>
      <x:c r="F63" s="32" t="n">
        <x:f t="shared" si="0"/>
        <x:v>9</x:v>
      </x:c>
      <x:c r="G63" s="32" t="str">
        <x:v>Country</x:v>
      </x:c>
      <x:c r="H63" s="32" t="str">
        <x:v>Nonregional</x:v>
      </x:c>
      <x:c r="I63" s="35" t="str">
        <x:v>Regional</x:v>
      </x:c>
      <x:c r="J63" s="151" t="str">
        <x:v>Institution-specific published voting measure</x:v>
      </x:c>
      <x:c r="K63" s="196"/>
      <x:c r="L63" s="196"/>
    </x:row>
    <x:row r="64">
      <x:c r="A64" s="26" t="str">
        <x:v>Spain</x:v>
      </x:c>
      <x:c r="B64" s="27" t="str">
        <x:v>adb</x:v>
      </x:c>
      <x:c r="C64" s="193" t="n">
        <x:v>0.34</x:v>
      </x:c>
      <x:c r="D64" s="193" t="n">
        <x:v>0.566</x:v>
      </x:c>
      <x:c r="E64" s="185" t="n">
        <x:v>44196</x:v>
      </x:c>
      <x:c r="F64" s="27" t="n">
        <x:f t="shared" si="0"/>
        <x:v>10</x:v>
      </x:c>
      <x:c r="G64" s="27" t="str">
        <x:v>Country</x:v>
      </x:c>
      <x:c r="H64" s="27" t="str">
        <x:v>Nonregional</x:v>
      </x:c>
      <x:c r="I64" s="30" t="str">
        <x:v>Regional</x:v>
      </x:c>
      <x:c r="J64" s="151" t="str">
        <x:v>Institution-specific published voting measure</x:v>
      </x:c>
      <x:c r="K64" s="196"/>
      <x:c r="L64" s="196"/>
    </x:row>
    <x:row r="65">
      <x:c r="A65" s="31" t="str">
        <x:v>Sweden</x:v>
      </x:c>
      <x:c r="B65" s="32" t="str">
        <x:v>adb</x:v>
      </x:c>
      <x:c r="C65" s="194" t="n">
        <x:v>0.34</x:v>
      </x:c>
      <x:c r="D65" s="194" t="n">
        <x:v>0.566</x:v>
      </x:c>
      <x:c r="E65" s="186" t="n">
        <x:v>44196</x:v>
      </x:c>
      <x:c r="F65" s="32" t="n">
        <x:f t="shared" si="0"/>
        <x:v>8</x:v>
      </x:c>
      <x:c r="G65" s="32" t="str">
        <x:v>Country</x:v>
      </x:c>
      <x:c r="H65" s="32" t="str">
        <x:v>Nonregional</x:v>
      </x:c>
      <x:c r="I65" s="35" t="str">
        <x:v>Regional</x:v>
      </x:c>
      <x:c r="J65" s="151" t="str">
        <x:v>Institution-specific published voting measure</x:v>
      </x:c>
      <x:c r="K65" s="196"/>
      <x:c r="L65" s="196"/>
    </x:row>
    <x:row r="66">
      <x:c r="A66" s="26" t="str">
        <x:v>Switzerland</x:v>
      </x:c>
      <x:c r="B66" s="27" t="str">
        <x:v>adb</x:v>
      </x:c>
      <x:c r="C66" s="193" t="n">
        <x:v>0.582</x:v>
      </x:c>
      <x:c r="D66" s="193" t="n">
        <x:v>0.76</x:v>
      </x:c>
      <x:c r="E66" s="185" t="n">
        <x:v>44196</x:v>
      </x:c>
      <x:c r="F66" s="27" t="n">
        <x:f t="shared" si="0"/>
        <x:v>7</x:v>
      </x:c>
      <x:c r="G66" s="27" t="str">
        <x:v>Country</x:v>
      </x:c>
      <x:c r="H66" s="27" t="str">
        <x:v>Nonregional</x:v>
      </x:c>
      <x:c r="I66" s="30" t="str">
        <x:v>Regional</x:v>
      </x:c>
      <x:c r="J66" s="151" t="str">
        <x:v>Institution-specific published voting measure</x:v>
      </x:c>
      <x:c r="K66" s="196"/>
      <x:c r="L66" s="196"/>
    </x:row>
    <x:row r="67">
      <x:c r="A67" s="31" t="str">
        <x:v>Türkiye</x:v>
      </x:c>
      <x:c r="B67" s="32" t="str">
        <x:v>adb</x:v>
      </x:c>
      <x:c r="C67" s="194" t="n">
        <x:v>0.34</x:v>
      </x:c>
      <x:c r="D67" s="194" t="n">
        <x:v>0.566</x:v>
      </x:c>
      <x:c r="E67" s="186" t="n">
        <x:v>44196</x:v>
      </x:c>
      <x:c r="F67" s="32" t="n">
        <x:f t="shared" ref="F67:F130" si="1">COUNTIF(A67:A1098,A67)</x:f>
        <x:v>6</x:v>
      </x:c>
      <x:c r="G67" s="32" t="str">
        <x:v>Country</x:v>
      </x:c>
      <x:c r="H67" s="32" t="str">
        <x:v>Nonregional</x:v>
      </x:c>
      <x:c r="I67" s="35" t="str">
        <x:v>Regional</x:v>
      </x:c>
      <x:c r="J67" s="151" t="str">
        <x:v>Institution-specific published voting measure</x:v>
      </x:c>
      <x:c r="K67" s="196"/>
      <x:c r="L67" s="196"/>
    </x:row>
    <x:row r="68">
      <x:c r="A68" s="26" t="str">
        <x:v>United Kingdom</x:v>
      </x:c>
      <x:c r="B68" s="27" t="str">
        <x:v>adb</x:v>
      </x:c>
      <x:c r="C68" s="193" t="n">
        <x:v>2.038</x:v>
      </x:c>
      <x:c r="D68" s="193" t="n">
        <x:v>1.924</x:v>
      </x:c>
      <x:c r="E68" s="185" t="n">
        <x:v>44196</x:v>
      </x:c>
      <x:c r="F68" s="27" t="n">
        <x:f t="shared" si="1"/>
        <x:v>8</x:v>
      </x:c>
      <x:c r="G68" s="27" t="str">
        <x:v>Country</x:v>
      </x:c>
      <x:c r="H68" s="27" t="str">
        <x:v>Nonregional</x:v>
      </x:c>
      <x:c r="I68" s="30" t="str">
        <x:v>Regional</x:v>
      </x:c>
      <x:c r="J68" s="151" t="str">
        <x:v>Institution-specific published voting measure</x:v>
      </x:c>
      <x:c r="K68" s="196"/>
      <x:c r="L68" s="196"/>
    </x:row>
    <x:row r="69">
      <x:c r="A69" s="31" t="str">
        <x:v>United States</x:v>
      </x:c>
      <x:c r="B69" s="32" t="str">
        <x:v>adb</x:v>
      </x:c>
      <x:c r="C69" s="194" t="n">
        <x:v>15.570999999999998</x:v>
      </x:c>
      <x:c r="D69" s="194" t="n">
        <x:v>12.750999999999998</x:v>
      </x:c>
      <x:c r="E69" s="186" t="n">
        <x:v>44196</x:v>
      </x:c>
      <x:c r="F69" s="32" t="n">
        <x:f t="shared" si="1"/>
        <x:v>5</x:v>
      </x:c>
      <x:c r="G69" s="32" t="str">
        <x:v>Country</x:v>
      </x:c>
      <x:c r="H69" s="32" t="str">
        <x:v>Nonregional</x:v>
      </x:c>
      <x:c r="I69" s="35" t="str">
        <x:v>Regional</x:v>
      </x:c>
      <x:c r="J69" s="151" t="str">
        <x:v>Institution-specific published voting measure</x:v>
      </x:c>
      <x:c r="K69" s="196"/>
      <x:c r="L69" s="196"/>
    </x:row>
    <x:row r="70">
      <x:c r="A70" s="26" t="str">
        <x:v>Afghanistan</x:v>
      </x:c>
      <x:c r="B70" s="27" t="str">
        <x:v>adb</x:v>
      </x:c>
      <x:c r="C70" s="193" t="n">
        <x:v>0.034</x:v>
      </x:c>
      <x:c r="D70" s="193" t="n">
        <x:v>0.321</x:v>
      </x:c>
      <x:c r="E70" s="185" t="n">
        <x:v>44561</x:v>
      </x:c>
      <x:c r="F70" s="27" t="n">
        <x:f t="shared" si="1"/>
        <x:v>5</x:v>
      </x:c>
      <x:c r="G70" s="27" t="str">
        <x:v>Country</x:v>
      </x:c>
      <x:c r="H70" s="27" t="str">
        <x:v>Regional</x:v>
      </x:c>
      <x:c r="I70" s="30" t="str">
        <x:v>Regional</x:v>
      </x:c>
      <x:c r="J70" s="151" t="str">
        <x:v>Institution-specific published voting measure</x:v>
      </x:c>
      <x:c r="K70" s="196"/>
      <x:c r="L70" s="196"/>
    </x:row>
    <x:row r="71">
      <x:c r="A71" s="31" t="str">
        <x:v>Armenia</x:v>
      </x:c>
      <x:c r="B71" s="32" t="str">
        <x:v>adb</x:v>
      </x:c>
      <x:c r="C71" s="194" t="n">
        <x:v>0.298</x:v>
      </x:c>
      <x:c r="D71" s="194" t="n">
        <x:v>0.532</x:v>
      </x:c>
      <x:c r="E71" s="186" t="n">
        <x:v>44561</x:v>
      </x:c>
      <x:c r="F71" s="32" t="n">
        <x:f t="shared" si="1"/>
        <x:v>4</x:v>
      </x:c>
      <x:c r="G71" s="32" t="str">
        <x:v>Country</x:v>
      </x:c>
      <x:c r="H71" s="32" t="str">
        <x:v>Regional</x:v>
      </x:c>
      <x:c r="I71" s="35" t="str">
        <x:v>Regional</x:v>
      </x:c>
      <x:c r="J71" s="151" t="str">
        <x:v>Institution-specific published voting measure</x:v>
      </x:c>
      <x:c r="K71" s="196"/>
      <x:c r="L71" s="196"/>
    </x:row>
    <x:row r="72">
      <x:c r="A72" s="26" t="str">
        <x:v>Australia</x:v>
      </x:c>
      <x:c r="B72" s="27" t="str">
        <x:v>adb</x:v>
      </x:c>
      <x:c r="C72" s="193" t="n">
        <x:v>5.773</x:v>
      </x:c>
      <x:c r="D72" s="193" t="n">
        <x:v>4.913</x:v>
      </x:c>
      <x:c r="E72" s="185" t="n">
        <x:v>44561</x:v>
      </x:c>
      <x:c r="F72" s="27" t="n">
        <x:f t="shared" si="1"/>
        <x:v>5</x:v>
      </x:c>
      <x:c r="G72" s="27" t="str">
        <x:v>Country</x:v>
      </x:c>
      <x:c r="H72" s="27" t="str">
        <x:v>Regional</x:v>
      </x:c>
      <x:c r="I72" s="30" t="str">
        <x:v>Regional</x:v>
      </x:c>
      <x:c r="J72" s="151" t="str">
        <x:v>Institution-specific published voting measure</x:v>
      </x:c>
      <x:c r="K72" s="196"/>
      <x:c r="L72" s="196"/>
    </x:row>
    <x:row r="73">
      <x:c r="A73" s="31" t="str">
        <x:v>Azerbaijan</x:v>
      </x:c>
      <x:c r="B73" s="32" t="str">
        <x:v>adb</x:v>
      </x:c>
      <x:c r="C73" s="194" t="n">
        <x:v>0.44400000000000006</x:v>
      </x:c>
      <x:c r="D73" s="194" t="n">
        <x:v>0.649</x:v>
      </x:c>
      <x:c r="E73" s="186" t="n">
        <x:v>44561</x:v>
      </x:c>
      <x:c r="F73" s="32" t="n">
        <x:f t="shared" si="1"/>
        <x:v>6</x:v>
      </x:c>
      <x:c r="G73" s="32" t="str">
        <x:v>Country</x:v>
      </x:c>
      <x:c r="H73" s="32" t="str">
        <x:v>Regional</x:v>
      </x:c>
      <x:c r="I73" s="35" t="str">
        <x:v>Regional</x:v>
      </x:c>
      <x:c r="J73" s="151" t="str">
        <x:v>Institution-specific published voting measure</x:v>
      </x:c>
      <x:c r="K73" s="196"/>
      <x:c r="L73" s="196"/>
    </x:row>
    <x:row r="74">
      <x:c r="A74" s="26" t="str">
        <x:v>Bangladesh</x:v>
      </x:c>
      <x:c r="B74" s="27" t="str">
        <x:v>adb</x:v>
      </x:c>
      <x:c r="C74" s="193" t="n">
        <x:v>1.019</x:v>
      </x:c>
      <x:c r="D74" s="193" t="n">
        <x:v>1.109</x:v>
      </x:c>
      <x:c r="E74" s="185" t="n">
        <x:v>44561</x:v>
      </x:c>
      <x:c r="F74" s="27" t="n">
        <x:f t="shared" si="1"/>
        <x:v>6</x:v>
      </x:c>
      <x:c r="G74" s="27" t="str">
        <x:v>Country</x:v>
      </x:c>
      <x:c r="H74" s="27" t="str">
        <x:v>Regional</x:v>
      </x:c>
      <x:c r="I74" s="30" t="str">
        <x:v>Regional</x:v>
      </x:c>
      <x:c r="J74" s="151" t="str">
        <x:v>Institution-specific published voting measure</x:v>
      </x:c>
      <x:c r="K74" s="196"/>
      <x:c r="L74" s="196"/>
    </x:row>
    <x:row r="75">
      <x:c r="A75" s="31" t="str">
        <x:v>Bhutan</x:v>
      </x:c>
      <x:c r="B75" s="32" t="str">
        <x:v>adb</x:v>
      </x:c>
      <x:c r="C75" s="194" t="n">
        <x:v>0.006</x:v>
      </x:c>
      <x:c r="D75" s="194" t="n">
        <x:v>0.299</x:v>
      </x:c>
      <x:c r="E75" s="186" t="n">
        <x:v>44561</x:v>
      </x:c>
      <x:c r="F75" s="32" t="n">
        <x:f t="shared" si="1"/>
        <x:v>3</x:v>
      </x:c>
      <x:c r="G75" s="32" t="str">
        <x:v>Country</x:v>
      </x:c>
      <x:c r="H75" s="32" t="str">
        <x:v>Regional</x:v>
      </x:c>
      <x:c r="I75" s="35" t="str">
        <x:v>Regional</x:v>
      </x:c>
      <x:c r="J75" s="151" t="str">
        <x:v>Institution-specific published voting measure</x:v>
      </x:c>
      <x:c r="K75" s="196"/>
      <x:c r="L75" s="196"/>
    </x:row>
    <x:row r="76">
      <x:c r="A76" s="26" t="str">
        <x:v>Brunei Darussalam</x:v>
      </x:c>
      <x:c r="B76" s="27" t="str">
        <x:v>adb</x:v>
      </x:c>
      <x:c r="C76" s="193" t="n">
        <x:v>0.351</x:v>
      </x:c>
      <x:c r="D76" s="193" t="n">
        <x:v>0.575</x:v>
      </x:c>
      <x:c r="E76" s="185" t="n">
        <x:v>44561</x:v>
      </x:c>
      <x:c r="F76" s="27" t="n">
        <x:f t="shared" si="1"/>
        <x:v>5</x:v>
      </x:c>
      <x:c r="G76" s="27" t="str">
        <x:v>Country</x:v>
      </x:c>
      <x:c r="H76" s="27" t="str">
        <x:v>Regional</x:v>
      </x:c>
      <x:c r="I76" s="30" t="str">
        <x:v>Regional</x:v>
      </x:c>
      <x:c r="J76" s="151" t="str">
        <x:v>Institution-specific published voting measure</x:v>
      </x:c>
      <x:c r="K76" s="196"/>
      <x:c r="L76" s="196"/>
    </x:row>
    <x:row r="77">
      <x:c r="A77" s="31" t="str">
        <x:v>Cambodia</x:v>
      </x:c>
      <x:c r="B77" s="32" t="str">
        <x:v>adb</x:v>
      </x:c>
      <x:c r="C77" s="194" t="n">
        <x:v>0.049</x:v>
      </x:c>
      <x:c r="D77" s="194" t="n">
        <x:v>0.334</x:v>
      </x:c>
      <x:c r="E77" s="186" t="n">
        <x:v>44561</x:v>
      </x:c>
      <x:c r="F77" s="32" t="n">
        <x:f t="shared" si="1"/>
        <x:v>4</x:v>
      </x:c>
      <x:c r="G77" s="32" t="str">
        <x:v>Country</x:v>
      </x:c>
      <x:c r="H77" s="32" t="str">
        <x:v>Regional</x:v>
      </x:c>
      <x:c r="I77" s="35" t="str">
        <x:v>Regional</x:v>
      </x:c>
      <x:c r="J77" s="151" t="str">
        <x:v>Institution-specific published voting measure</x:v>
      </x:c>
      <x:c r="K77" s="196"/>
      <x:c r="L77" s="196"/>
    </x:row>
    <x:row r="78">
      <x:c r="A78" s="26" t="str">
        <x:v>China, People's Republic of</x:v>
      </x:c>
      <x:c r="B78" s="27" t="str">
        <x:v>adb</x:v>
      </x:c>
      <x:c r="C78" s="193" t="n">
        <x:v>6.429</x:v>
      </x:c>
      <x:c r="D78" s="193" t="n">
        <x:v>5.437</x:v>
      </x:c>
      <x:c r="E78" s="185" t="n">
        <x:v>44561</x:v>
      </x:c>
      <x:c r="F78" s="27" t="n">
        <x:f t="shared" si="1"/>
        <x:v>1</x:v>
      </x:c>
      <x:c r="G78" s="27" t="str">
        <x:v>Country</x:v>
      </x:c>
      <x:c r="H78" s="27" t="str">
        <x:v>Regional</x:v>
      </x:c>
      <x:c r="I78" s="30" t="str">
        <x:v>Regional</x:v>
      </x:c>
      <x:c r="J78" s="151" t="str">
        <x:v>Institution-specific published voting measure</x:v>
      </x:c>
      <x:c r="K78" s="196"/>
      <x:c r="L78" s="196"/>
    </x:row>
    <x:row r="79">
      <x:c r="A79" s="31" t="str">
        <x:v>Cook Islands</x:v>
      </x:c>
      <x:c r="B79" s="32" t="str">
        <x:v>adb</x:v>
      </x:c>
      <x:c r="C79" s="194" t="n">
        <x:v>0.003</x:v>
      </x:c>
      <x:c r="D79" s="194" t="n">
        <x:v>0.296</x:v>
      </x:c>
      <x:c r="E79" s="186" t="n">
        <x:v>44561</x:v>
      </x:c>
      <x:c r="F79" s="32" t="n">
        <x:f t="shared" si="1"/>
        <x:v>2</x:v>
      </x:c>
      <x:c r="G79" s="32" t="str">
        <x:v>Country</x:v>
      </x:c>
      <x:c r="H79" s="32" t="str">
        <x:v>Regional</x:v>
      </x:c>
      <x:c r="I79" s="35" t="str">
        <x:v>Regional</x:v>
      </x:c>
      <x:c r="J79" s="151" t="str">
        <x:v>Institution-specific published voting measure</x:v>
      </x:c>
      <x:c r="K79" s="196"/>
      <x:c r="L79" s="196"/>
    </x:row>
    <x:row r="80">
      <x:c r="A80" s="26" t="str">
        <x:v>Fiji</x:v>
      </x:c>
      <x:c r="B80" s="27" t="str">
        <x:v>adb</x:v>
      </x:c>
      <x:c r="C80" s="193" t="n">
        <x:v>0.068</x:v>
      </x:c>
      <x:c r="D80" s="193" t="n">
        <x:v>0.348</x:v>
      </x:c>
      <x:c r="E80" s="185" t="n">
        <x:v>44561</x:v>
      </x:c>
      <x:c r="F80" s="27" t="n">
        <x:f t="shared" si="1"/>
        <x:v>4</x:v>
      </x:c>
      <x:c r="G80" s="27" t="str">
        <x:v>Country</x:v>
      </x:c>
      <x:c r="H80" s="27" t="str">
        <x:v>Regional</x:v>
      </x:c>
      <x:c r="I80" s="30" t="str">
        <x:v>Regional</x:v>
      </x:c>
      <x:c r="J80" s="151" t="str">
        <x:v>Institution-specific published voting measure</x:v>
      </x:c>
      <x:c r="K80" s="196"/>
      <x:c r="L80" s="196"/>
    </x:row>
    <x:row r="81">
      <x:c r="A81" s="31" t="str">
        <x:v>Georgia</x:v>
      </x:c>
      <x:c r="B81" s="32" t="str">
        <x:v>adb</x:v>
      </x:c>
      <x:c r="C81" s="194" t="n">
        <x:v>0.341</x:v>
      </x:c>
      <x:c r="D81" s="194" t="n">
        <x:v>0.567</x:v>
      </x:c>
      <x:c r="E81" s="186" t="n">
        <x:v>44561</x:v>
      </x:c>
      <x:c r="F81" s="32" t="n">
        <x:f t="shared" si="1"/>
        <x:v>5</x:v>
      </x:c>
      <x:c r="G81" s="32" t="str">
        <x:v>Country</x:v>
      </x:c>
      <x:c r="H81" s="32" t="str">
        <x:v>Regional</x:v>
      </x:c>
      <x:c r="I81" s="35" t="str">
        <x:v>Regional</x:v>
      </x:c>
      <x:c r="J81" s="151" t="str">
        <x:v>Institution-specific published voting measure</x:v>
      </x:c>
      <x:c r="K81" s="196"/>
      <x:c r="L81" s="196"/>
    </x:row>
    <x:row r="82">
      <x:c r="A82" s="26" t="str">
        <x:v>Hong Kong, China</x:v>
      </x:c>
      <x:c r="B82" s="27" t="str">
        <x:v>adb</x:v>
      </x:c>
      <x:c r="C82" s="193" t="n">
        <x:v>0.543</x:v>
      </x:c>
      <x:c r="D82" s="193" t="n">
        <x:v>0.729</x:v>
      </x:c>
      <x:c r="E82" s="185" t="n">
        <x:v>44561</x:v>
      </x:c>
      <x:c r="F82" s="27" t="n">
        <x:f t="shared" si="1"/>
        <x:v>2</x:v>
      </x:c>
      <x:c r="G82" s="27" t="str">
        <x:v>Country</x:v>
      </x:c>
      <x:c r="H82" s="27" t="str">
        <x:v>Regional</x:v>
      </x:c>
      <x:c r="I82" s="30" t="str">
        <x:v>Regional</x:v>
      </x:c>
      <x:c r="J82" s="151" t="str">
        <x:v>Institution-specific published voting measure</x:v>
      </x:c>
      <x:c r="K82" s="196"/>
      <x:c r="L82" s="196"/>
    </x:row>
    <x:row r="83">
      <x:c r="A83" s="31" t="str">
        <x:v>India</x:v>
      </x:c>
      <x:c r="B83" s="32" t="str">
        <x:v>adb</x:v>
      </x:c>
      <x:c r="C83" s="194" t="n">
        <x:v>6.317</x:v>
      </x:c>
      <x:c r="D83" s="194" t="n">
        <x:v>5.347</x:v>
      </x:c>
      <x:c r="E83" s="186" t="n">
        <x:v>44561</x:v>
      </x:c>
      <x:c r="F83" s="32" t="n">
        <x:f t="shared" si="1"/>
        <x:v>7</x:v>
      </x:c>
      <x:c r="G83" s="32" t="str">
        <x:v>Country</x:v>
      </x:c>
      <x:c r="H83" s="32" t="str">
        <x:v>Regional</x:v>
      </x:c>
      <x:c r="I83" s="35" t="str">
        <x:v>Regional</x:v>
      </x:c>
      <x:c r="J83" s="151" t="str">
        <x:v>Institution-specific published voting measure</x:v>
      </x:c>
      <x:c r="K83" s="196"/>
      <x:c r="L83" s="196"/>
    </x:row>
    <x:row r="84">
      <x:c r="A84" s="26" t="str">
        <x:v>Indonesia</x:v>
      </x:c>
      <x:c r="B84" s="27" t="str">
        <x:v>adb</x:v>
      </x:c>
      <x:c r="C84" s="193" t="n">
        <x:v>5.434</x:v>
      </x:c>
      <x:c r="D84" s="193" t="n">
        <x:v>4.641</x:v>
      </x:c>
      <x:c r="E84" s="185" t="n">
        <x:v>44561</x:v>
      </x:c>
      <x:c r="F84" s="27" t="n">
        <x:f t="shared" si="1"/>
        <x:v>5</x:v>
      </x:c>
      <x:c r="G84" s="27" t="str">
        <x:v>Country</x:v>
      </x:c>
      <x:c r="H84" s="27" t="str">
        <x:v>Regional</x:v>
      </x:c>
      <x:c r="I84" s="30" t="str">
        <x:v>Regional</x:v>
      </x:c>
      <x:c r="J84" s="151" t="str">
        <x:v>Institution-specific published voting measure</x:v>
      </x:c>
      <x:c r="K84" s="196"/>
      <x:c r="L84" s="196"/>
    </x:row>
    <x:row r="85">
      <x:c r="A85" s="31" t="str">
        <x:v>Japan</x:v>
      </x:c>
      <x:c r="B85" s="32" t="str">
        <x:v>adb</x:v>
      </x:c>
      <x:c r="C85" s="194" t="n">
        <x:v>15.570999999999998</x:v>
      </x:c>
      <x:c r="D85" s="194" t="n">
        <x:v>12.750999999999998</x:v>
      </x:c>
      <x:c r="E85" s="186" t="n">
        <x:v>44561</x:v>
      </x:c>
      <x:c r="F85" s="32" t="n">
        <x:f t="shared" si="1"/>
        <x:v>6</x:v>
      </x:c>
      <x:c r="G85" s="32" t="str">
        <x:v>Country</x:v>
      </x:c>
      <x:c r="H85" s="32" t="str">
        <x:v>Regional</x:v>
      </x:c>
      <x:c r="I85" s="35" t="str">
        <x:v>Regional</x:v>
      </x:c>
      <x:c r="J85" s="151" t="str">
        <x:v>Institution-specific published voting measure</x:v>
      </x:c>
      <x:c r="K85" s="196"/>
      <x:c r="L85" s="196"/>
    </x:row>
    <x:row r="86">
      <x:c r="A86" s="26" t="str">
        <x:v>Kazakhstan</x:v>
      </x:c>
      <x:c r="B86" s="27" t="str">
        <x:v>adb</x:v>
      </x:c>
      <x:c r="C86" s="193" t="n">
        <x:v>0.8049999999999999</x:v>
      </x:c>
      <x:c r="D86" s="193" t="n">
        <x:v>0.938</x:v>
      </x:c>
      <x:c r="E86" s="185" t="n">
        <x:v>44561</x:v>
      </x:c>
      <x:c r="F86" s="27" t="n">
        <x:f t="shared" si="1"/>
        <x:v>6</x:v>
      </x:c>
      <x:c r="G86" s="27" t="str">
        <x:v>Country</x:v>
      </x:c>
      <x:c r="H86" s="27" t="str">
        <x:v>Regional</x:v>
      </x:c>
      <x:c r="I86" s="30" t="str">
        <x:v>Regional</x:v>
      </x:c>
      <x:c r="J86" s="151" t="str">
        <x:v>Institution-specific published voting measure</x:v>
      </x:c>
      <x:c r="K86" s="196"/>
      <x:c r="L86" s="196"/>
    </x:row>
    <x:row r="87">
      <x:c r="A87" s="31" t="str">
        <x:v>Kiribati</x:v>
      </x:c>
      <x:c r="B87" s="32" t="str">
        <x:v>adb</x:v>
      </x:c>
      <x:c r="C87" s="194" t="n">
        <x:v>0.004</x:v>
      </x:c>
      <x:c r="D87" s="194" t="n">
        <x:v>0.297</x:v>
      </x:c>
      <x:c r="E87" s="186" t="n">
        <x:v>44561</x:v>
      </x:c>
      <x:c r="F87" s="32" t="n">
        <x:f t="shared" si="1"/>
        <x:v>3</x:v>
      </x:c>
      <x:c r="G87" s="32" t="str">
        <x:v>Country</x:v>
      </x:c>
      <x:c r="H87" s="32" t="str">
        <x:v>Regional</x:v>
      </x:c>
      <x:c r="I87" s="35" t="str">
        <x:v>Regional</x:v>
      </x:c>
      <x:c r="J87" s="151" t="str">
        <x:v>Institution-specific published voting measure</x:v>
      </x:c>
      <x:c r="K87" s="196"/>
      <x:c r="L87" s="196"/>
    </x:row>
    <x:row r="88">
      <x:c r="A88" s="26" t="str">
        <x:v>Korea, Republic of</x:v>
      </x:c>
      <x:c r="B88" s="27" t="str">
        <x:v>adb</x:v>
      </x:c>
      <x:c r="C88" s="193" t="n">
        <x:v>5.026</x:v>
      </x:c>
      <x:c r="D88" s="193" t="n">
        <x:v>4.315</x:v>
      </x:c>
      <x:c r="E88" s="185" t="n">
        <x:v>44561</x:v>
      </x:c>
      <x:c r="F88" s="27" t="n">
        <x:f t="shared" si="1"/>
        <x:v>8</x:v>
      </x:c>
      <x:c r="G88" s="27" t="str">
        <x:v>Country</x:v>
      </x:c>
      <x:c r="H88" s="27" t="str">
        <x:v>Regional</x:v>
      </x:c>
      <x:c r="I88" s="30" t="str">
        <x:v>Regional</x:v>
      </x:c>
      <x:c r="J88" s="151" t="str">
        <x:v>Institution-specific published voting measure</x:v>
      </x:c>
      <x:c r="K88" s="196"/>
      <x:c r="L88" s="196"/>
    </x:row>
    <x:row r="89">
      <x:c r="A89" s="31" t="str">
        <x:v>Kyrgyz Republic</x:v>
      </x:c>
      <x:c r="B89" s="32" t="str">
        <x:v>adb</x:v>
      </x:c>
      <x:c r="C89" s="194" t="n">
        <x:v>0.298</x:v>
      </x:c>
      <x:c r="D89" s="194" t="n">
        <x:v>0.533</x:v>
      </x:c>
      <x:c r="E89" s="186" t="n">
        <x:v>44561</x:v>
      </x:c>
      <x:c r="F89" s="32" t="n">
        <x:f t="shared" si="1"/>
        <x:v>6</x:v>
      </x:c>
      <x:c r="G89" s="32" t="str">
        <x:v>Country</x:v>
      </x:c>
      <x:c r="H89" s="32" t="str">
        <x:v>Regional</x:v>
      </x:c>
      <x:c r="I89" s="35" t="str">
        <x:v>Regional</x:v>
      </x:c>
      <x:c r="J89" s="151" t="str">
        <x:v>Institution-specific published voting measure</x:v>
      </x:c>
      <x:c r="K89" s="196"/>
      <x:c r="L89" s="196"/>
    </x:row>
    <x:row r="90">
      <x:c r="A90" s="26" t="str">
        <x:v>Lao People's Democratic Republic</x:v>
      </x:c>
      <x:c r="B90" s="27" t="str">
        <x:v>adb</x:v>
      </x:c>
      <x:c r="C90" s="193" t="n">
        <x:v>0.014000000000000002</x:v>
      </x:c>
      <x:c r="D90" s="193" t="n">
        <x:v>0.305</x:v>
      </x:c>
      <x:c r="E90" s="185" t="n">
        <x:v>44561</x:v>
      </x:c>
      <x:c r="F90" s="27" t="n">
        <x:f t="shared" si="1"/>
        <x:v>3</x:v>
      </x:c>
      <x:c r="G90" s="27" t="str">
        <x:v>Country</x:v>
      </x:c>
      <x:c r="H90" s="27" t="str">
        <x:v>Regional</x:v>
      </x:c>
      <x:c r="I90" s="30" t="str">
        <x:v>Regional</x:v>
      </x:c>
      <x:c r="J90" s="151" t="str">
        <x:v>Institution-specific published voting measure</x:v>
      </x:c>
      <x:c r="K90" s="196"/>
      <x:c r="L90" s="196"/>
    </x:row>
    <x:row r="91">
      <x:c r="A91" s="31" t="str">
        <x:v>Malaysia</x:v>
      </x:c>
      <x:c r="B91" s="32" t="str">
        <x:v>adb</x:v>
      </x:c>
      <x:c r="C91" s="194" t="n">
        <x:v>2.717</x:v>
      </x:c>
      <x:c r="D91" s="194" t="n">
        <x:v>2.468</x:v>
      </x:c>
      <x:c r="E91" s="186" t="n">
        <x:v>44561</x:v>
      </x:c>
      <x:c r="F91" s="32" t="n">
        <x:f t="shared" si="1"/>
        <x:v>5</x:v>
      </x:c>
      <x:c r="G91" s="32" t="str">
        <x:v>Country</x:v>
      </x:c>
      <x:c r="H91" s="32" t="str">
        <x:v>Regional</x:v>
      </x:c>
      <x:c r="I91" s="35" t="str">
        <x:v>Regional</x:v>
      </x:c>
      <x:c r="J91" s="151" t="str">
        <x:v>Institution-specific published voting measure</x:v>
      </x:c>
      <x:c r="K91" s="196"/>
      <x:c r="L91" s="196"/>
    </x:row>
    <x:row r="92">
      <x:c r="A92" s="26" t="str">
        <x:v>Maldives</x:v>
      </x:c>
      <x:c r="B92" s="27" t="str">
        <x:v>adb</x:v>
      </x:c>
      <x:c r="C92" s="193" t="n">
        <x:v>0.004</x:v>
      </x:c>
      <x:c r="D92" s="193" t="n">
        <x:v>0.297</x:v>
      </x:c>
      <x:c r="E92" s="185" t="n">
        <x:v>44561</x:v>
      </x:c>
      <x:c r="F92" s="27" t="n">
        <x:f t="shared" si="1"/>
        <x:v>5</x:v>
      </x:c>
      <x:c r="G92" s="27" t="str">
        <x:v>Country</x:v>
      </x:c>
      <x:c r="H92" s="27" t="str">
        <x:v>Regional</x:v>
      </x:c>
      <x:c r="I92" s="30" t="str">
        <x:v>Regional</x:v>
      </x:c>
      <x:c r="J92" s="151" t="str">
        <x:v>Institution-specific published voting measure</x:v>
      </x:c>
      <x:c r="K92" s="196"/>
      <x:c r="L92" s="196"/>
    </x:row>
    <x:row r="93">
      <x:c r="A93" s="31" t="str">
        <x:v>Marshall Islands</x:v>
      </x:c>
      <x:c r="B93" s="32" t="str">
        <x:v>adb</x:v>
      </x:c>
      <x:c r="C93" s="194" t="n">
        <x:v>0.003</x:v>
      </x:c>
      <x:c r="D93" s="194" t="n">
        <x:v>0.296</x:v>
      </x:c>
      <x:c r="E93" s="186" t="n">
        <x:v>44561</x:v>
      </x:c>
      <x:c r="F93" s="32" t="n">
        <x:f t="shared" si="1"/>
        <x:v>3</x:v>
      </x:c>
      <x:c r="G93" s="32" t="str">
        <x:v>Country</x:v>
      </x:c>
      <x:c r="H93" s="32" t="str">
        <x:v>Regional</x:v>
      </x:c>
      <x:c r="I93" s="35" t="str">
        <x:v>Regional</x:v>
      </x:c>
      <x:c r="J93" s="151" t="str">
        <x:v>Institution-specific published voting measure</x:v>
      </x:c>
      <x:c r="K93" s="196"/>
      <x:c r="L93" s="196"/>
    </x:row>
    <x:row r="94">
      <x:c r="A94" s="26" t="str">
        <x:v>Micronesia, Federated States of</x:v>
      </x:c>
      <x:c r="B94" s="27" t="str">
        <x:v>adb</x:v>
      </x:c>
      <x:c r="C94" s="193" t="n">
        <x:v>0.004</x:v>
      </x:c>
      <x:c r="D94" s="193" t="n">
        <x:v>0.297</x:v>
      </x:c>
      <x:c r="E94" s="185" t="n">
        <x:v>44561</x:v>
      </x:c>
      <x:c r="F94" s="27" t="n">
        <x:f t="shared" si="1"/>
        <x:v>3</x:v>
      </x:c>
      <x:c r="G94" s="27" t="str">
        <x:v>Country</x:v>
      </x:c>
      <x:c r="H94" s="27" t="str">
        <x:v>Regional</x:v>
      </x:c>
      <x:c r="I94" s="30" t="str">
        <x:v>Regional</x:v>
      </x:c>
      <x:c r="J94" s="151" t="str">
        <x:v>Institution-specific published voting measure</x:v>
      </x:c>
      <x:c r="K94" s="196"/>
      <x:c r="L94" s="196"/>
    </x:row>
    <x:row r="95">
      <x:c r="A95" s="31" t="str">
        <x:v>Mongolia</x:v>
      </x:c>
      <x:c r="B95" s="32" t="str">
        <x:v>adb</x:v>
      </x:c>
      <x:c r="C95" s="194" t="n">
        <x:v>0.015</x:v>
      </x:c>
      <x:c r="D95" s="194" t="n">
        <x:v>0.306</x:v>
      </x:c>
      <x:c r="E95" s="186" t="n">
        <x:v>44561</x:v>
      </x:c>
      <x:c r="F95" s="32" t="n">
        <x:f t="shared" si="1"/>
        <x:v>5</x:v>
      </x:c>
      <x:c r="G95" s="32" t="str">
        <x:v>Country</x:v>
      </x:c>
      <x:c r="H95" s="32" t="str">
        <x:v>Regional</x:v>
      </x:c>
      <x:c r="I95" s="35" t="str">
        <x:v>Regional</x:v>
      </x:c>
      <x:c r="J95" s="151" t="str">
        <x:v>Institution-specific published voting measure</x:v>
      </x:c>
      <x:c r="K95" s="196"/>
      <x:c r="L95" s="196"/>
    </x:row>
    <x:row r="96">
      <x:c r="A96" s="26" t="str">
        <x:v>Myanmar</x:v>
      </x:c>
      <x:c r="B96" s="27" t="str">
        <x:v>adb</x:v>
      </x:c>
      <x:c r="C96" s="193" t="n">
        <x:v>0.543</x:v>
      </x:c>
      <x:c r="D96" s="193" t="n">
        <x:v>0.729</x:v>
      </x:c>
      <x:c r="E96" s="185" t="n">
        <x:v>44561</x:v>
      </x:c>
      <x:c r="F96" s="27" t="n">
        <x:f t="shared" si="1"/>
        <x:v>4</x:v>
      </x:c>
      <x:c r="G96" s="27" t="str">
        <x:v>Country</x:v>
      </x:c>
      <x:c r="H96" s="27" t="str">
        <x:v>Regional</x:v>
      </x:c>
      <x:c r="I96" s="30" t="str">
        <x:v>Regional</x:v>
      </x:c>
      <x:c r="J96" s="151" t="str">
        <x:v>Institution-specific published voting measure</x:v>
      </x:c>
      <x:c r="K96" s="196"/>
      <x:c r="L96" s="196"/>
    </x:row>
    <x:row r="97">
      <x:c r="A97" s="31" t="str">
        <x:v>Nauru</x:v>
      </x:c>
      <x:c r="B97" s="32" t="str">
        <x:v>adb</x:v>
      </x:c>
      <x:c r="C97" s="194" t="n">
        <x:v>0.004</x:v>
      </x:c>
      <x:c r="D97" s="194" t="n">
        <x:v>0.297</x:v>
      </x:c>
      <x:c r="E97" s="186" t="n">
        <x:v>44561</x:v>
      </x:c>
      <x:c r="F97" s="32" t="n">
        <x:f t="shared" si="1"/>
        <x:v>3</x:v>
      </x:c>
      <x:c r="G97" s="32" t="str">
        <x:v>Country</x:v>
      </x:c>
      <x:c r="H97" s="32" t="str">
        <x:v>Regional</x:v>
      </x:c>
      <x:c r="I97" s="35" t="str">
        <x:v>Regional</x:v>
      </x:c>
      <x:c r="J97" s="151" t="str">
        <x:v>Institution-specific published voting measure</x:v>
      </x:c>
      <x:c r="K97" s="196"/>
      <x:c r="L97" s="196"/>
    </x:row>
    <x:row r="98">
      <x:c r="A98" s="26" t="str">
        <x:v>Nepal</x:v>
      </x:c>
      <x:c r="B98" s="27" t="str">
        <x:v>adb</x:v>
      </x:c>
      <x:c r="C98" s="193" t="n">
        <x:v>0.147</x:v>
      </x:c>
      <x:c r="D98" s="193" t="n">
        <x:v>0.411</x:v>
      </x:c>
      <x:c r="E98" s="185" t="n">
        <x:v>44561</x:v>
      </x:c>
      <x:c r="F98" s="27" t="n">
        <x:f t="shared" si="1"/>
        <x:v>4</x:v>
      </x:c>
      <x:c r="G98" s="27" t="str">
        <x:v>Country</x:v>
      </x:c>
      <x:c r="H98" s="27" t="str">
        <x:v>Regional</x:v>
      </x:c>
      <x:c r="I98" s="30" t="str">
        <x:v>Regional</x:v>
      </x:c>
      <x:c r="J98" s="151" t="str">
        <x:v>Institution-specific published voting measure</x:v>
      </x:c>
      <x:c r="K98" s="196"/>
      <x:c r="L98" s="196"/>
    </x:row>
    <x:row r="99">
      <x:c r="A99" s="31" t="str">
        <x:v>New Zealand</x:v>
      </x:c>
      <x:c r="B99" s="32" t="str">
        <x:v>adb</x:v>
      </x:c>
      <x:c r="C99" s="194" t="n">
        <x:v>1.532</x:v>
      </x:c>
      <x:c r="D99" s="194" t="n">
        <x:v>1.52</x:v>
      </x:c>
      <x:c r="E99" s="186" t="n">
        <x:v>44561</x:v>
      </x:c>
      <x:c r="F99" s="32" t="n">
        <x:f t="shared" si="1"/>
        <x:v>5</x:v>
      </x:c>
      <x:c r="G99" s="32" t="str">
        <x:v>Country</x:v>
      </x:c>
      <x:c r="H99" s="32" t="str">
        <x:v>Regional</x:v>
      </x:c>
      <x:c r="I99" s="35" t="str">
        <x:v>Regional</x:v>
      </x:c>
      <x:c r="J99" s="151" t="str">
        <x:v>Institution-specific published voting measure</x:v>
      </x:c>
      <x:c r="K99" s="196"/>
      <x:c r="L99" s="196"/>
    </x:row>
    <x:row r="100">
      <x:c r="A100" s="26" t="str">
        <x:v>Niue</x:v>
      </x:c>
      <x:c r="B100" s="27" t="str">
        <x:v>adb</x:v>
      </x:c>
      <x:c r="C100" s="193" t="n">
        <x:v>0.001</x:v>
      </x:c>
      <x:c r="D100" s="193" t="n">
        <x:v>0.295</x:v>
      </x:c>
      <x:c r="E100" s="185" t="n">
        <x:v>44561</x:v>
      </x:c>
      <x:c r="F100" s="27" t="n">
        <x:f t="shared" si="1"/>
        <x:v>1</x:v>
      </x:c>
      <x:c r="G100" s="27" t="str">
        <x:v>Country</x:v>
      </x:c>
      <x:c r="H100" s="27" t="str">
        <x:v>Regional</x:v>
      </x:c>
      <x:c r="I100" s="30" t="str">
        <x:v>Regional</x:v>
      </x:c>
      <x:c r="J100" s="151" t="str">
        <x:v>Institution-specific published voting measure</x:v>
      </x:c>
      <x:c r="K100" s="196"/>
      <x:c r="L100" s="196"/>
    </x:row>
    <x:row r="101">
      <x:c r="A101" s="31" t="str">
        <x:v>Pakistan</x:v>
      </x:c>
      <x:c r="B101" s="32" t="str">
        <x:v>adb</x:v>
      </x:c>
      <x:c r="C101" s="194" t="n">
        <x:v>2.174</x:v>
      </x:c>
      <x:c r="D101" s="194" t="n">
        <x:v>2.033</x:v>
      </x:c>
      <x:c r="E101" s="186" t="n">
        <x:v>44561</x:v>
      </x:c>
      <x:c r="F101" s="32" t="n">
        <x:f t="shared" si="1"/>
        <x:v>5</x:v>
      </x:c>
      <x:c r="G101" s="32" t="str">
        <x:v>Country</x:v>
      </x:c>
      <x:c r="H101" s="32" t="str">
        <x:v>Regional</x:v>
      </x:c>
      <x:c r="I101" s="35" t="str">
        <x:v>Regional</x:v>
      </x:c>
      <x:c r="J101" s="151" t="str">
        <x:v>Institution-specific published voting measure</x:v>
      </x:c>
      <x:c r="K101" s="196"/>
      <x:c r="L101" s="196"/>
    </x:row>
    <x:row r="102">
      <x:c r="A102" s="26" t="str">
        <x:v>Palau</x:v>
      </x:c>
      <x:c r="B102" s="27" t="str">
        <x:v>adb</x:v>
      </x:c>
      <x:c r="C102" s="193" t="n">
        <x:v>0.003</x:v>
      </x:c>
      <x:c r="D102" s="193" t="n">
        <x:v>0.297</x:v>
      </x:c>
      <x:c r="E102" s="185" t="n">
        <x:v>44561</x:v>
      </x:c>
      <x:c r="F102" s="27" t="n">
        <x:f t="shared" si="1"/>
        <x:v>3</x:v>
      </x:c>
      <x:c r="G102" s="27" t="str">
        <x:v>Country</x:v>
      </x:c>
      <x:c r="H102" s="27" t="str">
        <x:v>Regional</x:v>
      </x:c>
      <x:c r="I102" s="30" t="str">
        <x:v>Regional</x:v>
      </x:c>
      <x:c r="J102" s="151" t="str">
        <x:v>Institution-specific published voting measure</x:v>
      </x:c>
      <x:c r="K102" s="196"/>
      <x:c r="L102" s="196"/>
    </x:row>
    <x:row r="103">
      <x:c r="A103" s="31" t="str">
        <x:v>Papua New Guinea</x:v>
      </x:c>
      <x:c r="B103" s="32" t="str">
        <x:v>adb</x:v>
      </x:c>
      <x:c r="C103" s="194" t="n">
        <x:v>0.094</x:v>
      </x:c>
      <x:c r="D103" s="194" t="n">
        <x:v>0.369</x:v>
      </x:c>
      <x:c r="E103" s="186" t="n">
        <x:v>44561</x:v>
      </x:c>
      <x:c r="F103" s="32" t="n">
        <x:f t="shared" si="1"/>
        <x:v>4</x:v>
      </x:c>
      <x:c r="G103" s="32" t="str">
        <x:v>Country</x:v>
      </x:c>
      <x:c r="H103" s="32" t="str">
        <x:v>Regional</x:v>
      </x:c>
      <x:c r="I103" s="35" t="str">
        <x:v>Regional</x:v>
      </x:c>
      <x:c r="J103" s="151" t="str">
        <x:v>Institution-specific published voting measure</x:v>
      </x:c>
      <x:c r="K103" s="196"/>
      <x:c r="L103" s="196"/>
    </x:row>
    <x:row r="104">
      <x:c r="A104" s="26" t="str">
        <x:v>Philippines</x:v>
      </x:c>
      <x:c r="B104" s="27" t="str">
        <x:v>adb</x:v>
      </x:c>
      <x:c r="C104" s="193" t="n">
        <x:v>2.377</x:v>
      </x:c>
      <x:c r="D104" s="193" t="n">
        <x:v>2.196</x:v>
      </x:c>
      <x:c r="E104" s="185" t="n">
        <x:v>44561</x:v>
      </x:c>
      <x:c r="F104" s="27" t="n">
        <x:f t="shared" si="1"/>
        <x:v>4</x:v>
      </x:c>
      <x:c r="G104" s="27" t="str">
        <x:v>Country</x:v>
      </x:c>
      <x:c r="H104" s="27" t="str">
        <x:v>Regional</x:v>
      </x:c>
      <x:c r="I104" s="30" t="str">
        <x:v>Regional</x:v>
      </x:c>
      <x:c r="J104" s="151" t="str">
        <x:v>Institution-specific published voting measure</x:v>
      </x:c>
      <x:c r="K104" s="196"/>
      <x:c r="L104" s="196"/>
    </x:row>
    <x:row r="105">
      <x:c r="A105" s="31" t="str">
        <x:v>Samoa</x:v>
      </x:c>
      <x:c r="B105" s="32" t="str">
        <x:v>adb</x:v>
      </x:c>
      <x:c r="C105" s="194" t="n">
        <x:v>0.003</x:v>
      </x:c>
      <x:c r="D105" s="194" t="n">
        <x:v>0.297</x:v>
      </x:c>
      <x:c r="E105" s="186" t="n">
        <x:v>44561</x:v>
      </x:c>
      <x:c r="F105" s="32" t="n">
        <x:f t="shared" si="1"/>
        <x:v>4</x:v>
      </x:c>
      <x:c r="G105" s="32" t="str">
        <x:v>Country</x:v>
      </x:c>
      <x:c r="H105" s="32" t="str">
        <x:v>Regional</x:v>
      </x:c>
      <x:c r="I105" s="35" t="str">
        <x:v>Regional</x:v>
      </x:c>
      <x:c r="J105" s="151" t="str">
        <x:v>Institution-specific published voting measure</x:v>
      </x:c>
      <x:c r="K105" s="196"/>
      <x:c r="L105" s="196"/>
    </x:row>
    <x:row r="106">
      <x:c r="A106" s="26" t="str">
        <x:v>Singapore</x:v>
      </x:c>
      <x:c r="B106" s="27" t="str">
        <x:v>adb</x:v>
      </x:c>
      <x:c r="C106" s="193" t="n">
        <x:v>0.34</x:v>
      </x:c>
      <x:c r="D106" s="193" t="n">
        <x:v>0.566</x:v>
      </x:c>
      <x:c r="E106" s="185" t="n">
        <x:v>44561</x:v>
      </x:c>
      <x:c r="F106" s="27" t="n">
        <x:f t="shared" si="1"/>
        <x:v>4</x:v>
      </x:c>
      <x:c r="G106" s="27" t="str">
        <x:v>Country</x:v>
      </x:c>
      <x:c r="H106" s="27" t="str">
        <x:v>Regional</x:v>
      </x:c>
      <x:c r="I106" s="30" t="str">
        <x:v>Regional</x:v>
      </x:c>
      <x:c r="J106" s="151" t="str">
        <x:v>Institution-specific published voting measure</x:v>
      </x:c>
      <x:c r="K106" s="196"/>
      <x:c r="L106" s="196"/>
    </x:row>
    <x:row r="107">
      <x:c r="A107" s="31" t="str">
        <x:v>Solomon Islands</x:v>
      </x:c>
      <x:c r="B107" s="32" t="str">
        <x:v>adb</x:v>
      </x:c>
      <x:c r="C107" s="194" t="n">
        <x:v>0.007000000000000001</x:v>
      </x:c>
      <x:c r="D107" s="194" t="n">
        <x:v>0.299</x:v>
      </x:c>
      <x:c r="E107" s="186" t="n">
        <x:v>44561</x:v>
      </x:c>
      <x:c r="F107" s="32" t="n">
        <x:f t="shared" si="1"/>
        <x:v>3</x:v>
      </x:c>
      <x:c r="G107" s="32" t="str">
        <x:v>Country</x:v>
      </x:c>
      <x:c r="H107" s="32" t="str">
        <x:v>Regional</x:v>
      </x:c>
      <x:c r="I107" s="35" t="str">
        <x:v>Regional</x:v>
      </x:c>
      <x:c r="J107" s="151" t="str">
        <x:v>Institution-specific published voting measure</x:v>
      </x:c>
      <x:c r="K107" s="196"/>
      <x:c r="L107" s="196"/>
    </x:row>
    <x:row r="108">
      <x:c r="A108" s="26" t="str">
        <x:v>Sri Lanka</x:v>
      </x:c>
      <x:c r="B108" s="27" t="str">
        <x:v>adb</x:v>
      </x:c>
      <x:c r="C108" s="193" t="n">
        <x:v>0.579</x:v>
      </x:c>
      <x:c r="D108" s="193" t="n">
        <x:v>0.757</x:v>
      </x:c>
      <x:c r="E108" s="185" t="n">
        <x:v>44561</x:v>
      </x:c>
      <x:c r="F108" s="27" t="n">
        <x:f t="shared" si="1"/>
        <x:v>4</x:v>
      </x:c>
      <x:c r="G108" s="27" t="str">
        <x:v>Country</x:v>
      </x:c>
      <x:c r="H108" s="27" t="str">
        <x:v>Regional</x:v>
      </x:c>
      <x:c r="I108" s="30" t="str">
        <x:v>Regional</x:v>
      </x:c>
      <x:c r="J108" s="151" t="str">
        <x:v>Institution-specific published voting measure</x:v>
      </x:c>
      <x:c r="K108" s="196"/>
      <x:c r="L108" s="196"/>
    </x:row>
    <x:row r="109">
      <x:c r="A109" s="31" t="str">
        <x:v>Taipei,China</x:v>
      </x:c>
      <x:c r="B109" s="32" t="str">
        <x:v>adb</x:v>
      </x:c>
      <x:c r="C109" s="194" t="n">
        <x:v>1.087</x:v>
      </x:c>
      <x:c r="D109" s="194" t="n">
        <x:v>1.164</x:v>
      </x:c>
      <x:c r="E109" s="186" t="n">
        <x:v>44561</x:v>
      </x:c>
      <x:c r="F109" s="32" t="n">
        <x:f t="shared" si="1"/>
        <x:v>2</x:v>
      </x:c>
      <x:c r="G109" s="32" t="str">
        <x:v>Country</x:v>
      </x:c>
      <x:c r="H109" s="32" t="str">
        <x:v>Regional</x:v>
      </x:c>
      <x:c r="I109" s="35" t="str">
        <x:v>Regional</x:v>
      </x:c>
      <x:c r="J109" s="151" t="str">
        <x:v>Institution-specific published voting measure</x:v>
      </x:c>
      <x:c r="K109" s="196"/>
      <x:c r="L109" s="196"/>
    </x:row>
    <x:row r="110">
      <x:c r="A110" s="26" t="str">
        <x:v>Tajikistan</x:v>
      </x:c>
      <x:c r="B110" s="27" t="str">
        <x:v>adb</x:v>
      </x:c>
      <x:c r="C110" s="193" t="n">
        <x:v>0.286</x:v>
      </x:c>
      <x:c r="D110" s="193" t="n">
        <x:v>0.523</x:v>
      </x:c>
      <x:c r="E110" s="185" t="n">
        <x:v>44561</x:v>
      </x:c>
      <x:c r="F110" s="27" t="n">
        <x:f t="shared" si="1"/>
        <x:v>6</x:v>
      </x:c>
      <x:c r="G110" s="27" t="str">
        <x:v>Country</x:v>
      </x:c>
      <x:c r="H110" s="27" t="str">
        <x:v>Regional</x:v>
      </x:c>
      <x:c r="I110" s="30" t="str">
        <x:v>Regional</x:v>
      </x:c>
      <x:c r="J110" s="151" t="str">
        <x:v>Institution-specific published voting measure</x:v>
      </x:c>
      <x:c r="K110" s="196"/>
      <x:c r="L110" s="196"/>
    </x:row>
    <x:row r="111">
      <x:c r="A111" s="31" t="str">
        <x:v>Thailand</x:v>
      </x:c>
      <x:c r="B111" s="32" t="str">
        <x:v>adb</x:v>
      </x:c>
      <x:c r="C111" s="194" t="n">
        <x:v>1.358</x:v>
      </x:c>
      <x:c r="D111" s="194" t="n">
        <x:v>1.381</x:v>
      </x:c>
      <x:c r="E111" s="186" t="n">
        <x:v>44561</x:v>
      </x:c>
      <x:c r="F111" s="32" t="n">
        <x:f t="shared" si="1"/>
        <x:v>4</x:v>
      </x:c>
      <x:c r="G111" s="32" t="str">
        <x:v>Country</x:v>
      </x:c>
      <x:c r="H111" s="32" t="str">
        <x:v>Regional</x:v>
      </x:c>
      <x:c r="I111" s="35" t="str">
        <x:v>Regional</x:v>
      </x:c>
      <x:c r="J111" s="151" t="str">
        <x:v>Institution-specific published voting measure</x:v>
      </x:c>
      <x:c r="K111" s="196"/>
      <x:c r="L111" s="196"/>
    </x:row>
    <x:row r="112">
      <x:c r="A112" s="26" t="str">
        <x:v>Timor-Leste</x:v>
      </x:c>
      <x:c r="B112" s="27" t="str">
        <x:v>adb</x:v>
      </x:c>
      <x:c r="C112" s="193" t="n">
        <x:v>0.01</x:v>
      </x:c>
      <x:c r="D112" s="193" t="n">
        <x:v>0.302</x:v>
      </x:c>
      <x:c r="E112" s="185" t="n">
        <x:v>44561</x:v>
      </x:c>
      <x:c r="F112" s="27" t="n">
        <x:f t="shared" si="1"/>
        <x:v>4</x:v>
      </x:c>
      <x:c r="G112" s="27" t="str">
        <x:v>Country</x:v>
      </x:c>
      <x:c r="H112" s="27" t="str">
        <x:v>Regional</x:v>
      </x:c>
      <x:c r="I112" s="30" t="str">
        <x:v>Regional</x:v>
      </x:c>
      <x:c r="J112" s="151" t="str">
        <x:v>Institution-specific published voting measure</x:v>
      </x:c>
      <x:c r="K112" s="196"/>
      <x:c r="L112" s="196"/>
    </x:row>
    <x:row r="113">
      <x:c r="A113" s="31" t="str">
        <x:v>Tonga</x:v>
      </x:c>
      <x:c r="B113" s="32" t="str">
        <x:v>adb</x:v>
      </x:c>
      <x:c r="C113" s="194" t="n">
        <x:v>0.004</x:v>
      </x:c>
      <x:c r="D113" s="194" t="n">
        <x:v>0.297</x:v>
      </x:c>
      <x:c r="E113" s="186" t="n">
        <x:v>44561</x:v>
      </x:c>
      <x:c r="F113" s="32" t="n">
        <x:f t="shared" si="1"/>
        <x:v>4</x:v>
      </x:c>
      <x:c r="G113" s="32" t="str">
        <x:v>Country</x:v>
      </x:c>
      <x:c r="H113" s="32" t="str">
        <x:v>Regional</x:v>
      </x:c>
      <x:c r="I113" s="35" t="str">
        <x:v>Regional</x:v>
      </x:c>
      <x:c r="J113" s="151" t="str">
        <x:v>Institution-specific published voting measure</x:v>
      </x:c>
      <x:c r="K113" s="196"/>
      <x:c r="L113" s="196"/>
    </x:row>
    <x:row r="114">
      <x:c r="A114" s="26" t="str">
        <x:v>Turkmenistan</x:v>
      </x:c>
      <x:c r="B114" s="27" t="str">
        <x:v>adb</x:v>
      </x:c>
      <x:c r="C114" s="193" t="n">
        <x:v>0.253</x:v>
      </x:c>
      <x:c r="D114" s="193" t="n">
        <x:v>0.496</x:v>
      </x:c>
      <x:c r="E114" s="185" t="n">
        <x:v>44561</x:v>
      </x:c>
      <x:c r="F114" s="27" t="n">
        <x:f t="shared" si="1"/>
        <x:v>5</x:v>
      </x:c>
      <x:c r="G114" s="27" t="str">
        <x:v>Country</x:v>
      </x:c>
      <x:c r="H114" s="27" t="str">
        <x:v>Regional</x:v>
      </x:c>
      <x:c r="I114" s="30" t="str">
        <x:v>Regional</x:v>
      </x:c>
      <x:c r="J114" s="151" t="str">
        <x:v>Institution-specific published voting measure</x:v>
      </x:c>
      <x:c r="K114" s="196"/>
      <x:c r="L114" s="196"/>
    </x:row>
    <x:row r="115">
      <x:c r="A115" s="31" t="str">
        <x:v>Tuvalu</x:v>
      </x:c>
      <x:c r="B115" s="32" t="str">
        <x:v>adb</x:v>
      </x:c>
      <x:c r="C115" s="194" t="n">
        <x:v>0.001</x:v>
      </x:c>
      <x:c r="D115" s="194" t="n">
        <x:v>0.295</x:v>
      </x:c>
      <x:c r="E115" s="186" t="n">
        <x:v>44561</x:v>
      </x:c>
      <x:c r="F115" s="32" t="n">
        <x:f t="shared" si="1"/>
        <x:v>3</x:v>
      </x:c>
      <x:c r="G115" s="32" t="str">
        <x:v>Country</x:v>
      </x:c>
      <x:c r="H115" s="32" t="str">
        <x:v>Regional</x:v>
      </x:c>
      <x:c r="I115" s="35" t="str">
        <x:v>Regional</x:v>
      </x:c>
      <x:c r="J115" s="151" t="str">
        <x:v>Institution-specific published voting measure</x:v>
      </x:c>
      <x:c r="K115" s="196"/>
      <x:c r="L115" s="196"/>
    </x:row>
    <x:row r="116">
      <x:c r="A116" s="26" t="str">
        <x:v>Uzbekistan</x:v>
      </x:c>
      <x:c r="B116" s="27" t="str">
        <x:v>adb</x:v>
      </x:c>
      <x:c r="C116" s="193" t="n">
        <x:v>0.672</x:v>
      </x:c>
      <x:c r="D116" s="193" t="n">
        <x:v>0.832</x:v>
      </x:c>
      <x:c r="E116" s="185" t="n">
        <x:v>44561</x:v>
      </x:c>
      <x:c r="F116" s="27" t="n">
        <x:f t="shared" si="1"/>
        <x:v>6</x:v>
      </x:c>
      <x:c r="G116" s="27" t="str">
        <x:v>Country</x:v>
      </x:c>
      <x:c r="H116" s="27" t="str">
        <x:v>Regional</x:v>
      </x:c>
      <x:c r="I116" s="30" t="str">
        <x:v>Regional</x:v>
      </x:c>
      <x:c r="J116" s="151" t="str">
        <x:v>Institution-specific published voting measure</x:v>
      </x:c>
      <x:c r="K116" s="196"/>
      <x:c r="L116" s="196"/>
    </x:row>
    <x:row r="117">
      <x:c r="A117" s="31" t="str">
        <x:v>Vanuatu</x:v>
      </x:c>
      <x:c r="B117" s="32" t="str">
        <x:v>adb</x:v>
      </x:c>
      <x:c r="C117" s="194" t="n">
        <x:v>0.007000000000000001</x:v>
      </x:c>
      <x:c r="D117" s="194" t="n">
        <x:v>0.299</x:v>
      </x:c>
      <x:c r="E117" s="186" t="n">
        <x:v>44561</x:v>
      </x:c>
      <x:c r="F117" s="32" t="n">
        <x:f t="shared" si="1"/>
        <x:v>4</x:v>
      </x:c>
      <x:c r="G117" s="32" t="str">
        <x:v>Country</x:v>
      </x:c>
      <x:c r="H117" s="32" t="str">
        <x:v>Regional</x:v>
      </x:c>
      <x:c r="I117" s="35" t="str">
        <x:v>Regional</x:v>
      </x:c>
      <x:c r="J117" s="151" t="str">
        <x:v>Institution-specific published voting measure</x:v>
      </x:c>
      <x:c r="K117" s="196"/>
      <x:c r="L117" s="196"/>
    </x:row>
    <x:row r="118">
      <x:c r="A118" s="26" t="str">
        <x:v>Viet Nam</x:v>
      </x:c>
      <x:c r="B118" s="27" t="str">
        <x:v>adb</x:v>
      </x:c>
      <x:c r="C118" s="193" t="n">
        <x:v>0.341</x:v>
      </x:c>
      <x:c r="D118" s="193" t="n">
        <x:v>0.567</x:v>
      </x:c>
      <x:c r="E118" s="185" t="n">
        <x:v>44561</x:v>
      </x:c>
      <x:c r="F118" s="27" t="n">
        <x:f t="shared" si="1"/>
        <x:v>4</x:v>
      </x:c>
      <x:c r="G118" s="27" t="str">
        <x:v>Country</x:v>
      </x:c>
      <x:c r="H118" s="27" t="str">
        <x:v>Regional</x:v>
      </x:c>
      <x:c r="I118" s="30" t="str">
        <x:v>Regional</x:v>
      </x:c>
      <x:c r="J118" s="151" t="str">
        <x:v>Institution-specific published voting measure</x:v>
      </x:c>
      <x:c r="K118" s="196"/>
      <x:c r="L118" s="196"/>
    </x:row>
    <x:row r="119">
      <x:c r="A119" s="31" t="str">
        <x:v>Austria</x:v>
      </x:c>
      <x:c r="B119" s="32" t="str">
        <x:v>adb</x:v>
      </x:c>
      <x:c r="C119" s="194" t="n">
        <x:v>0.34</x:v>
      </x:c>
      <x:c r="D119" s="194" t="n">
        <x:v>0.566</x:v>
      </x:c>
      <x:c r="E119" s="186" t="n">
        <x:v>44561</x:v>
      </x:c>
      <x:c r="F119" s="32" t="n">
        <x:f t="shared" si="1"/>
        <x:v>8</x:v>
      </x:c>
      <x:c r="G119" s="32" t="str">
        <x:v>Country</x:v>
      </x:c>
      <x:c r="H119" s="32" t="str">
        <x:v>Nonregional</x:v>
      </x:c>
      <x:c r="I119" s="35" t="str">
        <x:v>Regional</x:v>
      </x:c>
      <x:c r="J119" s="151" t="str">
        <x:v>Institution-specific published voting measure</x:v>
      </x:c>
      <x:c r="K119" s="196"/>
      <x:c r="L119" s="196"/>
    </x:row>
    <x:row r="120">
      <x:c r="A120" s="26" t="str">
        <x:v>Belgium</x:v>
      </x:c>
      <x:c r="B120" s="27" t="str">
        <x:v>adb</x:v>
      </x:c>
      <x:c r="C120" s="193" t="n">
        <x:v>0.34</x:v>
      </x:c>
      <x:c r="D120" s="193" t="n">
        <x:v>0.566</x:v>
      </x:c>
      <x:c r="E120" s="185" t="n">
        <x:v>44561</x:v>
      </x:c>
      <x:c r="F120" s="27" t="n">
        <x:f t="shared" si="1"/>
        <x:v>8</x:v>
      </x:c>
      <x:c r="G120" s="27" t="str">
        <x:v>Country</x:v>
      </x:c>
      <x:c r="H120" s="27" t="str">
        <x:v>Nonregional</x:v>
      </x:c>
      <x:c r="I120" s="30" t="str">
        <x:v>Regional</x:v>
      </x:c>
      <x:c r="J120" s="151" t="str">
        <x:v>Institution-specific published voting measure</x:v>
      </x:c>
      <x:c r="K120" s="196"/>
      <x:c r="L120" s="196"/>
    </x:row>
    <x:row r="121">
      <x:c r="A121" s="31" t="str">
        <x:v>Canada</x:v>
      </x:c>
      <x:c r="B121" s="32" t="str">
        <x:v>adb</x:v>
      </x:c>
      <x:c r="C121" s="194" t="n">
        <x:v>5.219</x:v>
      </x:c>
      <x:c r="D121" s="194" t="n">
        <x:v>4.469</x:v>
      </x:c>
      <x:c r="E121" s="186" t="n">
        <x:v>44561</x:v>
      </x:c>
      <x:c r="F121" s="32" t="n">
        <x:f t="shared" si="1"/>
        <x:v>8</x:v>
      </x:c>
      <x:c r="G121" s="32" t="str">
        <x:v>Country</x:v>
      </x:c>
      <x:c r="H121" s="32" t="str">
        <x:v>Nonregional</x:v>
      </x:c>
      <x:c r="I121" s="35" t="str">
        <x:v>Regional</x:v>
      </x:c>
      <x:c r="J121" s="151" t="str">
        <x:v>Institution-specific published voting measure</x:v>
      </x:c>
      <x:c r="K121" s="196"/>
      <x:c r="L121" s="196"/>
    </x:row>
    <x:row r="122">
      <x:c r="A122" s="26" t="str">
        <x:v>Denmark</x:v>
      </x:c>
      <x:c r="B122" s="27" t="str">
        <x:v>adb</x:v>
      </x:c>
      <x:c r="C122" s="193" t="n">
        <x:v>0.34</x:v>
      </x:c>
      <x:c r="D122" s="193" t="n">
        <x:v>0.566</x:v>
      </x:c>
      <x:c r="E122" s="185" t="n">
        <x:v>44561</x:v>
      </x:c>
      <x:c r="F122" s="27" t="n">
        <x:f t="shared" si="1"/>
        <x:v>8</x:v>
      </x:c>
      <x:c r="G122" s="27" t="str">
        <x:v>Country</x:v>
      </x:c>
      <x:c r="H122" s="27" t="str">
        <x:v>Nonregional</x:v>
      </x:c>
      <x:c r="I122" s="30" t="str">
        <x:v>Regional</x:v>
      </x:c>
      <x:c r="J122" s="151" t="str">
        <x:v>Institution-specific published voting measure</x:v>
      </x:c>
      <x:c r="K122" s="196"/>
      <x:c r="L122" s="196"/>
    </x:row>
    <x:row r="123">
      <x:c r="A123" s="31" t="str">
        <x:v>Finland</x:v>
      </x:c>
      <x:c r="B123" s="32" t="str">
        <x:v>adb</x:v>
      </x:c>
      <x:c r="C123" s="194" t="n">
        <x:v>0.34</x:v>
      </x:c>
      <x:c r="D123" s="194" t="n">
        <x:v>0.566</x:v>
      </x:c>
      <x:c r="E123" s="186" t="n">
        <x:v>44561</x:v>
      </x:c>
      <x:c r="F123" s="32" t="n">
        <x:f t="shared" si="1"/>
        <x:v>8</x:v>
      </x:c>
      <x:c r="G123" s="32" t="str">
        <x:v>Country</x:v>
      </x:c>
      <x:c r="H123" s="32" t="str">
        <x:v>Nonregional</x:v>
      </x:c>
      <x:c r="I123" s="35" t="str">
        <x:v>Regional</x:v>
      </x:c>
      <x:c r="J123" s="151" t="str">
        <x:v>Institution-specific published voting measure</x:v>
      </x:c>
      <x:c r="K123" s="196"/>
      <x:c r="L123" s="196"/>
    </x:row>
    <x:row r="124">
      <x:c r="A124" s="26" t="str">
        <x:v>France</x:v>
      </x:c>
      <x:c r="B124" s="27" t="str">
        <x:v>adb</x:v>
      </x:c>
      <x:c r="C124" s="193" t="n">
        <x:v>2.322</x:v>
      </x:c>
      <x:c r="D124" s="193" t="n">
        <x:v>2.152</x:v>
      </x:c>
      <x:c r="E124" s="185" t="n">
        <x:v>44561</x:v>
      </x:c>
      <x:c r="F124" s="27" t="n">
        <x:f t="shared" si="1"/>
        <x:v>8</x:v>
      </x:c>
      <x:c r="G124" s="27" t="str">
        <x:v>Country</x:v>
      </x:c>
      <x:c r="H124" s="27" t="str">
        <x:v>Nonregional</x:v>
      </x:c>
      <x:c r="I124" s="30" t="str">
        <x:v>Regional</x:v>
      </x:c>
      <x:c r="J124" s="151" t="str">
        <x:v>Institution-specific published voting measure</x:v>
      </x:c>
      <x:c r="K124" s="196"/>
      <x:c r="L124" s="196"/>
    </x:row>
    <x:row r="125">
      <x:c r="A125" s="31" t="str">
        <x:v>Germany</x:v>
      </x:c>
      <x:c r="B125" s="32" t="str">
        <x:v>adb</x:v>
      </x:c>
      <x:c r="C125" s="194" t="n">
        <x:v>4.316</x:v>
      </x:c>
      <x:c r="D125" s="194" t="n">
        <x:v>3.7469999999999994</x:v>
      </x:c>
      <x:c r="E125" s="186" t="n">
        <x:v>44561</x:v>
      </x:c>
      <x:c r="F125" s="32" t="n">
        <x:f t="shared" si="1"/>
        <x:v>9</x:v>
      </x:c>
      <x:c r="G125" s="32" t="str">
        <x:v>Country</x:v>
      </x:c>
      <x:c r="H125" s="32" t="str">
        <x:v>Nonregional</x:v>
      </x:c>
      <x:c r="I125" s="35" t="str">
        <x:v>Regional</x:v>
      </x:c>
      <x:c r="J125" s="151" t="str">
        <x:v>Institution-specific published voting measure</x:v>
      </x:c>
      <x:c r="K125" s="196"/>
      <x:c r="L125" s="196"/>
    </x:row>
    <x:row r="126">
      <x:c r="A126" s="26" t="str">
        <x:v>Ireland</x:v>
      </x:c>
      <x:c r="B126" s="27" t="str">
        <x:v>adb</x:v>
      </x:c>
      <x:c r="C126" s="193" t="n">
        <x:v>0.34</x:v>
      </x:c>
      <x:c r="D126" s="193" t="n">
        <x:v>0.566</x:v>
      </x:c>
      <x:c r="E126" s="185" t="n">
        <x:v>44561</x:v>
      </x:c>
      <x:c r="F126" s="27" t="n">
        <x:f t="shared" si="1"/>
        <x:v>7</x:v>
      </x:c>
      <x:c r="G126" s="27" t="str">
        <x:v>Country</x:v>
      </x:c>
      <x:c r="H126" s="27" t="str">
        <x:v>Nonregional</x:v>
      </x:c>
      <x:c r="I126" s="30" t="str">
        <x:v>Regional</x:v>
      </x:c>
      <x:c r="J126" s="151" t="str">
        <x:v>Institution-specific published voting measure</x:v>
      </x:c>
      <x:c r="K126" s="196"/>
      <x:c r="L126" s="196"/>
    </x:row>
    <x:row r="127">
      <x:c r="A127" s="31" t="str">
        <x:v>Italy</x:v>
      </x:c>
      <x:c r="B127" s="32" t="str">
        <x:v>adb</x:v>
      </x:c>
      <x:c r="C127" s="194" t="n">
        <x:v>1.8030000000000002</x:v>
      </x:c>
      <x:c r="D127" s="194" t="n">
        <x:v>1.737</x:v>
      </x:c>
      <x:c r="E127" s="186" t="n">
        <x:v>44561</x:v>
      </x:c>
      <x:c r="F127" s="32" t="n">
        <x:f t="shared" si="1"/>
        <x:v>9</x:v>
      </x:c>
      <x:c r="G127" s="32" t="str">
        <x:v>Country</x:v>
      </x:c>
      <x:c r="H127" s="32" t="str">
        <x:v>Nonregional</x:v>
      </x:c>
      <x:c r="I127" s="35" t="str">
        <x:v>Regional</x:v>
      </x:c>
      <x:c r="J127" s="151" t="str">
        <x:v>Institution-specific published voting measure</x:v>
      </x:c>
      <x:c r="K127" s="196"/>
      <x:c r="L127" s="196"/>
    </x:row>
    <x:row r="128">
      <x:c r="A128" s="26" t="str">
        <x:v>Luxembourg</x:v>
      </x:c>
      <x:c r="B128" s="27" t="str">
        <x:v>adb</x:v>
      </x:c>
      <x:c r="C128" s="193" t="n">
        <x:v>0.34</x:v>
      </x:c>
      <x:c r="D128" s="193" t="n">
        <x:v>0.566</x:v>
      </x:c>
      <x:c r="E128" s="185" t="n">
        <x:v>44561</x:v>
      </x:c>
      <x:c r="F128" s="27" t="n">
        <x:f t="shared" si="1"/>
        <x:v>7</x:v>
      </x:c>
      <x:c r="G128" s="27" t="str">
        <x:v>Country</x:v>
      </x:c>
      <x:c r="H128" s="27" t="str">
        <x:v>Nonregional</x:v>
      </x:c>
      <x:c r="I128" s="30" t="str">
        <x:v>Regional</x:v>
      </x:c>
      <x:c r="J128" s="151" t="str">
        <x:v>Institution-specific published voting measure</x:v>
      </x:c>
      <x:c r="K128" s="196"/>
      <x:c r="L128" s="196"/>
    </x:row>
    <x:row r="129">
      <x:c r="A129" s="31" t="str">
        <x:v>Netherlands</x:v>
      </x:c>
      <x:c r="B129" s="32" t="str">
        <x:v>adb</x:v>
      </x:c>
      <x:c r="C129" s="194" t="n">
        <x:v>1.023</x:v>
      </x:c>
      <x:c r="D129" s="194" t="n">
        <x:v>1.113</x:v>
      </x:c>
      <x:c r="E129" s="186" t="n">
        <x:v>44561</x:v>
      </x:c>
      <x:c r="F129" s="32" t="n">
        <x:f t="shared" si="1"/>
        <x:v>8</x:v>
      </x:c>
      <x:c r="G129" s="32" t="str">
        <x:v>Country</x:v>
      </x:c>
      <x:c r="H129" s="32" t="str">
        <x:v>Nonregional</x:v>
      </x:c>
      <x:c r="I129" s="35" t="str">
        <x:v>Regional</x:v>
      </x:c>
      <x:c r="J129" s="151" t="str">
        <x:v>Institution-specific published voting measure</x:v>
      </x:c>
      <x:c r="K129" s="196"/>
      <x:c r="L129" s="196"/>
    </x:row>
    <x:row r="130">
      <x:c r="A130" s="26" t="str">
        <x:v>Norway</x:v>
      </x:c>
      <x:c r="B130" s="27" t="str">
        <x:v>adb</x:v>
      </x:c>
      <x:c r="C130" s="193" t="n">
        <x:v>0.34</x:v>
      </x:c>
      <x:c r="D130" s="193" t="n">
        <x:v>0.566</x:v>
      </x:c>
      <x:c r="E130" s="185" t="n">
        <x:v>44561</x:v>
      </x:c>
      <x:c r="F130" s="27" t="n">
        <x:f t="shared" si="1"/>
        <x:v>7</x:v>
      </x:c>
      <x:c r="G130" s="27" t="str">
        <x:v>Country</x:v>
      </x:c>
      <x:c r="H130" s="27" t="str">
        <x:v>Nonregional</x:v>
      </x:c>
      <x:c r="I130" s="30" t="str">
        <x:v>Regional</x:v>
      </x:c>
      <x:c r="J130" s="151" t="str">
        <x:v>Institution-specific published voting measure</x:v>
      </x:c>
      <x:c r="K130" s="196"/>
      <x:c r="L130" s="196"/>
    </x:row>
    <x:row r="131">
      <x:c r="A131" s="31" t="str">
        <x:v>Portugal</x:v>
      </x:c>
      <x:c r="B131" s="32" t="str">
        <x:v>adb</x:v>
      </x:c>
      <x:c r="C131" s="194" t="n">
        <x:v>0.34</x:v>
      </x:c>
      <x:c r="D131" s="194" t="n">
        <x:v>0.566</x:v>
      </x:c>
      <x:c r="E131" s="186" t="n">
        <x:v>44561</x:v>
      </x:c>
      <x:c r="F131" s="32" t="n">
        <x:f t="shared" ref="F131:F194" si="2">COUNTIF(A131:A1162,A131)</x:f>
        <x:v>10</x:v>
      </x:c>
      <x:c r="G131" s="32" t="str">
        <x:v>Country</x:v>
      </x:c>
      <x:c r="H131" s="32" t="str">
        <x:v>Nonregional</x:v>
      </x:c>
      <x:c r="I131" s="35" t="str">
        <x:v>Regional</x:v>
      </x:c>
      <x:c r="J131" s="151" t="str">
        <x:v>Institution-specific published voting measure</x:v>
      </x:c>
      <x:c r="K131" s="196"/>
      <x:c r="L131" s="196"/>
    </x:row>
    <x:row r="132">
      <x:c r="A132" s="26" t="str">
        <x:v>Spain</x:v>
      </x:c>
      <x:c r="B132" s="27" t="str">
        <x:v>adb</x:v>
      </x:c>
      <x:c r="C132" s="193" t="n">
        <x:v>0.34</x:v>
      </x:c>
      <x:c r="D132" s="193" t="n">
        <x:v>0.566</x:v>
      </x:c>
      <x:c r="E132" s="185" t="n">
        <x:v>44561</x:v>
      </x:c>
      <x:c r="F132" s="27" t="n">
        <x:f t="shared" si="2"/>
        <x:v>10</x:v>
      </x:c>
      <x:c r="G132" s="27" t="str">
        <x:v>Country</x:v>
      </x:c>
      <x:c r="H132" s="27" t="str">
        <x:v>Nonregional</x:v>
      </x:c>
      <x:c r="I132" s="30" t="str">
        <x:v>Regional</x:v>
      </x:c>
      <x:c r="J132" s="151" t="str">
        <x:v>Institution-specific published voting measure</x:v>
      </x:c>
      <x:c r="K132" s="196"/>
      <x:c r="L132" s="196"/>
    </x:row>
    <x:row r="133">
      <x:c r="A133" s="31" t="str">
        <x:v>Sweden</x:v>
      </x:c>
      <x:c r="B133" s="32" t="str">
        <x:v>adb</x:v>
      </x:c>
      <x:c r="C133" s="194" t="n">
        <x:v>0.34</x:v>
      </x:c>
      <x:c r="D133" s="194" t="n">
        <x:v>0.566</x:v>
      </x:c>
      <x:c r="E133" s="186" t="n">
        <x:v>44561</x:v>
      </x:c>
      <x:c r="F133" s="32" t="n">
        <x:f t="shared" si="2"/>
        <x:v>8</x:v>
      </x:c>
      <x:c r="G133" s="32" t="str">
        <x:v>Country</x:v>
      </x:c>
      <x:c r="H133" s="32" t="str">
        <x:v>Nonregional</x:v>
      </x:c>
      <x:c r="I133" s="35" t="str">
        <x:v>Regional</x:v>
      </x:c>
      <x:c r="J133" s="151" t="str">
        <x:v>Institution-specific published voting measure</x:v>
      </x:c>
      <x:c r="K133" s="196"/>
      <x:c r="L133" s="196"/>
    </x:row>
    <x:row r="134">
      <x:c r="A134" s="26" t="str">
        <x:v>Switzerland</x:v>
      </x:c>
      <x:c r="B134" s="27" t="str">
        <x:v>adb</x:v>
      </x:c>
      <x:c r="C134" s="193" t="n">
        <x:v>0.582</x:v>
      </x:c>
      <x:c r="D134" s="193" t="n">
        <x:v>0.76</x:v>
      </x:c>
      <x:c r="E134" s="185" t="n">
        <x:v>44561</x:v>
      </x:c>
      <x:c r="F134" s="27" t="n">
        <x:f t="shared" si="2"/>
        <x:v>7</x:v>
      </x:c>
      <x:c r="G134" s="27" t="str">
        <x:v>Country</x:v>
      </x:c>
      <x:c r="H134" s="27" t="str">
        <x:v>Nonregional</x:v>
      </x:c>
      <x:c r="I134" s="30" t="str">
        <x:v>Regional</x:v>
      </x:c>
      <x:c r="J134" s="151" t="str">
        <x:v>Institution-specific published voting measure</x:v>
      </x:c>
      <x:c r="K134" s="196"/>
      <x:c r="L134" s="196"/>
    </x:row>
    <x:row r="135">
      <x:c r="A135" s="31" t="str">
        <x:v>Türkiye</x:v>
      </x:c>
      <x:c r="B135" s="32" t="str">
        <x:v>adb</x:v>
      </x:c>
      <x:c r="C135" s="194" t="n">
        <x:v>0.34</x:v>
      </x:c>
      <x:c r="D135" s="194" t="n">
        <x:v>0.566</x:v>
      </x:c>
      <x:c r="E135" s="186" t="n">
        <x:v>44561</x:v>
      </x:c>
      <x:c r="F135" s="32" t="n">
        <x:f t="shared" si="2"/>
        <x:v>5</x:v>
      </x:c>
      <x:c r="G135" s="32" t="str">
        <x:v>Country</x:v>
      </x:c>
      <x:c r="H135" s="32" t="str">
        <x:v>Nonregional</x:v>
      </x:c>
      <x:c r="I135" s="35" t="str">
        <x:v>Regional</x:v>
      </x:c>
      <x:c r="J135" s="151" t="str">
        <x:v>Institution-specific published voting measure</x:v>
      </x:c>
      <x:c r="K135" s="196"/>
      <x:c r="L135" s="196"/>
    </x:row>
    <x:row r="136">
      <x:c r="A136" s="26" t="str">
        <x:v>United Kingdom</x:v>
      </x:c>
      <x:c r="B136" s="27" t="str">
        <x:v>adb</x:v>
      </x:c>
      <x:c r="C136" s="193" t="n">
        <x:v>2.038</x:v>
      </x:c>
      <x:c r="D136" s="193" t="n">
        <x:v>1.924</x:v>
      </x:c>
      <x:c r="E136" s="185" t="n">
        <x:v>44561</x:v>
      </x:c>
      <x:c r="F136" s="27" t="n">
        <x:f t="shared" si="2"/>
        <x:v>8</x:v>
      </x:c>
      <x:c r="G136" s="27" t="str">
        <x:v>Country</x:v>
      </x:c>
      <x:c r="H136" s="27" t="str">
        <x:v>Nonregional</x:v>
      </x:c>
      <x:c r="I136" s="30" t="str">
        <x:v>Regional</x:v>
      </x:c>
      <x:c r="J136" s="151" t="str">
        <x:v>Institution-specific published voting measure</x:v>
      </x:c>
      <x:c r="K136" s="196"/>
      <x:c r="L136" s="196"/>
    </x:row>
    <x:row r="137">
      <x:c r="A137" s="31" t="str">
        <x:v>United States</x:v>
      </x:c>
      <x:c r="B137" s="32" t="str">
        <x:v>adb</x:v>
      </x:c>
      <x:c r="C137" s="194" t="n">
        <x:v>15.570999999999998</x:v>
      </x:c>
      <x:c r="D137" s="194" t="n">
        <x:v>12.750999999999998</x:v>
      </x:c>
      <x:c r="E137" s="186" t="n">
        <x:v>44561</x:v>
      </x:c>
      <x:c r="F137" s="32" t="n">
        <x:f t="shared" si="2"/>
        <x:v>5</x:v>
      </x:c>
      <x:c r="G137" s="32" t="str">
        <x:v>Country</x:v>
      </x:c>
      <x:c r="H137" s="32" t="str">
        <x:v>Nonregional</x:v>
      </x:c>
      <x:c r="I137" s="35" t="str">
        <x:v>Regional</x:v>
      </x:c>
      <x:c r="J137" s="151" t="str">
        <x:v>Institution-specific published voting measure</x:v>
      </x:c>
      <x:c r="K137" s="196"/>
      <x:c r="L137" s="196"/>
    </x:row>
    <x:row r="138">
      <x:c r="A138" s="26" t="str">
        <x:v>Afghanistan</x:v>
      </x:c>
      <x:c r="B138" s="27" t="str">
        <x:v>aiib</x:v>
      </x:c>
      <x:c r="C138" s="193" t="n">
        <x:v>0.08924863164121638</x:v>
      </x:c>
      <x:c r="D138" s="193"/>
      <x:c r="E138" s="185" t="n">
        <x:v>45473</x:v>
      </x:c>
      <x:c r="F138" s="27" t="n">
        <x:f t="shared" si="2"/>
        <x:v>5</x:v>
      </x:c>
      <x:c r="G138" s="27" t="str">
        <x:v>Country</x:v>
      </x:c>
      <x:c r="H138" s="27" t="str">
        <x:v>Member</x:v>
      </x:c>
      <x:c r="I138" s="30" t="str">
        <x:v>Universal</x:v>
      </x:c>
      <x:c r="J138" s="151" t="str">
        <x:v>No comparable voting measure in source</x:v>
      </x:c>
      <x:c r="K138" s="196"/>
      <x:c r="L138" s="196"/>
    </x:row>
    <x:row r="139">
      <x:c r="A139" s="31" t="str">
        <x:v>Algeria</x:v>
      </x:c>
      <x:c r="B139" s="32" t="str">
        <x:v>aiib</x:v>
      </x:c>
      <x:c r="C139" s="194" t="n">
        <x:v>0.005152923304920114</x:v>
      </x:c>
      <x:c r="D139" s="194"/>
      <x:c r="E139" s="186" t="n">
        <x:v>45473</x:v>
      </x:c>
      <x:c r="F139" s="32" t="n">
        <x:f t="shared" si="2"/>
        <x:v>8</x:v>
      </x:c>
      <x:c r="G139" s="32" t="str">
        <x:v>Country</x:v>
      </x:c>
      <x:c r="H139" s="32" t="str">
        <x:v>Member</x:v>
      </x:c>
      <x:c r="I139" s="35" t="str">
        <x:v>Universal</x:v>
      </x:c>
      <x:c r="J139" s="151" t="str">
        <x:v>No comparable voting measure in source</x:v>
      </x:c>
      <x:c r="K139" s="196"/>
      <x:c r="L139" s="196"/>
    </x:row>
    <x:row r="140">
      <x:c r="A140" s="26" t="str">
        <x:v>Argentina</x:v>
      </x:c>
      <x:c r="B140" s="27" t="str">
        <x:v>aiib</x:v>
      </x:c>
      <x:c r="C140" s="193" t="n">
        <x:v>0.005152923304920114</x:v>
      </x:c>
      <x:c r="D140" s="193"/>
      <x:c r="E140" s="185" t="n">
        <x:v>45473</x:v>
      </x:c>
      <x:c r="F140" s="27" t="n">
        <x:f t="shared" si="2"/>
        <x:v>7</x:v>
      </x:c>
      <x:c r="G140" s="27" t="str">
        <x:v>Country</x:v>
      </x:c>
      <x:c r="H140" s="27" t="str">
        <x:v>Member</x:v>
      </x:c>
      <x:c r="I140" s="30" t="str">
        <x:v>Universal</x:v>
      </x:c>
      <x:c r="J140" s="151" t="str">
        <x:v>No comparable voting measure in source</x:v>
      </x:c>
      <x:c r="K140" s="196"/>
      <x:c r="L140" s="196"/>
    </x:row>
    <x:row r="141">
      <x:c r="A141" s="31" t="str">
        <x:v>Australia</x:v>
      </x:c>
      <x:c r="B141" s="32" t="str">
        <x:v>aiib</x:v>
      </x:c>
      <x:c r="C141" s="194" t="n">
        <x:v>3.804094100624225</x:v>
      </x:c>
      <x:c r="D141" s="194"/>
      <x:c r="E141" s="186" t="n">
        <x:v>45473</x:v>
      </x:c>
      <x:c r="F141" s="32" t="n">
        <x:f t="shared" si="2"/>
        <x:v>5</x:v>
      </x:c>
      <x:c r="G141" s="32" t="str">
        <x:v>Country</x:v>
      </x:c>
      <x:c r="H141" s="32" t="str">
        <x:v>Member</x:v>
      </x:c>
      <x:c r="I141" s="35" t="str">
        <x:v>Universal</x:v>
      </x:c>
      <x:c r="J141" s="151" t="str">
        <x:v>No comparable voting measure in source</x:v>
      </x:c>
      <x:c r="K141" s="196"/>
      <x:c r="L141" s="196"/>
    </x:row>
    <x:row r="142">
      <x:c r="A142" s="26" t="str">
        <x:v>Austria</x:v>
      </x:c>
      <x:c r="B142" s="27" t="str">
        <x:v>aiib</x:v>
      </x:c>
      <x:c r="C142" s="193" t="n">
        <x:v>0.5161167982207986</x:v>
      </x:c>
      <x:c r="D142" s="193"/>
      <x:c r="E142" s="185" t="n">
        <x:v>45473</x:v>
      </x:c>
      <x:c r="F142" s="27" t="n">
        <x:f t="shared" si="2"/>
        <x:v>8</x:v>
      </x:c>
      <x:c r="G142" s="27" t="str">
        <x:v>Country</x:v>
      </x:c>
      <x:c r="H142" s="27" t="str">
        <x:v>Member</x:v>
      </x:c>
      <x:c r="I142" s="30" t="str">
        <x:v>Universal</x:v>
      </x:c>
      <x:c r="J142" s="151" t="str">
        <x:v>No comparable voting measure in source</x:v>
      </x:c>
      <x:c r="K142" s="196"/>
      <x:c r="L142" s="196"/>
    </x:row>
    <x:row r="143">
      <x:c r="A143" s="31" t="str">
        <x:v>Azerbaijan</x:v>
      </x:c>
      <x:c r="B143" s="32" t="str">
        <x:v>aiib</x:v>
      </x:c>
      <x:c r="C143" s="194" t="n">
        <x:v>0.2618715623560402</x:v>
      </x:c>
      <x:c r="D143" s="194"/>
      <x:c r="E143" s="186" t="n">
        <x:v>45473</x:v>
      </x:c>
      <x:c r="F143" s="32" t="n">
        <x:f t="shared" si="2"/>
        <x:v>6</x:v>
      </x:c>
      <x:c r="G143" s="32" t="str">
        <x:v>Country</x:v>
      </x:c>
      <x:c r="H143" s="32" t="str">
        <x:v>Member</x:v>
      </x:c>
      <x:c r="I143" s="35" t="str">
        <x:v>Universal</x:v>
      </x:c>
      <x:c r="J143" s="151" t="str">
        <x:v>No comparable voting measure in source</x:v>
      </x:c>
      <x:c r="K143" s="196"/>
      <x:c r="L143" s="196"/>
    </x:row>
    <x:row r="144">
      <x:c r="A144" s="26" t="str">
        <x:v>Bahrain</x:v>
      </x:c>
      <x:c r="B144" s="27" t="str">
        <x:v>aiib</x:v>
      </x:c>
      <x:c r="C144" s="193" t="n">
        <x:v>0.10676857087794478</x:v>
      </x:c>
      <x:c r="D144" s="193"/>
      <x:c r="E144" s="185" t="n">
        <x:v>45473</x:v>
      </x:c>
      <x:c r="F144" s="27" t="n">
        <x:f t="shared" si="2"/>
        <x:v>5</x:v>
      </x:c>
      <x:c r="G144" s="27" t="str">
        <x:v>Country</x:v>
      </x:c>
      <x:c r="H144" s="27" t="str">
        <x:v>Member</x:v>
      </x:c>
      <x:c r="I144" s="30" t="str">
        <x:v>Universal</x:v>
      </x:c>
      <x:c r="J144" s="151" t="str">
        <x:v>No comparable voting measure in source</x:v>
      </x:c>
      <x:c r="K144" s="196"/>
      <x:c r="L144" s="196"/>
    </x:row>
    <x:row r="145">
      <x:c r="A145" s="31" t="str">
        <x:v>Bangladesh</x:v>
      </x:c>
      <x:c r="B145" s="32" t="str">
        <x:v>aiib</x:v>
      </x:c>
      <x:c r="C145" s="194" t="n">
        <x:v>0.6807011685799471</x:v>
      </x:c>
      <x:c r="D145" s="194"/>
      <x:c r="E145" s="186" t="n">
        <x:v>45473</x:v>
      </x:c>
      <x:c r="F145" s="32" t="n">
        <x:f t="shared" si="2"/>
        <x:v>6</x:v>
      </x:c>
      <x:c r="G145" s="32" t="str">
        <x:v>Country</x:v>
      </x:c>
      <x:c r="H145" s="32" t="str">
        <x:v>Member</x:v>
      </x:c>
      <x:c r="I145" s="35" t="str">
        <x:v>Universal</x:v>
      </x:c>
      <x:c r="J145" s="151" t="str">
        <x:v>No comparable voting measure in source</x:v>
      </x:c>
      <x:c r="K145" s="196"/>
      <x:c r="L145" s="196"/>
    </x:row>
    <x:row r="146">
      <x:c r="A146" s="26" t="str">
        <x:v>Belarus</x:v>
      </x:c>
      <x:c r="B146" s="27" t="str">
        <x:v>aiib</x:v>
      </x:c>
      <x:c r="C146" s="193" t="n">
        <x:v>0.06606047676907587</x:v>
      </x:c>
      <x:c r="D146" s="193"/>
      <x:c r="E146" s="185" t="n">
        <x:v>45473</x:v>
      </x:c>
      <x:c r="F146" s="27" t="n">
        <x:f t="shared" si="2"/>
        <x:v>4</x:v>
      </x:c>
      <x:c r="G146" s="27" t="str">
        <x:v>Country</x:v>
      </x:c>
      <x:c r="H146" s="27" t="str">
        <x:v>Member</x:v>
      </x:c>
      <x:c r="I146" s="30" t="str">
        <x:v>Universal</x:v>
      </x:c>
      <x:c r="J146" s="151" t="str">
        <x:v>No comparable voting measure in source</x:v>
      </x:c>
      <x:c r="K146" s="196"/>
      <x:c r="L146" s="196"/>
    </x:row>
    <x:row r="147">
      <x:c r="A147" s="31" t="str">
        <x:v>Belgium</x:v>
      </x:c>
      <x:c r="B147" s="32" t="str">
        <x:v>aiib</x:v>
      </x:c>
      <x:c r="C147" s="194" t="n">
        <x:v>0.2933043945160529</x:v>
      </x:c>
      <x:c r="D147" s="194"/>
      <x:c r="E147" s="186" t="n">
        <x:v>45473</x:v>
      </x:c>
      <x:c r="F147" s="32" t="n">
        <x:f t="shared" si="2"/>
        <x:v>8</x:v>
      </x:c>
      <x:c r="G147" s="32" t="str">
        <x:v>Country</x:v>
      </x:c>
      <x:c r="H147" s="32" t="str">
        <x:v>Member</x:v>
      </x:c>
      <x:c r="I147" s="35" t="str">
        <x:v>Universal</x:v>
      </x:c>
      <x:c r="J147" s="151" t="str">
        <x:v>No comparable voting measure in source</x:v>
      </x:c>
      <x:c r="K147" s="196"/>
      <x:c r="L147" s="196"/>
    </x:row>
    <x:row r="148">
      <x:c r="A148" s="26" t="str">
        <x:v>Benin</x:v>
      </x:c>
      <x:c r="B148" s="27" t="str">
        <x:v>aiib</x:v>
      </x:c>
      <x:c r="C148" s="193" t="n">
        <x:v>0.005152923304920114</x:v>
      </x:c>
      <x:c r="D148" s="193"/>
      <x:c r="E148" s="185" t="n">
        <x:v>45473</x:v>
      </x:c>
      <x:c r="F148" s="27" t="n">
        <x:f t="shared" si="2"/>
        <x:v>6</x:v>
      </x:c>
      <x:c r="G148" s="27" t="str">
        <x:v>Country</x:v>
      </x:c>
      <x:c r="H148" s="27" t="str">
        <x:v>Member</x:v>
      </x:c>
      <x:c r="I148" s="30" t="str">
        <x:v>Universal</x:v>
      </x:c>
      <x:c r="J148" s="151" t="str">
        <x:v>No comparable voting measure in source</x:v>
      </x:c>
      <x:c r="K148" s="196"/>
      <x:c r="L148" s="196"/>
    </x:row>
    <x:row r="149">
      <x:c r="A149" s="31" t="str">
        <x:v>Brazil</x:v>
      </x:c>
      <x:c r="B149" s="32" t="str">
        <x:v>aiib</x:v>
      </x:c>
      <x:c r="C149" s="194" t="n">
        <x:v>0.005152923304920114</x:v>
      </x:c>
      <x:c r="D149" s="194"/>
      <x:c r="E149" s="186" t="n">
        <x:v>45473</x:v>
      </x:c>
      <x:c r="F149" s="32" t="n">
        <x:f t="shared" si="2"/>
        <x:v>8</x:v>
      </x:c>
      <x:c r="G149" s="32" t="str">
        <x:v>Country</x:v>
      </x:c>
      <x:c r="H149" s="32" t="str">
        <x:v>Member</x:v>
      </x:c>
      <x:c r="I149" s="35" t="str">
        <x:v>Universal</x:v>
      </x:c>
      <x:c r="J149" s="151" t="str">
        <x:v>No comparable voting measure in source</x:v>
      </x:c>
      <x:c r="K149" s="196"/>
      <x:c r="L149" s="196"/>
    </x:row>
    <x:row r="150">
      <x:c r="A150" s="26" t="str">
        <x:v>Brunei Darussalam</x:v>
      </x:c>
      <x:c r="B150" s="27" t="str">
        <x:v>aiib</x:v>
      </x:c>
      <x:c r="C150" s="193" t="n">
        <x:v>0.0540026362355628</x:v>
      </x:c>
      <x:c r="D150" s="193"/>
      <x:c r="E150" s="185" t="n">
        <x:v>45473</x:v>
      </x:c>
      <x:c r="F150" s="27" t="n">
        <x:f t="shared" si="2"/>
        <x:v>5</x:v>
      </x:c>
      <x:c r="G150" s="27" t="str">
        <x:v>Country</x:v>
      </x:c>
      <x:c r="H150" s="27" t="str">
        <x:v>Member</x:v>
      </x:c>
      <x:c r="I150" s="30" t="str">
        <x:v>Universal</x:v>
      </x:c>
      <x:c r="J150" s="151" t="str">
        <x:v>No comparable voting measure in source</x:v>
      </x:c>
      <x:c r="K150" s="196"/>
      <x:c r="L150" s="196"/>
    </x:row>
    <x:row r="151">
      <x:c r="A151" s="31" t="str">
        <x:v>Cambodia</x:v>
      </x:c>
      <x:c r="B151" s="32" t="str">
        <x:v>aiib</x:v>
      </x:c>
      <x:c r="C151" s="194" t="n">
        <x:v>0.06420542437930463</x:v>
      </x:c>
      <x:c r="D151" s="194"/>
      <x:c r="E151" s="186" t="n">
        <x:v>45473</x:v>
      </x:c>
      <x:c r="F151" s="32" t="n">
        <x:f t="shared" si="2"/>
        <x:v>4</x:v>
      </x:c>
      <x:c r="G151" s="32" t="str">
        <x:v>Country</x:v>
      </x:c>
      <x:c r="H151" s="32" t="str">
        <x:v>Member</x:v>
      </x:c>
      <x:c r="I151" s="35" t="str">
        <x:v>Universal</x:v>
      </x:c>
      <x:c r="J151" s="151" t="str">
        <x:v>No comparable voting measure in source</x:v>
      </x:c>
      <x:c r="K151" s="196"/>
      <x:c r="L151" s="196"/>
    </x:row>
    <x:row r="152">
      <x:c r="A152" s="26" t="str">
        <x:v>Canada</x:v>
      </x:c>
      <x:c r="B152" s="27" t="str">
        <x:v>aiib</x:v>
      </x:c>
      <x:c r="C152" s="193" t="n">
        <x:v>1.0258439715434964</x:v>
      </x:c>
      <x:c r="D152" s="193"/>
      <x:c r="E152" s="185" t="n">
        <x:v>45473</x:v>
      </x:c>
      <x:c r="F152" s="27" t="n">
        <x:f t="shared" si="2"/>
        <x:v>8</x:v>
      </x:c>
      <x:c r="G152" s="27" t="str">
        <x:v>Country</x:v>
      </x:c>
      <x:c r="H152" s="27" t="str">
        <x:v>Member</x:v>
      </x:c>
      <x:c r="I152" s="30" t="str">
        <x:v>Universal</x:v>
      </x:c>
      <x:c r="J152" s="151" t="str">
        <x:v>No comparable voting measure in source</x:v>
      </x:c>
      <x:c r="K152" s="196"/>
      <x:c r="L152" s="196"/>
    </x:row>
    <x:row r="153">
      <x:c r="A153" s="31" t="str">
        <x:v>Chile</x:v>
      </x:c>
      <x:c r="B153" s="32" t="str">
        <x:v>aiib</x:v>
      </x:c>
      <x:c r="C153" s="194" t="n">
        <x:v>0.010305846609840227</x:v>
      </x:c>
      <x:c r="D153" s="194"/>
      <x:c r="E153" s="186" t="n">
        <x:v>45473</x:v>
      </x:c>
      <x:c r="F153" s="32" t="n">
        <x:f t="shared" si="2"/>
        <x:v>5</x:v>
      </x:c>
      <x:c r="G153" s="32" t="str">
        <x:v>Country</x:v>
      </x:c>
      <x:c r="H153" s="32" t="str">
        <x:v>Member</x:v>
      </x:c>
      <x:c r="I153" s="35" t="str">
        <x:v>Universal</x:v>
      </x:c>
      <x:c r="J153" s="151" t="str">
        <x:v>No comparable voting measure in source</x:v>
      </x:c>
      <x:c r="K153" s="196"/>
      <x:c r="L153" s="196"/>
    </x:row>
    <x:row r="154">
      <x:c r="A154" s="26" t="str">
        <x:v>China</x:v>
      </x:c>
      <x:c r="B154" s="27" t="str">
        <x:v>aiib</x:v>
      </x:c>
      <x:c r="C154" s="193" t="n">
        <x:v>30.691223437968596</x:v>
      </x:c>
      <x:c r="D154" s="193"/>
      <x:c r="E154" s="185" t="n">
        <x:v>45473</x:v>
      </x:c>
      <x:c r="F154" s="27" t="n">
        <x:f t="shared" si="2"/>
        <x:v>8</x:v>
      </x:c>
      <x:c r="G154" s="27" t="str">
        <x:v>Country</x:v>
      </x:c>
      <x:c r="H154" s="27" t="str">
        <x:v>Member</x:v>
      </x:c>
      <x:c r="I154" s="30" t="str">
        <x:v>Universal</x:v>
      </x:c>
      <x:c r="J154" s="151" t="str">
        <x:v>No comparable voting measure in source</x:v>
      </x:c>
      <x:c r="K154" s="196"/>
      <x:c r="L154" s="196"/>
    </x:row>
    <x:row r="155">
      <x:c r="A155" s="31" t="str">
        <x:v>Cook Islands</x:v>
      </x:c>
      <x:c r="B155" s="32" t="str">
        <x:v>aiib</x:v>
      </x:c>
      <x:c r="C155" s="194" t="n">
        <x:v>0.0005152923304920115</x:v>
      </x:c>
      <x:c r="D155" s="194"/>
      <x:c r="E155" s="186" t="n">
        <x:v>45473</x:v>
      </x:c>
      <x:c r="F155" s="32" t="n">
        <x:f t="shared" si="2"/>
        <x:v>2</x:v>
      </x:c>
      <x:c r="G155" s="32" t="str">
        <x:v>Country</x:v>
      </x:c>
      <x:c r="H155" s="32" t="str">
        <x:v>Member</x:v>
      </x:c>
      <x:c r="I155" s="35" t="str">
        <x:v>Universal</x:v>
      </x:c>
      <x:c r="J155" s="151" t="str">
        <x:v>No comparable voting measure in source</x:v>
      </x:c>
      <x:c r="K155" s="196"/>
      <x:c r="L155" s="196"/>
    </x:row>
    <x:row r="156">
      <x:c r="A156" s="26" t="str">
        <x:v>Côte d’Ivoire</x:v>
      </x:c>
      <x:c r="B156" s="27" t="str">
        <x:v>aiib</x:v>
      </x:c>
      <x:c r="C156" s="193" t="n">
        <x:v>0.005152923304920114</x:v>
      </x:c>
      <x:c r="D156" s="193"/>
      <x:c r="E156" s="185" t="n">
        <x:v>45473</x:v>
      </x:c>
      <x:c r="F156" s="27" t="n">
        <x:f t="shared" si="2"/>
        <x:v>4</x:v>
      </x:c>
      <x:c r="G156" s="27" t="str">
        <x:v>Country</x:v>
      </x:c>
      <x:c r="H156" s="27" t="str">
        <x:v>Member</x:v>
      </x:c>
      <x:c r="I156" s="30" t="str">
        <x:v>Universal</x:v>
      </x:c>
      <x:c r="J156" s="151" t="str">
        <x:v>No comparable voting measure in source</x:v>
      </x:c>
      <x:c r="K156" s="196"/>
      <x:c r="L156" s="196"/>
    </x:row>
    <x:row r="157">
      <x:c r="A157" s="31" t="str">
        <x:v>Croatia</x:v>
      </x:c>
      <x:c r="B157" s="32" t="str">
        <x:v>aiib</x:v>
      </x:c>
      <x:c r="C157" s="194" t="n">
        <x:v>0.005152923304920114</x:v>
      </x:c>
      <x:c r="D157" s="194"/>
      <x:c r="E157" s="186" t="n">
        <x:v>45473</x:v>
      </x:c>
      <x:c r="F157" s="32" t="n">
        <x:f t="shared" si="2"/>
        <x:v>6</x:v>
      </x:c>
      <x:c r="G157" s="32" t="str">
        <x:v>Country</x:v>
      </x:c>
      <x:c r="H157" s="32" t="str">
        <x:v>Member</x:v>
      </x:c>
      <x:c r="I157" s="35" t="str">
        <x:v>Universal</x:v>
      </x:c>
      <x:c r="J157" s="151" t="str">
        <x:v>No comparable voting measure in source</x:v>
      </x:c>
      <x:c r="K157" s="196"/>
      <x:c r="L157" s="196"/>
    </x:row>
    <x:row r="158">
      <x:c r="A158" s="26" t="str">
        <x:v>Cyprus</x:v>
      </x:c>
      <x:c r="B158" s="27" t="str">
        <x:v>aiib</x:v>
      </x:c>
      <x:c r="C158" s="193" t="n">
        <x:v>0.020611693219680455</x:v>
      </x:c>
      <x:c r="D158" s="193"/>
      <x:c r="E158" s="185" t="n">
        <x:v>45473</x:v>
      </x:c>
      <x:c r="F158" s="27" t="n">
        <x:f t="shared" si="2"/>
        <x:v>5</x:v>
      </x:c>
      <x:c r="G158" s="27" t="str">
        <x:v>Country</x:v>
      </x:c>
      <x:c r="H158" s="27" t="str">
        <x:v>Member</x:v>
      </x:c>
      <x:c r="I158" s="30" t="str">
        <x:v>Universal</x:v>
      </x:c>
      <x:c r="J158" s="151" t="str">
        <x:v>No comparable voting measure in source</x:v>
      </x:c>
      <x:c r="K158" s="196"/>
      <x:c r="L158" s="196"/>
    </x:row>
    <x:row r="159">
      <x:c r="A159" s="31" t="str">
        <x:v>Denmark</x:v>
      </x:c>
      <x:c r="B159" s="32" t="str">
        <x:v>aiib</x:v>
      </x:c>
      <x:c r="C159" s="194" t="n">
        <x:v>0.38080103223359646</x:v>
      </x:c>
      <x:c r="D159" s="194"/>
      <x:c r="E159" s="186" t="n">
        <x:v>45473</x:v>
      </x:c>
      <x:c r="F159" s="32" t="n">
        <x:f t="shared" si="2"/>
        <x:v>8</x:v>
      </x:c>
      <x:c r="G159" s="32" t="str">
        <x:v>Country</x:v>
      </x:c>
      <x:c r="H159" s="32" t="str">
        <x:v>Member</x:v>
      </x:c>
      <x:c r="I159" s="35" t="str">
        <x:v>Universal</x:v>
      </x:c>
      <x:c r="J159" s="151" t="str">
        <x:v>No comparable voting measure in source</x:v>
      </x:c>
      <x:c r="K159" s="196"/>
      <x:c r="L159" s="196"/>
    </x:row>
    <x:row r="160">
      <x:c r="A160" s="26" t="str">
        <x:v>Ecuador</x:v>
      </x:c>
      <x:c r="B160" s="27" t="str">
        <x:v>aiib</x:v>
      </x:c>
      <x:c r="C160" s="193" t="n">
        <x:v>0.005152923304920114</x:v>
      </x:c>
      <x:c r="D160" s="193"/>
      <x:c r="E160" s="185" t="n">
        <x:v>45473</x:v>
      </x:c>
      <x:c r="F160" s="27" t="n">
        <x:f t="shared" si="2"/>
        <x:v>5</x:v>
      </x:c>
      <x:c r="G160" s="27" t="str">
        <x:v>Country</x:v>
      </x:c>
      <x:c r="H160" s="27" t="str">
        <x:v>Member</x:v>
      </x:c>
      <x:c r="I160" s="30" t="str">
        <x:v>Universal</x:v>
      </x:c>
      <x:c r="J160" s="151" t="str">
        <x:v>No comparable voting measure in source</x:v>
      </x:c>
      <x:c r="K160" s="196"/>
      <x:c r="L160" s="196"/>
    </x:row>
    <x:row r="161">
      <x:c r="A161" s="31" t="str">
        <x:v>Egypt</x:v>
      </x:c>
      <x:c r="B161" s="32" t="str">
        <x:v>aiib</x:v>
      </x:c>
      <x:c r="C161" s="194" t="n">
        <x:v>0.6703953219701069</x:v>
      </x:c>
      <x:c r="D161" s="194"/>
      <x:c r="E161" s="186" t="n">
        <x:v>45473</x:v>
      </x:c>
      <x:c r="F161" s="32" t="n">
        <x:f t="shared" si="2"/>
        <x:v>6</x:v>
      </x:c>
      <x:c r="G161" s="32" t="str">
        <x:v>Country</x:v>
      </x:c>
      <x:c r="H161" s="32" t="str">
        <x:v>Member</x:v>
      </x:c>
      <x:c r="I161" s="35" t="str">
        <x:v>Universal</x:v>
      </x:c>
      <x:c r="J161" s="151" t="str">
        <x:v>No comparable voting measure in source</x:v>
      </x:c>
      <x:c r="K161" s="196"/>
      <x:c r="L161" s="196"/>
    </x:row>
    <x:row r="162">
      <x:c r="A162" s="26" t="str">
        <x:v>Ethiopia</x:v>
      </x:c>
      <x:c r="B162" s="27" t="str">
        <x:v>aiib</x:v>
      </x:c>
      <x:c r="C162" s="193" t="n">
        <x:v>0.04720077747306825</x:v>
      </x:c>
      <x:c r="D162" s="193"/>
      <x:c r="E162" s="185" t="n">
        <x:v>45473</x:v>
      </x:c>
      <x:c r="F162" s="27" t="n">
        <x:f t="shared" si="2"/>
        <x:v>4</x:v>
      </x:c>
      <x:c r="G162" s="27" t="str">
        <x:v>Country</x:v>
      </x:c>
      <x:c r="H162" s="27" t="str">
        <x:v>Member</x:v>
      </x:c>
      <x:c r="I162" s="30" t="str">
        <x:v>Universal</x:v>
      </x:c>
      <x:c r="J162" s="151" t="str">
        <x:v>No comparable voting measure in source</x:v>
      </x:c>
      <x:c r="K162" s="196"/>
      <x:c r="L162" s="196"/>
    </x:row>
    <x:row r="163">
      <x:c r="A163" s="31" t="str">
        <x:v>Fiji</x:v>
      </x:c>
      <x:c r="B163" s="32" t="str">
        <x:v>aiib</x:v>
      </x:c>
      <x:c r="C163" s="194" t="n">
        <x:v>0.012882308262300286</x:v>
      </x:c>
      <x:c r="D163" s="194"/>
      <x:c r="E163" s="186" t="n">
        <x:v>45473</x:v>
      </x:c>
      <x:c r="F163" s="32" t="n">
        <x:f t="shared" si="2"/>
        <x:v>4</x:v>
      </x:c>
      <x:c r="G163" s="32" t="str">
        <x:v>Country</x:v>
      </x:c>
      <x:c r="H163" s="32" t="str">
        <x:v>Member</x:v>
      </x:c>
      <x:c r="I163" s="35" t="str">
        <x:v>Universal</x:v>
      </x:c>
      <x:c r="J163" s="151" t="str">
        <x:v>No comparable voting measure in source</x:v>
      </x:c>
      <x:c r="K163" s="196"/>
      <x:c r="L163" s="196"/>
    </x:row>
    <x:row r="164">
      <x:c r="A164" s="26" t="str">
        <x:v>Finland</x:v>
      </x:c>
      <x:c r="B164" s="27" t="str">
        <x:v>aiib</x:v>
      </x:c>
      <x:c r="C164" s="193" t="n">
        <x:v>0.3197904203033423</x:v>
      </x:c>
      <x:c r="D164" s="193"/>
      <x:c r="E164" s="185" t="n">
        <x:v>45473</x:v>
      </x:c>
      <x:c r="F164" s="27" t="n">
        <x:f t="shared" si="2"/>
        <x:v>8</x:v>
      </x:c>
      <x:c r="G164" s="27" t="str">
        <x:v>Country</x:v>
      </x:c>
      <x:c r="H164" s="27" t="str">
        <x:v>Member</x:v>
      </x:c>
      <x:c r="I164" s="30" t="str">
        <x:v>Universal</x:v>
      </x:c>
      <x:c r="J164" s="151" t="str">
        <x:v>No comparable voting measure in source</x:v>
      </x:c>
      <x:c r="K164" s="196"/>
      <x:c r="L164" s="196"/>
    </x:row>
    <x:row r="165">
      <x:c r="A165" s="31" t="str">
        <x:v>France</x:v>
      </x:c>
      <x:c r="B165" s="32" t="str">
        <x:v>aiib</x:v>
      </x:c>
      <x:c r="C165" s="194" t="n">
        <x:v>3.478841581617668</x:v>
      </x:c>
      <x:c r="D165" s="194"/>
      <x:c r="E165" s="186" t="n">
        <x:v>45473</x:v>
      </x:c>
      <x:c r="F165" s="32" t="n">
        <x:f t="shared" si="2"/>
        <x:v>8</x:v>
      </x:c>
      <x:c r="G165" s="32" t="str">
        <x:v>Country</x:v>
      </x:c>
      <x:c r="H165" s="32" t="str">
        <x:v>Member</x:v>
      </x:c>
      <x:c r="I165" s="35" t="str">
        <x:v>Universal</x:v>
      </x:c>
      <x:c r="J165" s="151" t="str">
        <x:v>No comparable voting measure in source</x:v>
      </x:c>
      <x:c r="K165" s="196"/>
      <x:c r="L165" s="196"/>
    </x:row>
    <x:row r="166">
      <x:c r="A166" s="26" t="str">
        <x:v>Georgia</x:v>
      </x:c>
      <x:c r="B166" s="27" t="str">
        <x:v>aiib</x:v>
      </x:c>
      <x:c r="C166" s="193" t="n">
        <x:v>0.05554851322703883</x:v>
      </x:c>
      <x:c r="D166" s="193"/>
      <x:c r="E166" s="185" t="n">
        <x:v>45473</x:v>
      </x:c>
      <x:c r="F166" s="27" t="n">
        <x:f t="shared" si="2"/>
        <x:v>5</x:v>
      </x:c>
      <x:c r="G166" s="27" t="str">
        <x:v>Country</x:v>
      </x:c>
      <x:c r="H166" s="27" t="str">
        <x:v>Member</x:v>
      </x:c>
      <x:c r="I166" s="30" t="str">
        <x:v>Universal</x:v>
      </x:c>
      <x:c r="J166" s="151" t="str">
        <x:v>No comparable voting measure in source</x:v>
      </x:c>
      <x:c r="K166" s="196"/>
      <x:c r="L166" s="196"/>
    </x:row>
    <x:row r="167">
      <x:c r="A167" s="31" t="str">
        <x:v>Germany</x:v>
      </x:c>
      <x:c r="B167" s="32" t="str">
        <x:v>aiib</x:v>
      </x:c>
      <x:c r="C167" s="194" t="n">
        <x:v>4.621347736784555</x:v>
      </x:c>
      <x:c r="D167" s="194"/>
      <x:c r="E167" s="186" t="n">
        <x:v>45473</x:v>
      </x:c>
      <x:c r="F167" s="32" t="n">
        <x:f t="shared" si="2"/>
        <x:v>9</x:v>
      </x:c>
      <x:c r="G167" s="32" t="str">
        <x:v>Country</x:v>
      </x:c>
      <x:c r="H167" s="32" t="str">
        <x:v>Member</x:v>
      </x:c>
      <x:c r="I167" s="35" t="str">
        <x:v>Universal</x:v>
      </x:c>
      <x:c r="J167" s="151" t="str">
        <x:v>No comparable voting measure in source</x:v>
      </x:c>
      <x:c r="K167" s="196"/>
      <x:c r="L167" s="196"/>
    </x:row>
    <x:row r="168">
      <x:c r="A168" s="26" t="str">
        <x:v>Ghana</x:v>
      </x:c>
      <x:c r="B168" s="27" t="str">
        <x:v>aiib</x:v>
      </x:c>
      <x:c r="C168" s="193" t="n">
        <x:v>0.005152923304920114</x:v>
      </x:c>
      <x:c r="D168" s="193"/>
      <x:c r="E168" s="185" t="n">
        <x:v>45473</x:v>
      </x:c>
      <x:c r="F168" s="27" t="n">
        <x:f t="shared" si="2"/>
        <x:v>4</x:v>
      </x:c>
      <x:c r="G168" s="27" t="str">
        <x:v>Country</x:v>
      </x:c>
      <x:c r="H168" s="27" t="str">
        <x:v>Member</x:v>
      </x:c>
      <x:c r="I168" s="30" t="str">
        <x:v>Universal</x:v>
      </x:c>
      <x:c r="J168" s="151" t="str">
        <x:v>No comparable voting measure in source</x:v>
      </x:c>
      <x:c r="K168" s="196"/>
      <x:c r="L168" s="196"/>
    </x:row>
    <x:row r="169">
      <x:c r="A169" s="31" t="str">
        <x:v>Greece</x:v>
      </x:c>
      <x:c r="B169" s="32" t="str">
        <x:v>aiib</x:v>
      </x:c>
      <x:c r="C169" s="194" t="n">
        <x:v>0.010305846609840227</x:v>
      </x:c>
      <x:c r="D169" s="194"/>
      <x:c r="E169" s="186" t="n">
        <x:v>45473</x:v>
      </x:c>
      <x:c r="F169" s="32" t="n">
        <x:f t="shared" si="2"/>
        <x:v>5</x:v>
      </x:c>
      <x:c r="G169" s="32" t="str">
        <x:v>Country</x:v>
      </x:c>
      <x:c r="H169" s="32" t="str">
        <x:v>Member</x:v>
      </x:c>
      <x:c r="I169" s="35" t="str">
        <x:v>Universal</x:v>
      </x:c>
      <x:c r="J169" s="151" t="str">
        <x:v>No comparable voting measure in source</x:v>
      </x:c>
      <x:c r="K169" s="196"/>
      <x:c r="L169" s="196"/>
    </x:row>
    <x:row r="170">
      <x:c r="A170" s="26" t="str">
        <x:v>Guinea</x:v>
      </x:c>
      <x:c r="B170" s="27" t="str">
        <x:v>aiib</x:v>
      </x:c>
      <x:c r="C170" s="193" t="n">
        <x:v>0.005152923304920114</x:v>
      </x:c>
      <x:c r="D170" s="193"/>
      <x:c r="E170" s="185" t="n">
        <x:v>45473</x:v>
      </x:c>
      <x:c r="F170" s="27" t="n">
        <x:f t="shared" si="2"/>
        <x:v>5</x:v>
      </x:c>
      <x:c r="G170" s="27" t="str">
        <x:v>Country</x:v>
      </x:c>
      <x:c r="H170" s="27" t="str">
        <x:v>Member</x:v>
      </x:c>
      <x:c r="I170" s="30" t="str">
        <x:v>Universal</x:v>
      </x:c>
      <x:c r="J170" s="151" t="str">
        <x:v>No comparable voting measure in source</x:v>
      </x:c>
      <x:c r="K170" s="196"/>
      <x:c r="L170" s="196"/>
    </x:row>
    <x:row r="171">
      <x:c r="A171" s="31" t="str">
        <x:v>Hong Kong, China</x:v>
      </x:c>
      <x:c r="B171" s="32" t="str">
        <x:v>aiib</x:v>
      </x:c>
      <x:c r="C171" s="194" t="n">
        <x:v>0.7885003241188758</x:v>
      </x:c>
      <x:c r="D171" s="194"/>
      <x:c r="E171" s="186" t="n">
        <x:v>45473</x:v>
      </x:c>
      <x:c r="F171" s="32" t="n">
        <x:f t="shared" si="2"/>
        <x:v>2</x:v>
      </x:c>
      <x:c r="G171" s="32" t="str">
        <x:v>Country</x:v>
      </x:c>
      <x:c r="H171" s="32" t="str">
        <x:v>Member</x:v>
      </x:c>
      <x:c r="I171" s="35" t="str">
        <x:v>Universal</x:v>
      </x:c>
      <x:c r="J171" s="151" t="str">
        <x:v>No comparable voting measure in source</x:v>
      </x:c>
      <x:c r="K171" s="196"/>
      <x:c r="L171" s="196"/>
    </x:row>
    <x:row r="172">
      <x:c r="A172" s="26" t="str">
        <x:v>Hungary</x:v>
      </x:c>
      <x:c r="B172" s="27" t="str">
        <x:v>aiib</x:v>
      </x:c>
      <x:c r="C172" s="193" t="n">
        <x:v>0.10305846609840229</x:v>
      </x:c>
      <x:c r="D172" s="193"/>
      <x:c r="E172" s="185" t="n">
        <x:v>45473</x:v>
      </x:c>
      <x:c r="F172" s="27" t="n">
        <x:f t="shared" si="2"/>
        <x:v>5</x:v>
      </x:c>
      <x:c r="G172" s="27" t="str">
        <x:v>Country</x:v>
      </x:c>
      <x:c r="H172" s="27" t="str">
        <x:v>Member</x:v>
      </x:c>
      <x:c r="I172" s="30" t="str">
        <x:v>Universal</x:v>
      </x:c>
      <x:c r="J172" s="151" t="str">
        <x:v>No comparable voting measure in source</x:v>
      </x:c>
      <x:c r="K172" s="196"/>
      <x:c r="L172" s="196"/>
    </x:row>
    <x:row r="173">
      <x:c r="A173" s="31" t="str">
        <x:v>Iceland</x:v>
      </x:c>
      <x:c r="B173" s="32" t="str">
        <x:v>aiib</x:v>
      </x:c>
      <x:c r="C173" s="194" t="n">
        <x:v>0.018138290033318804</x:v>
      </x:c>
      <x:c r="D173" s="194"/>
      <x:c r="E173" s="186" t="n">
        <x:v>45473</x:v>
      </x:c>
      <x:c r="F173" s="32" t="n">
        <x:f t="shared" si="2"/>
        <x:v>4</x:v>
      </x:c>
      <x:c r="G173" s="32" t="str">
        <x:v>Country</x:v>
      </x:c>
      <x:c r="H173" s="32" t="str">
        <x:v>Member</x:v>
      </x:c>
      <x:c r="I173" s="35" t="str">
        <x:v>Universal</x:v>
      </x:c>
      <x:c r="J173" s="151" t="str">
        <x:v>No comparable voting measure in source</x:v>
      </x:c>
      <x:c r="K173" s="196"/>
      <x:c r="L173" s="196"/>
    </x:row>
    <x:row r="174">
      <x:c r="A174" s="26" t="str">
        <x:v>India</x:v>
      </x:c>
      <x:c r="B174" s="27" t="str">
        <x:v>aiib</x:v>
      </x:c>
      <x:c r="C174" s="193" t="n">
        <x:v>8.623211033851614</x:v>
      </x:c>
      <x:c r="D174" s="193"/>
      <x:c r="E174" s="185" t="n">
        <x:v>45473</x:v>
      </x:c>
      <x:c r="F174" s="27" t="n">
        <x:f t="shared" si="2"/>
        <x:v>7</x:v>
      </x:c>
      <x:c r="G174" s="27" t="str">
        <x:v>Country</x:v>
      </x:c>
      <x:c r="H174" s="27" t="str">
        <x:v>Member</x:v>
      </x:c>
      <x:c r="I174" s="30" t="str">
        <x:v>Universal</x:v>
      </x:c>
      <x:c r="J174" s="151" t="str">
        <x:v>No comparable voting measure in source</x:v>
      </x:c>
      <x:c r="K174" s="196"/>
      <x:c r="L174" s="196"/>
    </x:row>
    <x:row r="175">
      <x:c r="A175" s="31" t="str">
        <x:v>Indonesia</x:v>
      </x:c>
      <x:c r="B175" s="32" t="str">
        <x:v>aiib</x:v>
      </x:c>
      <x:c r="C175" s="194" t="n">
        <x:v>3.4634858701690057</x:v>
      </x:c>
      <x:c r="D175" s="194"/>
      <x:c r="E175" s="186" t="n">
        <x:v>45473</x:v>
      </x:c>
      <x:c r="F175" s="32" t="n">
        <x:f t="shared" si="2"/>
        <x:v>5</x:v>
      </x:c>
      <x:c r="G175" s="32" t="str">
        <x:v>Country</x:v>
      </x:c>
      <x:c r="H175" s="32" t="str">
        <x:v>Member</x:v>
      </x:c>
      <x:c r="I175" s="35" t="str">
        <x:v>Universal</x:v>
      </x:c>
      <x:c r="J175" s="151" t="str">
        <x:v>No comparable voting measure in source</x:v>
      </x:c>
      <x:c r="K175" s="196"/>
      <x:c r="L175" s="196"/>
    </x:row>
    <x:row r="176">
      <x:c r="A176" s="26" t="str">
        <x:v>Iran</x:v>
      </x:c>
      <x:c r="B176" s="27" t="str">
        <x:v>aiib</x:v>
      </x:c>
      <x:c r="C176" s="193" t="n">
        <x:v>1.6291482320835433</x:v>
      </x:c>
      <x:c r="D176" s="193"/>
      <x:c r="E176" s="185" t="n">
        <x:v>45473</x:v>
      </x:c>
      <x:c r="F176" s="27" t="n">
        <x:f t="shared" si="2"/>
        <x:v>2</x:v>
      </x:c>
      <x:c r="G176" s="27" t="str">
        <x:v>Country</x:v>
      </x:c>
      <x:c r="H176" s="27" t="str">
        <x:v>Member</x:v>
      </x:c>
      <x:c r="I176" s="30" t="str">
        <x:v>Universal</x:v>
      </x:c>
      <x:c r="J176" s="151" t="str">
        <x:v>No comparable voting measure in source</x:v>
      </x:c>
      <x:c r="K176" s="196"/>
      <x:c r="L176" s="196"/>
    </x:row>
    <x:row r="177">
      <x:c r="A177" s="31" t="str">
        <x:v>Iraq</x:v>
      </x:c>
      <x:c r="B177" s="32" t="str">
        <x:v>aiib</x:v>
      </x:c>
      <x:c r="C177" s="194" t="n">
        <x:v>0.025764616524600572</x:v>
      </x:c>
      <x:c r="D177" s="194"/>
      <x:c r="E177" s="186" t="n">
        <x:v>45473</x:v>
      </x:c>
      <x:c r="F177" s="32" t="n">
        <x:f t="shared" si="2"/>
        <x:v>6</x:v>
      </x:c>
      <x:c r="G177" s="32" t="str">
        <x:v>Country</x:v>
      </x:c>
      <x:c r="H177" s="32" t="str">
        <x:v>Member</x:v>
      </x:c>
      <x:c r="I177" s="35" t="str">
        <x:v>Universal</x:v>
      </x:c>
      <x:c r="J177" s="151" t="str">
        <x:v>No comparable voting measure in source</x:v>
      </x:c>
      <x:c r="K177" s="196"/>
      <x:c r="L177" s="196"/>
    </x:row>
    <x:row r="178">
      <x:c r="A178" s="26" t="str">
        <x:v>Ireland</x:v>
      </x:c>
      <x:c r="B178" s="27" t="str">
        <x:v>aiib</x:v>
      </x:c>
      <x:c r="C178" s="193" t="n">
        <x:v>0.1353157659872022</x:v>
      </x:c>
      <x:c r="D178" s="193"/>
      <x:c r="E178" s="185" t="n">
        <x:v>45473</x:v>
      </x:c>
      <x:c r="F178" s="27" t="n">
        <x:f t="shared" si="2"/>
        <x:v>7</x:v>
      </x:c>
      <x:c r="G178" s="27" t="str">
        <x:v>Country</x:v>
      </x:c>
      <x:c r="H178" s="27" t="str">
        <x:v>Member</x:v>
      </x:c>
      <x:c r="I178" s="30" t="str">
        <x:v>Universal</x:v>
      </x:c>
      <x:c r="J178" s="151" t="str">
        <x:v>No comparable voting measure in source</x:v>
      </x:c>
      <x:c r="K178" s="196"/>
      <x:c r="L178" s="196"/>
    </x:row>
    <x:row r="179">
      <x:c r="A179" s="31" t="str">
        <x:v>Israel</x:v>
      </x:c>
      <x:c r="B179" s="32" t="str">
        <x:v>aiib</x:v>
      </x:c>
      <x:c r="C179" s="194" t="n">
        <x:v>0.7728354372719187</x:v>
      </x:c>
      <x:c r="D179" s="194"/>
      <x:c r="E179" s="186" t="n">
        <x:v>45473</x:v>
      </x:c>
      <x:c r="F179" s="32" t="n">
        <x:f t="shared" si="2"/>
        <x:v>5</x:v>
      </x:c>
      <x:c r="G179" s="32" t="str">
        <x:v>Country</x:v>
      </x:c>
      <x:c r="H179" s="32" t="str">
        <x:v>Member</x:v>
      </x:c>
      <x:c r="I179" s="35" t="str">
        <x:v>Universal</x:v>
      </x:c>
      <x:c r="J179" s="151" t="str">
        <x:v>No comparable voting measure in source</x:v>
      </x:c>
      <x:c r="K179" s="196"/>
      <x:c r="L179" s="196"/>
    </x:row>
    <x:row r="180">
      <x:c r="A180" s="26" t="str">
        <x:v>Italy</x:v>
      </x:c>
      <x:c r="B180" s="27" t="str">
        <x:v>aiib</x:v>
      </x:c>
      <x:c r="C180" s="193" t="n">
        <x:v>2.65045763111871</x:v>
      </x:c>
      <x:c r="D180" s="193"/>
      <x:c r="E180" s="185" t="n">
        <x:v>45473</x:v>
      </x:c>
      <x:c r="F180" s="27" t="n">
        <x:f t="shared" si="2"/>
        <x:v>9</x:v>
      </x:c>
      <x:c r="G180" s="27" t="str">
        <x:v>Country</x:v>
      </x:c>
      <x:c r="H180" s="27" t="str">
        <x:v>Member</x:v>
      </x:c>
      <x:c r="I180" s="30" t="str">
        <x:v>Universal</x:v>
      </x:c>
      <x:c r="J180" s="151" t="str">
        <x:v>No comparable voting measure in source</x:v>
      </x:c>
      <x:c r="K180" s="196"/>
      <x:c r="L180" s="196"/>
    </x:row>
    <x:row r="181">
      <x:c r="A181" s="31" t="str">
        <x:v>Jordan</x:v>
      </x:c>
      <x:c r="B181" s="32" t="str">
        <x:v>aiib</x:v>
      </x:c>
      <x:c r="C181" s="194" t="n">
        <x:v>0.12284569158929552</x:v>
      </x:c>
      <x:c r="D181" s="194"/>
      <x:c r="E181" s="186" t="n">
        <x:v>45473</x:v>
      </x:c>
      <x:c r="F181" s="32" t="n">
        <x:f t="shared" si="2"/>
        <x:v>6</x:v>
      </x:c>
      <x:c r="G181" s="32" t="str">
        <x:v>Country</x:v>
      </x:c>
      <x:c r="H181" s="32" t="str">
        <x:v>Member</x:v>
      </x:c>
      <x:c r="I181" s="35" t="str">
        <x:v>Universal</x:v>
      </x:c>
      <x:c r="J181" s="151" t="str">
        <x:v>No comparable voting measure in source</x:v>
      </x:c>
      <x:c r="K181" s="196"/>
      <x:c r="L181" s="196"/>
    </x:row>
    <x:row r="182">
      <x:c r="A182" s="26" t="str">
        <x:v>Kazakhstan</x:v>
      </x:c>
      <x:c r="B182" s="27" t="str">
        <x:v>aiib</x:v>
      </x:c>
      <x:c r="C182" s="193" t="n">
        <x:v>0.7516053932556478</x:v>
      </x:c>
      <x:c r="D182" s="193"/>
      <x:c r="E182" s="185" t="n">
        <x:v>45473</x:v>
      </x:c>
      <x:c r="F182" s="27" t="n">
        <x:f t="shared" si="2"/>
        <x:v>6</x:v>
      </x:c>
      <x:c r="G182" s="27" t="str">
        <x:v>Country</x:v>
      </x:c>
      <x:c r="H182" s="27" t="str">
        <x:v>Member</x:v>
      </x:c>
      <x:c r="I182" s="30" t="str">
        <x:v>Universal</x:v>
      </x:c>
      <x:c r="J182" s="151" t="str">
        <x:v>No comparable voting measure in source</x:v>
      </x:c>
      <x:c r="K182" s="196"/>
      <x:c r="L182" s="196"/>
    </x:row>
    <x:row r="183">
      <x:c r="A183" s="31" t="str">
        <x:v>Korea</x:v>
      </x:c>
      <x:c r="B183" s="32" t="str">
        <x:v>aiib</x:v>
      </x:c>
      <x:c r="C183" s="194" t="n">
        <x:v>3.853046872020966</x:v>
      </x:c>
      <x:c r="D183" s="194"/>
      <x:c r="E183" s="186" t="n">
        <x:v>45473</x:v>
      </x:c>
      <x:c r="F183" s="32" t="n">
        <x:f t="shared" si="2"/>
        <x:v>8</x:v>
      </x:c>
      <x:c r="G183" s="32" t="str">
        <x:v>Country</x:v>
      </x:c>
      <x:c r="H183" s="32" t="str">
        <x:v>Member</x:v>
      </x:c>
      <x:c r="I183" s="35" t="str">
        <x:v>Universal</x:v>
      </x:c>
      <x:c r="J183" s="151" t="str">
        <x:v>No comparable voting measure in source</x:v>
      </x:c>
      <x:c r="K183" s="196"/>
      <x:c r="L183" s="196"/>
    </x:row>
    <x:row r="184">
      <x:c r="A184" s="26" t="str">
        <x:v>Kyrgyz Republic</x:v>
      </x:c>
      <x:c r="B184" s="27" t="str">
        <x:v>aiib</x:v>
      </x:c>
      <x:c r="C184" s="193" t="n">
        <x:v>0.027619668914371814</x:v>
      </x:c>
      <x:c r="D184" s="193"/>
      <x:c r="E184" s="185" t="n">
        <x:v>45473</x:v>
      </x:c>
      <x:c r="F184" s="27" t="n">
        <x:f t="shared" si="2"/>
        <x:v>6</x:v>
      </x:c>
      <x:c r="G184" s="27" t="str">
        <x:v>Country</x:v>
      </x:c>
      <x:c r="H184" s="27" t="str">
        <x:v>Member</x:v>
      </x:c>
      <x:c r="I184" s="30" t="str">
        <x:v>Universal</x:v>
      </x:c>
      <x:c r="J184" s="151" t="str">
        <x:v>No comparable voting measure in source</x:v>
      </x:c>
      <x:c r="K184" s="196"/>
      <x:c r="L184" s="196"/>
    </x:row>
    <x:row r="185">
      <x:c r="A185" s="31" t="str">
        <x:v>Lao PDR</x:v>
      </x:c>
      <x:c r="B185" s="32" t="str">
        <x:v>aiib</x:v>
      </x:c>
      <x:c r="C185" s="194" t="n">
        <x:v>0.04431514042231298</x:v>
      </x:c>
      <x:c r="D185" s="194"/>
      <x:c r="E185" s="186" t="n">
        <x:v>45473</x:v>
      </x:c>
      <x:c r="F185" s="32" t="n">
        <x:f t="shared" si="2"/>
        <x:v>1</x:v>
      </x:c>
      <x:c r="G185" s="32" t="str">
        <x:v>Country</x:v>
      </x:c>
      <x:c r="H185" s="32" t="str">
        <x:v>Member</x:v>
      </x:c>
      <x:c r="I185" s="35" t="str">
        <x:v>Universal</x:v>
      </x:c>
      <x:c r="J185" s="151" t="str">
        <x:v>No comparable voting measure in source</x:v>
      </x:c>
      <x:c r="K185" s="196"/>
      <x:c r="L185" s="196"/>
    </x:row>
    <x:row r="186">
      <x:c r="A186" s="26" t="str">
        <x:v>Liberia</x:v>
      </x:c>
      <x:c r="B186" s="27" t="str">
        <x:v>aiib</x:v>
      </x:c>
      <x:c r="C186" s="193" t="n">
        <x:v>0.005152923304920114</x:v>
      </x:c>
      <x:c r="D186" s="193"/>
      <x:c r="E186" s="185" t="n">
        <x:v>45473</x:v>
      </x:c>
      <x:c r="F186" s="27" t="n">
        <x:f t="shared" si="2"/>
        <x:v>4</x:v>
      </x:c>
      <x:c r="G186" s="27" t="str">
        <x:v>Country</x:v>
      </x:c>
      <x:c r="H186" s="27" t="str">
        <x:v>Member</x:v>
      </x:c>
      <x:c r="I186" s="30" t="str">
        <x:v>Universal</x:v>
      </x:c>
      <x:c r="J186" s="151" t="str">
        <x:v>No comparable voting measure in source</x:v>
      </x:c>
      <x:c r="K186" s="196"/>
      <x:c r="L186" s="196"/>
    </x:row>
    <x:row r="187">
      <x:c r="A187" s="31" t="str">
        <x:v>Libya</x:v>
      </x:c>
      <x:c r="B187" s="32" t="str">
        <x:v>aiib</x:v>
      </x:c>
      <x:c r="C187" s="194" t="n">
        <x:v>0.0542087531677596</x:v>
      </x:c>
      <x:c r="D187" s="194"/>
      <x:c r="E187" s="186" t="n">
        <x:v>45473</x:v>
      </x:c>
      <x:c r="F187" s="32" t="n">
        <x:f t="shared" si="2"/>
        <x:v>7</x:v>
      </x:c>
      <x:c r="G187" s="32" t="str">
        <x:v>Country</x:v>
      </x:c>
      <x:c r="H187" s="32" t="str">
        <x:v>Member</x:v>
      </x:c>
      <x:c r="I187" s="35" t="str">
        <x:v>Universal</x:v>
      </x:c>
      <x:c r="J187" s="151" t="str">
        <x:v>No comparable voting measure in source</x:v>
      </x:c>
      <x:c r="K187" s="196"/>
      <x:c r="L187" s="196"/>
    </x:row>
    <x:row r="188">
      <x:c r="A188" s="26" t="str">
        <x:v>Luxembourg</x:v>
      </x:c>
      <x:c r="B188" s="27" t="str">
        <x:v>aiib</x:v>
      </x:c>
      <x:c r="C188" s="193" t="n">
        <x:v>0.0718317508705864</x:v>
      </x:c>
      <x:c r="D188" s="193"/>
      <x:c r="E188" s="185" t="n">
        <x:v>45473</x:v>
      </x:c>
      <x:c r="F188" s="27" t="n">
        <x:f t="shared" si="2"/>
        <x:v>7</x:v>
      </x:c>
      <x:c r="G188" s="27" t="str">
        <x:v>Country</x:v>
      </x:c>
      <x:c r="H188" s="27" t="str">
        <x:v>Member</x:v>
      </x:c>
      <x:c r="I188" s="30" t="str">
        <x:v>Universal</x:v>
      </x:c>
      <x:c r="J188" s="151" t="str">
        <x:v>No comparable voting measure in source</x:v>
      </x:c>
      <x:c r="K188" s="196"/>
      <x:c r="L188" s="196"/>
    </x:row>
    <x:row r="189">
      <x:c r="A189" s="31" t="str">
        <x:v>Madagascar</x:v>
      </x:c>
      <x:c r="B189" s="32" t="str">
        <x:v>aiib</x:v>
      </x:c>
      <x:c r="C189" s="194" t="n">
        <x:v>0.005152923304920114</x:v>
      </x:c>
      <x:c r="D189" s="194"/>
      <x:c r="E189" s="186" t="n">
        <x:v>45473</x:v>
      </x:c>
      <x:c r="F189" s="32" t="n">
        <x:f t="shared" si="2"/>
        <x:v>4</x:v>
      </x:c>
      <x:c r="G189" s="32" t="str">
        <x:v>Country</x:v>
      </x:c>
      <x:c r="H189" s="32" t="str">
        <x:v>Member</x:v>
      </x:c>
      <x:c r="I189" s="35" t="str">
        <x:v>Universal</x:v>
      </x:c>
      <x:c r="J189" s="151" t="str">
        <x:v>No comparable voting measure in source</x:v>
      </x:c>
      <x:c r="K189" s="196"/>
      <x:c r="L189" s="196"/>
    </x:row>
    <x:row r="190">
      <x:c r="A190" s="26" t="str">
        <x:v>Malaysia</x:v>
      </x:c>
      <x:c r="B190" s="27" t="str">
        <x:v>aiib</x:v>
      </x:c>
      <x:c r="C190" s="193" t="n">
        <x:v>0.1128490203777505</x:v>
      </x:c>
      <x:c r="D190" s="193"/>
      <x:c r="E190" s="185" t="n">
        <x:v>45473</x:v>
      </x:c>
      <x:c r="F190" s="27" t="n">
        <x:f t="shared" si="2"/>
        <x:v>5</x:v>
      </x:c>
      <x:c r="G190" s="27" t="str">
        <x:v>Country</x:v>
      </x:c>
      <x:c r="H190" s="27" t="str">
        <x:v>Member</x:v>
      </x:c>
      <x:c r="I190" s="30" t="str">
        <x:v>Universal</x:v>
      </x:c>
      <x:c r="J190" s="151" t="str">
        <x:v>No comparable voting measure in source</x:v>
      </x:c>
      <x:c r="K190" s="196"/>
      <x:c r="L190" s="196"/>
    </x:row>
    <x:row r="191">
      <x:c r="A191" s="31" t="str">
        <x:v>Maldives</x:v>
      </x:c>
      <x:c r="B191" s="32" t="str">
        <x:v>aiib</x:v>
      </x:c>
      <x:c r="C191" s="194" t="n">
        <x:v>0.007420209559084964</x:v>
      </x:c>
      <x:c r="D191" s="194"/>
      <x:c r="E191" s="186" t="n">
        <x:v>45473</x:v>
      </x:c>
      <x:c r="F191" s="32" t="n">
        <x:f t="shared" si="2"/>
        <x:v>5</x:v>
      </x:c>
      <x:c r="G191" s="32" t="str">
        <x:v>Country</x:v>
      </x:c>
      <x:c r="H191" s="32" t="str">
        <x:v>Member</x:v>
      </x:c>
      <x:c r="I191" s="35" t="str">
        <x:v>Universal</x:v>
      </x:c>
      <x:c r="J191" s="151" t="str">
        <x:v>No comparable voting measure in source</x:v>
      </x:c>
      <x:c r="K191" s="196"/>
      <x:c r="L191" s="196"/>
    </x:row>
    <x:row r="192">
      <x:c r="A192" s="26" t="str">
        <x:v>Malta</x:v>
      </x:c>
      <x:c r="B192" s="27" t="str">
        <x:v>aiib</x:v>
      </x:c>
      <x:c r="C192" s="193" t="n">
        <x:v>0.014015951389382709</x:v>
      </x:c>
      <x:c r="D192" s="193"/>
      <x:c r="E192" s="185" t="n">
        <x:v>45473</x:v>
      </x:c>
      <x:c r="F192" s="27" t="n">
        <x:f t="shared" si="2"/>
        <x:v>5</x:v>
      </x:c>
      <x:c r="G192" s="27" t="str">
        <x:v>Country</x:v>
      </x:c>
      <x:c r="H192" s="27" t="str">
        <x:v>Member</x:v>
      </x:c>
      <x:c r="I192" s="30" t="str">
        <x:v>Universal</x:v>
      </x:c>
      <x:c r="J192" s="151" t="str">
        <x:v>No comparable voting measure in source</x:v>
      </x:c>
      <x:c r="K192" s="196"/>
      <x:c r="L192" s="196"/>
    </x:row>
    <x:row r="193">
      <x:c r="A193" s="31" t="str">
        <x:v>Mongolia</x:v>
      </x:c>
      <x:c r="B193" s="32" t="str">
        <x:v>aiib</x:v>
      </x:c>
      <x:c r="C193" s="194" t="n">
        <x:v>0.04235702956644334</x:v>
      </x:c>
      <x:c r="D193" s="194"/>
      <x:c r="E193" s="186" t="n">
        <x:v>45473</x:v>
      </x:c>
      <x:c r="F193" s="32" t="n">
        <x:f t="shared" si="2"/>
        <x:v>5</x:v>
      </x:c>
      <x:c r="G193" s="32" t="str">
        <x:v>Country</x:v>
      </x:c>
      <x:c r="H193" s="32" t="str">
        <x:v>Member</x:v>
      </x:c>
      <x:c r="I193" s="35" t="str">
        <x:v>Universal</x:v>
      </x:c>
      <x:c r="J193" s="151" t="str">
        <x:v>No comparable voting measure in source</x:v>
      </x:c>
      <x:c r="K193" s="196"/>
      <x:c r="L193" s="196"/>
    </x:row>
    <x:row r="194">
      <x:c r="A194" s="26" t="str">
        <x:v>Morocco</x:v>
      </x:c>
      <x:c r="B194" s="27" t="str">
        <x:v>aiib</x:v>
      </x:c>
      <x:c r="C194" s="193" t="n">
        <x:v>0.005152923304920114</x:v>
      </x:c>
      <x:c r="D194" s="193"/>
      <x:c r="E194" s="185" t="n">
        <x:v>45473</x:v>
      </x:c>
      <x:c r="F194" s="27" t="n">
        <x:f t="shared" si="2"/>
        <x:v>7</x:v>
      </x:c>
      <x:c r="G194" s="27" t="str">
        <x:v>Country</x:v>
      </x:c>
      <x:c r="H194" s="27" t="str">
        <x:v>Member</x:v>
      </x:c>
      <x:c r="I194" s="30" t="str">
        <x:v>Universal</x:v>
      </x:c>
      <x:c r="J194" s="151" t="str">
        <x:v>No comparable voting measure in source</x:v>
      </x:c>
      <x:c r="K194" s="196"/>
      <x:c r="L194" s="196"/>
    </x:row>
    <x:row r="195">
      <x:c r="A195" s="31" t="str">
        <x:v>Myanmar</x:v>
      </x:c>
      <x:c r="B195" s="32" t="str">
        <x:v>aiib</x:v>
      </x:c>
      <x:c r="C195" s="194" t="n">
        <x:v>0.27258964283027404</x:v>
      </x:c>
      <x:c r="D195" s="194"/>
      <x:c r="E195" s="186" t="n">
        <x:v>45473</x:v>
      </x:c>
      <x:c r="F195" s="32" t="n">
        <x:f t="shared" ref="F195:F258" si="3">COUNTIF(A195:A1226,A195)</x:f>
        <x:v>3</x:v>
      </x:c>
      <x:c r="G195" s="32" t="str">
        <x:v>Country</x:v>
      </x:c>
      <x:c r="H195" s="32" t="str">
        <x:v>Member</x:v>
      </x:c>
      <x:c r="I195" s="35" t="str">
        <x:v>Universal</x:v>
      </x:c>
      <x:c r="J195" s="151" t="str">
        <x:v>No comparable voting measure in source</x:v>
      </x:c>
      <x:c r="K195" s="196"/>
      <x:c r="L195" s="196"/>
    </x:row>
    <x:row r="196">
      <x:c r="A196" s="26" t="str">
        <x:v>Nepal</x:v>
      </x:c>
      <x:c r="B196" s="27" t="str">
        <x:v>aiib</x:v>
      </x:c>
      <x:c r="C196" s="193" t="n">
        <x:v>0.08337429907360745</x:v>
      </x:c>
      <x:c r="D196" s="193"/>
      <x:c r="E196" s="185" t="n">
        <x:v>45473</x:v>
      </x:c>
      <x:c r="F196" s="27" t="n">
        <x:f t="shared" si="3"/>
        <x:v>4</x:v>
      </x:c>
      <x:c r="G196" s="27" t="str">
        <x:v>Country</x:v>
      </x:c>
      <x:c r="H196" s="27" t="str">
        <x:v>Member</x:v>
      </x:c>
      <x:c r="I196" s="30" t="str">
        <x:v>Universal</x:v>
      </x:c>
      <x:c r="J196" s="151" t="str">
        <x:v>No comparable voting measure in source</x:v>
      </x:c>
      <x:c r="K196" s="196"/>
      <x:c r="L196" s="196"/>
    </x:row>
    <x:row r="197">
      <x:c r="A197" s="31" t="str">
        <x:v>Netherlands</x:v>
      </x:c>
      <x:c r="B197" s="32" t="str">
        <x:v>aiib</x:v>
      </x:c>
      <x:c r="C197" s="194" t="n">
        <x:v>1.0628419608728228</x:v>
      </x:c>
      <x:c r="D197" s="194"/>
      <x:c r="E197" s="186" t="n">
        <x:v>45473</x:v>
      </x:c>
      <x:c r="F197" s="32" t="n">
        <x:f t="shared" si="3"/>
        <x:v>8</x:v>
      </x:c>
      <x:c r="G197" s="32" t="str">
        <x:v>Country</x:v>
      </x:c>
      <x:c r="H197" s="32" t="str">
        <x:v>Member</x:v>
      </x:c>
      <x:c r="I197" s="35" t="str">
        <x:v>Universal</x:v>
      </x:c>
      <x:c r="J197" s="151" t="str">
        <x:v>No comparable voting measure in source</x:v>
      </x:c>
      <x:c r="K197" s="196"/>
      <x:c r="L197" s="196"/>
    </x:row>
    <x:row r="198">
      <x:c r="A198" s="26" t="str">
        <x:v>New Zealand</x:v>
      </x:c>
      <x:c r="B198" s="27" t="str">
        <x:v>aiib</x:v>
      </x:c>
      <x:c r="C198" s="193" t="n">
        <x:v>0.4756148210441265</x:v>
      </x:c>
      <x:c r="D198" s="193"/>
      <x:c r="E198" s="185" t="n">
        <x:v>45473</x:v>
      </x:c>
      <x:c r="F198" s="27" t="n">
        <x:f t="shared" si="3"/>
        <x:v>5</x:v>
      </x:c>
      <x:c r="G198" s="27" t="str">
        <x:v>Country</x:v>
      </x:c>
      <x:c r="H198" s="27" t="str">
        <x:v>Member</x:v>
      </x:c>
      <x:c r="I198" s="30" t="str">
        <x:v>Universal</x:v>
      </x:c>
      <x:c r="J198" s="151" t="str">
        <x:v>No comparable voting measure in source</x:v>
      </x:c>
      <x:c r="K198" s="196"/>
      <x:c r="L198" s="196"/>
    </x:row>
    <x:row r="199">
      <x:c r="A199" s="31" t="str">
        <x:v>Norway</x:v>
      </x:c>
      <x:c r="B199" s="32" t="str">
        <x:v>aiib</x:v>
      </x:c>
      <x:c r="C199" s="194" t="n">
        <x:v>0.567439914337803</x:v>
      </x:c>
      <x:c r="D199" s="194"/>
      <x:c r="E199" s="186" t="n">
        <x:v>45473</x:v>
      </x:c>
      <x:c r="F199" s="32" t="n">
        <x:f t="shared" si="3"/>
        <x:v>7</x:v>
      </x:c>
      <x:c r="G199" s="32" t="str">
        <x:v>Country</x:v>
      </x:c>
      <x:c r="H199" s="32" t="str">
        <x:v>Member</x:v>
      </x:c>
      <x:c r="I199" s="35" t="str">
        <x:v>Universal</x:v>
      </x:c>
      <x:c r="J199" s="151" t="str">
        <x:v>No comparable voting measure in source</x:v>
      </x:c>
      <x:c r="K199" s="196"/>
      <x:c r="L199" s="196"/>
    </x:row>
    <x:row r="200">
      <x:c r="A200" s="26" t="str">
        <x:v>Oman</x:v>
      </x:c>
      <x:c r="B200" s="27" t="str">
        <x:v>aiib</x:v>
      </x:c>
      <x:c r="C200" s="193" t="n">
        <x:v>0.26712754412705875</x:v>
      </x:c>
      <x:c r="D200" s="193"/>
      <x:c r="E200" s="185" t="n">
        <x:v>45473</x:v>
      </x:c>
      <x:c r="F200" s="27" t="n">
        <x:f t="shared" si="3"/>
        <x:v>5</x:v>
      </x:c>
      <x:c r="G200" s="27" t="str">
        <x:v>Country</x:v>
      </x:c>
      <x:c r="H200" s="27" t="str">
        <x:v>Member</x:v>
      </x:c>
      <x:c r="I200" s="30" t="str">
        <x:v>Universal</x:v>
      </x:c>
      <x:c r="J200" s="151" t="str">
        <x:v>No comparable voting measure in source</x:v>
      </x:c>
      <x:c r="K200" s="196"/>
      <x:c r="L200" s="196"/>
    </x:row>
    <x:row r="201">
      <x:c r="A201" s="31" t="str">
        <x:v>Pakistan</x:v>
      </x:c>
      <x:c r="B201" s="32" t="str">
        <x:v>aiib</x:v>
      </x:c>
      <x:c r="C201" s="194" t="n">
        <x:v>1.065727597923578</x:v>
      </x:c>
      <x:c r="D201" s="194"/>
      <x:c r="E201" s="186" t="n">
        <x:v>45473</x:v>
      </x:c>
      <x:c r="F201" s="32" t="n">
        <x:f t="shared" si="3"/>
        <x:v>5</x:v>
      </x:c>
      <x:c r="G201" s="32" t="str">
        <x:v>Country</x:v>
      </x:c>
      <x:c r="H201" s="32" t="str">
        <x:v>Member</x:v>
      </x:c>
      <x:c r="I201" s="35" t="str">
        <x:v>Universal</x:v>
      </x:c>
      <x:c r="J201" s="151" t="str">
        <x:v>No comparable voting measure in source</x:v>
      </x:c>
      <x:c r="K201" s="196"/>
      <x:c r="L201" s="196"/>
    </x:row>
    <x:row r="202">
      <x:c r="A202" s="26" t="str">
        <x:v>Papua New Guinea</x:v>
      </x:c>
      <x:c r="B202" s="27" t="str">
        <x:v>aiib</x:v>
      </x:c>
      <x:c r="C202" s="193" t="n">
        <x:v>0.005152923304920114</x:v>
      </x:c>
      <x:c r="D202" s="193"/>
      <x:c r="E202" s="185" t="n">
        <x:v>45473</x:v>
      </x:c>
      <x:c r="F202" s="27" t="n">
        <x:f t="shared" si="3"/>
        <x:v>4</x:v>
      </x:c>
      <x:c r="G202" s="27" t="str">
        <x:v>Country</x:v>
      </x:c>
      <x:c r="H202" s="27" t="str">
        <x:v>Member</x:v>
      </x:c>
      <x:c r="I202" s="30" t="str">
        <x:v>Universal</x:v>
      </x:c>
      <x:c r="J202" s="151" t="str">
        <x:v>No comparable voting measure in source</x:v>
      </x:c>
      <x:c r="K202" s="196"/>
      <x:c r="L202" s="196"/>
    </x:row>
    <x:row r="203">
      <x:c r="A203" s="31" t="str">
        <x:v>Peru</x:v>
      </x:c>
      <x:c r="B203" s="32" t="str">
        <x:v>aiib</x:v>
      </x:c>
      <x:c r="C203" s="194" t="n">
        <x:v>0.15932838858812992</x:v>
      </x:c>
      <x:c r="D203" s="194"/>
      <x:c r="E203" s="186" t="n">
        <x:v>45473</x:v>
      </x:c>
      <x:c r="F203" s="32" t="n">
        <x:f t="shared" si="3"/>
        <x:v>5</x:v>
      </x:c>
      <x:c r="G203" s="32" t="str">
        <x:v>Country</x:v>
      </x:c>
      <x:c r="H203" s="32" t="str">
        <x:v>Member</x:v>
      </x:c>
      <x:c r="I203" s="35" t="str">
        <x:v>Universal</x:v>
      </x:c>
      <x:c r="J203" s="151" t="str">
        <x:v>No comparable voting measure in source</x:v>
      </x:c>
      <x:c r="K203" s="196"/>
      <x:c r="L203" s="196"/>
    </x:row>
    <x:row r="204">
      <x:c r="A204" s="26" t="str">
        <x:v>Philippines</x:v>
      </x:c>
      <x:c r="B204" s="27" t="str">
        <x:v>aiib</x:v>
      </x:c>
      <x:c r="C204" s="193" t="n">
        <x:v>1.0090454415694567</x:v>
      </x:c>
      <x:c r="D204" s="193"/>
      <x:c r="E204" s="185" t="n">
        <x:v>45473</x:v>
      </x:c>
      <x:c r="F204" s="27" t="n">
        <x:f t="shared" si="3"/>
        <x:v>4</x:v>
      </x:c>
      <x:c r="G204" s="27" t="str">
        <x:v>Country</x:v>
      </x:c>
      <x:c r="H204" s="27" t="str">
        <x:v>Member</x:v>
      </x:c>
      <x:c r="I204" s="30" t="str">
        <x:v>Universal</x:v>
      </x:c>
      <x:c r="J204" s="151" t="str">
        <x:v>No comparable voting measure in source</x:v>
      </x:c>
      <x:c r="K204" s="196"/>
      <x:c r="L204" s="196"/>
    </x:row>
    <x:row r="205">
      <x:c r="A205" s="31" t="str">
        <x:v>Poland</x:v>
      </x:c>
      <x:c r="B205" s="32" t="str">
        <x:v>aiib</x:v>
      </x:c>
      <x:c r="C205" s="194" t="n">
        <x:v>0.8572403210065102</x:v>
      </x:c>
      <x:c r="D205" s="194"/>
      <x:c r="E205" s="186" t="n">
        <x:v>45473</x:v>
      </x:c>
      <x:c r="F205" s="32" t="n">
        <x:f t="shared" si="3"/>
        <x:v>5</x:v>
      </x:c>
      <x:c r="G205" s="32" t="str">
        <x:v>Country</x:v>
      </x:c>
      <x:c r="H205" s="32" t="str">
        <x:v>Member</x:v>
      </x:c>
      <x:c r="I205" s="35" t="str">
        <x:v>Universal</x:v>
      </x:c>
      <x:c r="J205" s="151" t="str">
        <x:v>No comparable voting measure in source</x:v>
      </x:c>
      <x:c r="K205" s="196"/>
      <x:c r="L205" s="196"/>
    </x:row>
    <x:row r="206">
      <x:c r="A206" s="26" t="str">
        <x:v>Portugal</x:v>
      </x:c>
      <x:c r="B206" s="27" t="str">
        <x:v>aiib</x:v>
      </x:c>
      <x:c r="C206" s="193" t="n">
        <x:v>0.06698800296396148</x:v>
      </x:c>
      <x:c r="D206" s="193"/>
      <x:c r="E206" s="185" t="n">
        <x:v>45473</x:v>
      </x:c>
      <x:c r="F206" s="27" t="n">
        <x:f t="shared" si="3"/>
        <x:v>9</x:v>
      </x:c>
      <x:c r="G206" s="27" t="str">
        <x:v>Country</x:v>
      </x:c>
      <x:c r="H206" s="27" t="str">
        <x:v>Member</x:v>
      </x:c>
      <x:c r="I206" s="30" t="str">
        <x:v>Universal</x:v>
      </x:c>
      <x:c r="J206" s="151" t="str">
        <x:v>No comparable voting measure in source</x:v>
      </x:c>
      <x:c r="K206" s="196"/>
      <x:c r="L206" s="196"/>
    </x:row>
    <x:row r="207">
      <x:c r="A207" s="31" t="str">
        <x:v>Qatar</x:v>
      </x:c>
      <x:c r="B207" s="32" t="str">
        <x:v>aiib</x:v>
      </x:c>
      <x:c r="C207" s="194" t="n">
        <x:v>0.6228853690987435</x:v>
      </x:c>
      <x:c r="D207" s="194"/>
      <x:c r="E207" s="186" t="n">
        <x:v>45473</x:v>
      </x:c>
      <x:c r="F207" s="32" t="n">
        <x:f t="shared" si="3"/>
        <x:v>5</x:v>
      </x:c>
      <x:c r="G207" s="32" t="str">
        <x:v>Country</x:v>
      </x:c>
      <x:c r="H207" s="32" t="str">
        <x:v>Member</x:v>
      </x:c>
      <x:c r="I207" s="35" t="str">
        <x:v>Universal</x:v>
      </x:c>
      <x:c r="J207" s="151" t="str">
        <x:v>No comparable voting measure in source</x:v>
      </x:c>
      <x:c r="K207" s="196"/>
      <x:c r="L207" s="196"/>
    </x:row>
    <x:row r="208">
      <x:c r="A208" s="26" t="str">
        <x:v>Romania</x:v>
      </x:c>
      <x:c r="B208" s="27" t="str">
        <x:v>aiib</x:v>
      </x:c>
      <x:c r="C208" s="193" t="n">
        <x:v>0.1576794531305555</x:v>
      </x:c>
      <x:c r="D208" s="193"/>
      <x:c r="E208" s="185" t="n">
        <x:v>45473</x:v>
      </x:c>
      <x:c r="F208" s="27" t="n">
        <x:f t="shared" si="3"/>
        <x:v>5</x:v>
      </x:c>
      <x:c r="G208" s="27" t="str">
        <x:v>Country</x:v>
      </x:c>
      <x:c r="H208" s="27" t="str">
        <x:v>Member</x:v>
      </x:c>
      <x:c r="I208" s="30" t="str">
        <x:v>Universal</x:v>
      </x:c>
      <x:c r="J208" s="151" t="str">
        <x:v>No comparable voting measure in source</x:v>
      </x:c>
      <x:c r="K208" s="196"/>
      <x:c r="L208" s="196"/>
    </x:row>
    <x:row r="209">
      <x:c r="A209" s="31" t="str">
        <x:v>Russia</x:v>
      </x:c>
      <x:c r="B209" s="32" t="str">
        <x:v>aiib</x:v>
      </x:c>
      <x:c r="C209" s="194" t="n">
        <x:v>6.736107461123771</x:v>
      </x:c>
      <x:c r="D209" s="194"/>
      <x:c r="E209" s="186" t="n">
        <x:v>45473</x:v>
      </x:c>
      <x:c r="F209" s="32" t="n">
        <x:f t="shared" si="3"/>
        <x:v>1</x:v>
      </x:c>
      <x:c r="G209" s="32" t="str">
        <x:v>Country</x:v>
      </x:c>
      <x:c r="H209" s="32" t="str">
        <x:v>Member</x:v>
      </x:c>
      <x:c r="I209" s="35" t="str">
        <x:v>Universal</x:v>
      </x:c>
      <x:c r="J209" s="151" t="str">
        <x:v>No comparable voting measure in source</x:v>
      </x:c>
      <x:c r="K209" s="196"/>
      <x:c r="L209" s="196"/>
    </x:row>
    <x:row r="210">
      <x:c r="A210" s="26" t="str">
        <x:v>Rwanda</x:v>
      </x:c>
      <x:c r="B210" s="27" t="str">
        <x:v>aiib</x:v>
      </x:c>
      <x:c r="C210" s="193" t="n">
        <x:v>0.005152923304920114</x:v>
      </x:c>
      <x:c r="D210" s="193"/>
      <x:c r="E210" s="185" t="n">
        <x:v>45473</x:v>
      </x:c>
      <x:c r="F210" s="27" t="n">
        <x:f t="shared" si="3"/>
        <x:v>4</x:v>
      </x:c>
      <x:c r="G210" s="27" t="str">
        <x:v>Country</x:v>
      </x:c>
      <x:c r="H210" s="27" t="str">
        <x:v>Member</x:v>
      </x:c>
      <x:c r="I210" s="30" t="str">
        <x:v>Universal</x:v>
      </x:c>
      <x:c r="J210" s="151" t="str">
        <x:v>No comparable voting measure in source</x:v>
      </x:c>
      <x:c r="K210" s="196"/>
      <x:c r="L210" s="196"/>
    </x:row>
    <x:row r="211">
      <x:c r="A211" s="31" t="str">
        <x:v>Samoa</x:v>
      </x:c>
      <x:c r="B211" s="32" t="str">
        <x:v>aiib</x:v>
      </x:c>
      <x:c r="C211" s="194" t="n">
        <x:v>0.002164227788066448</x:v>
      </x:c>
      <x:c r="D211" s="194"/>
      <x:c r="E211" s="186" t="n">
        <x:v>45473</x:v>
      </x:c>
      <x:c r="F211" s="32" t="n">
        <x:f t="shared" si="3"/>
        <x:v>4</x:v>
      </x:c>
      <x:c r="G211" s="32" t="str">
        <x:v>Country</x:v>
      </x:c>
      <x:c r="H211" s="32" t="str">
        <x:v>Member</x:v>
      </x:c>
      <x:c r="I211" s="35" t="str">
        <x:v>Universal</x:v>
      </x:c>
      <x:c r="J211" s="151" t="str">
        <x:v>No comparable voting measure in source</x:v>
      </x:c>
      <x:c r="K211" s="196"/>
      <x:c r="L211" s="196"/>
    </x:row>
    <x:row r="212">
      <x:c r="A212" s="26" t="str">
        <x:v>Saudi Arabia</x:v>
      </x:c>
      <x:c r="B212" s="27" t="str">
        <x:v>aiib</x:v>
      </x:c>
      <x:c r="C212" s="193" t="n">
        <x:v>2.6224257283399446</x:v>
      </x:c>
      <x:c r="D212" s="193"/>
      <x:c r="E212" s="185" t="n">
        <x:v>45473</x:v>
      </x:c>
      <x:c r="F212" s="27" t="n">
        <x:f t="shared" si="3"/>
        <x:v>6</x:v>
      </x:c>
      <x:c r="G212" s="27" t="str">
        <x:v>Country</x:v>
      </x:c>
      <x:c r="H212" s="27" t="str">
        <x:v>Member</x:v>
      </x:c>
      <x:c r="I212" s="30" t="str">
        <x:v>Universal</x:v>
      </x:c>
      <x:c r="J212" s="151" t="str">
        <x:v>No comparable voting measure in source</x:v>
      </x:c>
      <x:c r="K212" s="196"/>
      <x:c r="L212" s="196"/>
    </x:row>
    <x:row r="213">
      <x:c r="A213" s="31" t="str">
        <x:v>Serbia</x:v>
      </x:c>
      <x:c r="B213" s="32" t="str">
        <x:v>aiib</x:v>
      </x:c>
      <x:c r="C213" s="194" t="n">
        <x:v>0.005152923304920114</x:v>
      </x:c>
      <x:c r="D213" s="194"/>
      <x:c r="E213" s="186" t="n">
        <x:v>45473</x:v>
      </x:c>
      <x:c r="F213" s="32" t="n">
        <x:f t="shared" si="3"/>
        <x:v>4</x:v>
      </x:c>
      <x:c r="G213" s="32" t="str">
        <x:v>Country</x:v>
      </x:c>
      <x:c r="H213" s="32" t="str">
        <x:v>Member</x:v>
      </x:c>
      <x:c r="I213" s="35" t="str">
        <x:v>Universal</x:v>
      </x:c>
      <x:c r="J213" s="151" t="str">
        <x:v>No comparable voting measure in source</x:v>
      </x:c>
      <x:c r="K213" s="196"/>
      <x:c r="L213" s="196"/>
    </x:row>
    <x:row r="214">
      <x:c r="A214" s="26" t="str">
        <x:v>Singapore</x:v>
      </x:c>
      <x:c r="B214" s="27" t="str">
        <x:v>aiib</x:v>
      </x:c>
      <x:c r="C214" s="193" t="n">
        <x:v>0.25764616524600575</x:v>
      </x:c>
      <x:c r="D214" s="193"/>
      <x:c r="E214" s="185" t="n">
        <x:v>45473</x:v>
      </x:c>
      <x:c r="F214" s="27" t="n">
        <x:f t="shared" si="3"/>
        <x:v>4</x:v>
      </x:c>
      <x:c r="G214" s="27" t="str">
        <x:v>Country</x:v>
      </x:c>
      <x:c r="H214" s="27" t="str">
        <x:v>Member</x:v>
      </x:c>
      <x:c r="I214" s="30" t="str">
        <x:v>Universal</x:v>
      </x:c>
      <x:c r="J214" s="151" t="str">
        <x:v>No comparable voting measure in source</x:v>
      </x:c>
      <x:c r="K214" s="196"/>
      <x:c r="L214" s="196"/>
    </x:row>
    <x:row r="215">
      <x:c r="A215" s="31" t="str">
        <x:v>South Africa</x:v>
      </x:c>
      <x:c r="B215" s="32" t="str">
        <x:v>aiib</x:v>
      </x:c>
      <x:c r="C215" s="194" t="n">
        <x:v>0.005152923304920114</x:v>
      </x:c>
      <x:c r="D215" s="194"/>
      <x:c r="E215" s="186" t="n">
        <x:v>45473</x:v>
      </x:c>
      <x:c r="F215" s="32" t="n">
        <x:f t="shared" si="3"/>
        <x:v>5</x:v>
      </x:c>
      <x:c r="G215" s="32" t="str">
        <x:v>Country</x:v>
      </x:c>
      <x:c r="H215" s="32" t="str">
        <x:v>Member</x:v>
      </x:c>
      <x:c r="I215" s="35" t="str">
        <x:v>Universal</x:v>
      </x:c>
      <x:c r="J215" s="151" t="str">
        <x:v>No comparable voting measure in source</x:v>
      </x:c>
      <x:c r="K215" s="196"/>
      <x:c r="L215" s="196"/>
    </x:row>
    <x:row r="216">
      <x:c r="A216" s="26" t="str">
        <x:v>Spain</x:v>
      </x:c>
      <x:c r="B216" s="27" t="str">
        <x:v>aiib</x:v>
      </x:c>
      <x:c r="C216" s="193" t="n">
        <x:v>1.8153748803233565</x:v>
      </x:c>
      <x:c r="D216" s="193"/>
      <x:c r="E216" s="185" t="n">
        <x:v>45473</x:v>
      </x:c>
      <x:c r="F216" s="27" t="n">
        <x:f t="shared" si="3"/>
        <x:v>10</x:v>
      </x:c>
      <x:c r="G216" s="27" t="str">
        <x:v>Country</x:v>
      </x:c>
      <x:c r="H216" s="27" t="str">
        <x:v>Member</x:v>
      </x:c>
      <x:c r="I216" s="30" t="str">
        <x:v>Universal</x:v>
      </x:c>
      <x:c r="J216" s="151" t="str">
        <x:v>No comparable voting measure in source</x:v>
      </x:c>
      <x:c r="K216" s="196"/>
      <x:c r="L216" s="196"/>
    </x:row>
    <x:row r="217">
      <x:c r="A217" s="31" t="str">
        <x:v>Sri Lanka</x:v>
      </x:c>
      <x:c r="B217" s="32" t="str">
        <x:v>aiib</x:v>
      </x:c>
      <x:c r="C217" s="194" t="n">
        <x:v>0.27722727380470213</x:v>
      </x:c>
      <x:c r="D217" s="194"/>
      <x:c r="E217" s="186" t="n">
        <x:v>45473</x:v>
      </x:c>
      <x:c r="F217" s="32" t="n">
        <x:f t="shared" si="3"/>
        <x:v>4</x:v>
      </x:c>
      <x:c r="G217" s="32" t="str">
        <x:v>Country</x:v>
      </x:c>
      <x:c r="H217" s="32" t="str">
        <x:v>Member</x:v>
      </x:c>
      <x:c r="I217" s="35" t="str">
        <x:v>Universal</x:v>
      </x:c>
      <x:c r="J217" s="151" t="str">
        <x:v>No comparable voting measure in source</x:v>
      </x:c>
      <x:c r="K217" s="196"/>
      <x:c r="L217" s="196"/>
    </x:row>
    <x:row r="218">
      <x:c r="A218" s="26" t="str">
        <x:v>Sudan</x:v>
      </x:c>
      <x:c r="B218" s="27" t="str">
        <x:v>aiib</x:v>
      </x:c>
      <x:c r="C218" s="193" t="n">
        <x:v>0.060804494998057346</x:v>
      </x:c>
      <x:c r="D218" s="193"/>
      <x:c r="E218" s="185" t="n">
        <x:v>45473</x:v>
      </x:c>
      <x:c r="F218" s="27" t="n">
        <x:f t="shared" si="3"/>
        <x:v>6</x:v>
      </x:c>
      <x:c r="G218" s="27" t="str">
        <x:v>Country</x:v>
      </x:c>
      <x:c r="H218" s="27" t="str">
        <x:v>Member</x:v>
      </x:c>
      <x:c r="I218" s="30" t="str">
        <x:v>Universal</x:v>
      </x:c>
      <x:c r="J218" s="151" t="str">
        <x:v>No comparable voting measure in source</x:v>
      </x:c>
      <x:c r="K218" s="196"/>
      <x:c r="L218" s="196"/>
    </x:row>
    <x:row r="219">
      <x:c r="A219" s="31" t="str">
        <x:v>Sweden</x:v>
      </x:c>
      <x:c r="B219" s="32" t="str">
        <x:v>aiib</x:v>
      </x:c>
      <x:c r="C219" s="194" t="n">
        <x:v>0.6492683364199344</x:v>
      </x:c>
      <x:c r="D219" s="194"/>
      <x:c r="E219" s="186" t="n">
        <x:v>45473</x:v>
      </x:c>
      <x:c r="F219" s="32" t="n">
        <x:f t="shared" si="3"/>
        <x:v>8</x:v>
      </x:c>
      <x:c r="G219" s="32" t="str">
        <x:v>Country</x:v>
      </x:c>
      <x:c r="H219" s="32" t="str">
        <x:v>Member</x:v>
      </x:c>
      <x:c r="I219" s="35" t="str">
        <x:v>Universal</x:v>
      </x:c>
      <x:c r="J219" s="151" t="str">
        <x:v>No comparable voting measure in source</x:v>
      </x:c>
      <x:c r="K219" s="196"/>
      <x:c r="L219" s="196"/>
    </x:row>
    <x:row r="220">
      <x:c r="A220" s="26" t="str">
        <x:v>Switzerland</x:v>
      </x:c>
      <x:c r="B220" s="27" t="str">
        <x:v>aiib</x:v>
      </x:c>
      <x:c r="C220" s="193" t="n">
        <x:v>0.7280050045191137</x:v>
      </x:c>
      <x:c r="D220" s="193"/>
      <x:c r="E220" s="185" t="n">
        <x:v>45473</x:v>
      </x:c>
      <x:c r="F220" s="27" t="n">
        <x:f t="shared" si="3"/>
        <x:v>7</x:v>
      </x:c>
      <x:c r="G220" s="27" t="str">
        <x:v>Country</x:v>
      </x:c>
      <x:c r="H220" s="27" t="str">
        <x:v>Member</x:v>
      </x:c>
      <x:c r="I220" s="30" t="str">
        <x:v>Universal</x:v>
      </x:c>
      <x:c r="J220" s="151" t="str">
        <x:v>No comparable voting measure in source</x:v>
      </x:c>
      <x:c r="K220" s="196"/>
      <x:c r="L220" s="196"/>
    </x:row>
    <x:row r="221">
      <x:c r="A221" s="31" t="str">
        <x:v>Tajikistan</x:v>
      </x:c>
      <x:c r="B221" s="32" t="str">
        <x:v>aiib</x:v>
      </x:c>
      <x:c r="C221" s="194" t="n">
        <x:v>0.0318450660244063</x:v>
      </x:c>
      <x:c r="D221" s="194"/>
      <x:c r="E221" s="186" t="n">
        <x:v>45473</x:v>
      </x:c>
      <x:c r="F221" s="32" t="n">
        <x:f t="shared" si="3"/>
        <x:v>6</x:v>
      </x:c>
      <x:c r="G221" s="32" t="str">
        <x:v>Country</x:v>
      </x:c>
      <x:c r="H221" s="32" t="str">
        <x:v>Member</x:v>
      </x:c>
      <x:c r="I221" s="35" t="str">
        <x:v>Universal</x:v>
      </x:c>
      <x:c r="J221" s="151" t="str">
        <x:v>No comparable voting measure in source</x:v>
      </x:c>
      <x:c r="K221" s="196"/>
      <x:c r="L221" s="196"/>
    </x:row>
    <x:row r="222">
      <x:c r="A222" s="26" t="str">
        <x:v>Thailand</x:v>
      </x:c>
      <x:c r="B222" s="27" t="str">
        <x:v>aiib</x:v>
      </x:c>
      <x:c r="C222" s="193" t="n">
        <x:v>1.4711596035546928</x:v>
      </x:c>
      <x:c r="D222" s="193"/>
      <x:c r="E222" s="185" t="n">
        <x:v>45473</x:v>
      </x:c>
      <x:c r="F222" s="27" t="n">
        <x:f t="shared" si="3"/>
        <x:v>4</x:v>
      </x:c>
      <x:c r="G222" s="27" t="str">
        <x:v>Country</x:v>
      </x:c>
      <x:c r="H222" s="27" t="str">
        <x:v>Member</x:v>
      </x:c>
      <x:c r="I222" s="30" t="str">
        <x:v>Universal</x:v>
      </x:c>
      <x:c r="J222" s="151" t="str">
        <x:v>No comparable voting measure in source</x:v>
      </x:c>
      <x:c r="K222" s="196"/>
      <x:c r="L222" s="196"/>
    </x:row>
    <x:row r="223">
      <x:c r="A223" s="31" t="str">
        <x:v>Timor-Leste</x:v>
      </x:c>
      <x:c r="B223" s="32" t="str">
        <x:v>aiib</x:v>
      </x:c>
      <x:c r="C223" s="194" t="n">
        <x:v>0.016489354575744367</x:v>
      </x:c>
      <x:c r="D223" s="194"/>
      <x:c r="E223" s="186" t="n">
        <x:v>45473</x:v>
      </x:c>
      <x:c r="F223" s="32" t="n">
        <x:f t="shared" si="3"/>
        <x:v>4</x:v>
      </x:c>
      <x:c r="G223" s="32" t="str">
        <x:v>Country</x:v>
      </x:c>
      <x:c r="H223" s="32" t="str">
        <x:v>Member</x:v>
      </x:c>
      <x:c r="I223" s="35" t="str">
        <x:v>Universal</x:v>
      </x:c>
      <x:c r="J223" s="151" t="str">
        <x:v>No comparable voting measure in source</x:v>
      </x:c>
      <x:c r="K223" s="196"/>
      <x:c r="L223" s="196"/>
    </x:row>
    <x:row r="224">
      <x:c r="A224" s="26" t="str">
        <x:v>Togo</x:v>
      </x:c>
      <x:c r="B224" s="27" t="str">
        <x:v>aiib</x:v>
      </x:c>
      <x:c r="C224" s="193" t="n">
        <x:v>0.005152923304920114</x:v>
      </x:c>
      <x:c r="D224" s="193"/>
      <x:c r="E224" s="185" t="n">
        <x:v>45473</x:v>
      </x:c>
      <x:c r="F224" s="27" t="n">
        <x:f t="shared" si="3"/>
        <x:v>5</x:v>
      </x:c>
      <x:c r="G224" s="27" t="str">
        <x:v>Country</x:v>
      </x:c>
      <x:c r="H224" s="27" t="str">
        <x:v>Member</x:v>
      </x:c>
      <x:c r="I224" s="30" t="str">
        <x:v>Universal</x:v>
      </x:c>
      <x:c r="J224" s="151" t="str">
        <x:v>No comparable voting measure in source</x:v>
      </x:c>
      <x:c r="K224" s="196"/>
      <x:c r="L224" s="196"/>
    </x:row>
    <x:row r="225">
      <x:c r="A225" s="31" t="str">
        <x:v>Tonga</x:v>
      </x:c>
      <x:c r="B225" s="32" t="str">
        <x:v>aiib</x:v>
      </x:c>
      <x:c r="C225" s="194" t="n">
        <x:v>0.0012367015931808274</x:v>
      </x:c>
      <x:c r="D225" s="194"/>
      <x:c r="E225" s="186" t="n">
        <x:v>45473</x:v>
      </x:c>
      <x:c r="F225" s="32" t="n">
        <x:f t="shared" si="3"/>
        <x:v>4</x:v>
      </x:c>
      <x:c r="G225" s="32" t="str">
        <x:v>Country</x:v>
      </x:c>
      <x:c r="H225" s="32" t="str">
        <x:v>Member</x:v>
      </x:c>
      <x:c r="I225" s="35" t="str">
        <x:v>Universal</x:v>
      </x:c>
      <x:c r="J225" s="151" t="str">
        <x:v>No comparable voting measure in source</x:v>
      </x:c>
      <x:c r="K225" s="196"/>
      <x:c r="L225" s="196"/>
    </x:row>
    <x:row r="226">
      <x:c r="A226" s="26" t="str">
        <x:v>Tunisia</x:v>
      </x:c>
      <x:c r="B226" s="27" t="str">
        <x:v>aiib</x:v>
      </x:c>
      <x:c r="C226" s="193" t="n">
        <x:v>0.005152923304920114</x:v>
      </x:c>
      <x:c r="D226" s="193"/>
      <x:c r="E226" s="185" t="n">
        <x:v>45473</x:v>
      </x:c>
      <x:c r="F226" s="27" t="n">
        <x:f t="shared" si="3"/>
        <x:v>7</x:v>
      </x:c>
      <x:c r="G226" s="27" t="str">
        <x:v>Country</x:v>
      </x:c>
      <x:c r="H226" s="27" t="str">
        <x:v>Member</x:v>
      </x:c>
      <x:c r="I226" s="30" t="str">
        <x:v>Universal</x:v>
      </x:c>
      <x:c r="J226" s="151" t="str">
        <x:v>No comparable voting measure in source</x:v>
      </x:c>
      <x:c r="K226" s="196"/>
      <x:c r="L226" s="196"/>
    </x:row>
    <x:row r="227">
      <x:c r="A227" s="31" t="str">
        <x:v>Türkiye</x:v>
      </x:c>
      <x:c r="B227" s="32" t="str">
        <x:v>aiib</x:v>
      </x:c>
      <x:c r="C227" s="194" t="n">
        <x:v>2.689722906702201</x:v>
      </x:c>
      <x:c r="D227" s="194"/>
      <x:c r="E227" s="186" t="n">
        <x:v>45473</x:v>
      </x:c>
      <x:c r="F227" s="32" t="n">
        <x:f t="shared" si="3"/>
        <x:v>5</x:v>
      </x:c>
      <x:c r="G227" s="32" t="str">
        <x:v>Country</x:v>
      </x:c>
      <x:c r="H227" s="32" t="str">
        <x:v>Member</x:v>
      </x:c>
      <x:c r="I227" s="35" t="str">
        <x:v>Universal</x:v>
      </x:c>
      <x:c r="J227" s="151" t="str">
        <x:v>No comparable voting measure in source</x:v>
      </x:c>
      <x:c r="K227" s="196"/>
      <x:c r="L227" s="196"/>
    </x:row>
    <x:row r="228">
      <x:c r="A228" s="26" t="str">
        <x:v>United Arab Emirates</x:v>
      </x:c>
      <x:c r="B228" s="27" t="str">
        <x:v>aiib</x:v>
      </x:c>
      <x:c r="C228" s="193" t="n">
        <x:v>1.2219642325287559</x:v>
      </x:c>
      <x:c r="D228" s="193"/>
      <x:c r="E228" s="185" t="n">
        <x:v>45473</x:v>
      </x:c>
      <x:c r="F228" s="27" t="n">
        <x:f t="shared" si="3"/>
        <x:v>7</x:v>
      </x:c>
      <x:c r="G228" s="27" t="str">
        <x:v>Country</x:v>
      </x:c>
      <x:c r="H228" s="27" t="str">
        <x:v>Member</x:v>
      </x:c>
      <x:c r="I228" s="30" t="str">
        <x:v>Universal</x:v>
      </x:c>
      <x:c r="J228" s="151" t="str">
        <x:v>No comparable voting measure in source</x:v>
      </x:c>
      <x:c r="K228" s="196"/>
      <x:c r="L228" s="196"/>
    </x:row>
    <x:row r="229">
      <x:c r="A229" s="31" t="str">
        <x:v>United Kingdom</x:v>
      </x:c>
      <x:c r="B229" s="32" t="str">
        <x:v>aiib</x:v>
      </x:c>
      <x:c r="C229" s="194" t="n">
        <x:v>3.148126963907895</x:v>
      </x:c>
      <x:c r="D229" s="194"/>
      <x:c r="E229" s="186" t="n">
        <x:v>45473</x:v>
      </x:c>
      <x:c r="F229" s="32" t="n">
        <x:f t="shared" si="3"/>
        <x:v>8</x:v>
      </x:c>
      <x:c r="G229" s="32" t="str">
        <x:v>Country</x:v>
      </x:c>
      <x:c r="H229" s="32" t="str">
        <x:v>Member</x:v>
      </x:c>
      <x:c r="I229" s="35" t="str">
        <x:v>Universal</x:v>
      </x:c>
      <x:c r="J229" s="151" t="str">
        <x:v>No comparable voting measure in source</x:v>
      </x:c>
      <x:c r="K229" s="196"/>
      <x:c r="L229" s="196"/>
    </x:row>
    <x:row r="230">
      <x:c r="A230" s="26" t="str">
        <x:v>Uruguay</x:v>
      </x:c>
      <x:c r="B230" s="27" t="str">
        <x:v>aiib</x:v>
      </x:c>
      <x:c r="C230" s="193" t="n">
        <x:v>0.005152923304920114</x:v>
      </x:c>
      <x:c r="D230" s="193"/>
      <x:c r="E230" s="185" t="n">
        <x:v>45473</x:v>
      </x:c>
      <x:c r="F230" s="27" t="n">
        <x:f t="shared" si="3"/>
        <x:v>5</x:v>
      </x:c>
      <x:c r="G230" s="27" t="str">
        <x:v>Country</x:v>
      </x:c>
      <x:c r="H230" s="27" t="str">
        <x:v>Member</x:v>
      </x:c>
      <x:c r="I230" s="30" t="str">
        <x:v>Universal</x:v>
      </x:c>
      <x:c r="J230" s="151" t="str">
        <x:v>No comparable voting measure in source</x:v>
      </x:c>
      <x:c r="K230" s="196"/>
      <x:c r="L230" s="196"/>
    </x:row>
    <x:row r="231">
      <x:c r="A231" s="31" t="str">
        <x:v>Uzbekistan</x:v>
      </x:c>
      <x:c r="B231" s="32" t="str">
        <x:v>aiib</x:v>
      </x:c>
      <x:c r="C231" s="194" t="n">
        <x:v>0.22652250848428823</x:v>
      </x:c>
      <x:c r="D231" s="194"/>
      <x:c r="E231" s="186" t="n">
        <x:v>45473</x:v>
      </x:c>
      <x:c r="F231" s="32" t="n">
        <x:f t="shared" si="3"/>
        <x:v>6</x:v>
      </x:c>
      <x:c r="G231" s="32" t="str">
        <x:v>Country</x:v>
      </x:c>
      <x:c r="H231" s="32" t="str">
        <x:v>Member</x:v>
      </x:c>
      <x:c r="I231" s="35" t="str">
        <x:v>Universal</x:v>
      </x:c>
      <x:c r="J231" s="151" t="str">
        <x:v>No comparable voting measure in source</x:v>
      </x:c>
      <x:c r="K231" s="196"/>
      <x:c r="L231" s="196"/>
    </x:row>
    <x:row r="232">
      <x:c r="A232" s="26" t="str">
        <x:v>Vanuatu</x:v>
      </x:c>
      <x:c r="B232" s="27" t="str">
        <x:v>aiib</x:v>
      </x:c>
      <x:c r="C232" s="193" t="n">
        <x:v>0.0005152923304920115</x:v>
      </x:c>
      <x:c r="D232" s="193"/>
      <x:c r="E232" s="185" t="n">
        <x:v>45473</x:v>
      </x:c>
      <x:c r="F232" s="27" t="n">
        <x:f t="shared" si="3"/>
        <x:v>4</x:v>
      </x:c>
      <x:c r="G232" s="27" t="str">
        <x:v>Country</x:v>
      </x:c>
      <x:c r="H232" s="27" t="str">
        <x:v>Member</x:v>
      </x:c>
      <x:c r="I232" s="30" t="str">
        <x:v>Universal</x:v>
      </x:c>
      <x:c r="J232" s="151" t="str">
        <x:v>No comparable voting measure in source</x:v>
      </x:c>
      <x:c r="K232" s="196"/>
      <x:c r="L232" s="196"/>
    </x:row>
    <x:row r="233">
      <x:c r="A233" s="31" t="str">
        <x:v>Viet Nam</x:v>
      </x:c>
      <x:c r="B233" s="32" t="str">
        <x:v>aiib</x:v>
      </x:c>
      <x:c r="C233" s="194" t="n">
        <x:v>0.6835868056307024</x:v>
      </x:c>
      <x:c r="D233" s="194"/>
      <x:c r="E233" s="186" t="n">
        <x:v>45473</x:v>
      </x:c>
      <x:c r="F233" s="32" t="n">
        <x:f t="shared" si="3"/>
        <x:v>4</x:v>
      </x:c>
      <x:c r="G233" s="32" t="str">
        <x:v>Country</x:v>
      </x:c>
      <x:c r="H233" s="32" t="str">
        <x:v>Member</x:v>
      </x:c>
      <x:c r="I233" s="35" t="str">
        <x:v>Universal</x:v>
      </x:c>
      <x:c r="J233" s="151" t="str">
        <x:v>No comparable voting measure in source</x:v>
      </x:c>
      <x:c r="K233" s="196"/>
      <x:c r="L233" s="196"/>
    </x:row>
    <x:row r="234">
      <x:c r="A234" s="26" t="str">
        <x:v>Algeria</x:v>
      </x:c>
      <x:c r="B234" s="27" t="str">
        <x:v>afdb</x:v>
      </x:c>
      <x:c r="C234" s="193"/>
      <x:c r="D234" s="193" t="n">
        <x:v>5.308453364453564</x:v>
      </x:c>
      <x:c r="E234" s="185" t="n">
        <x:v>45504</x:v>
      </x:c>
      <x:c r="F234" s="27" t="n">
        <x:f t="shared" si="3"/>
        <x:v>8</x:v>
      </x:c>
      <x:c r="G234" s="27" t="str">
        <x:v>Country</x:v>
      </x:c>
      <x:c r="H234" s="27" t="str">
        <x:v>Regional</x:v>
      </x:c>
      <x:c r="I234" s="30" t="str">
        <x:v>Regional</x:v>
      </x:c>
      <x:c r="J234" s="151" t="str">
        <x:v>Institution-specific published voting measure</x:v>
      </x:c>
      <x:c r="K234" s="196"/>
      <x:c r="L234" s="196"/>
    </x:row>
    <x:row r="235">
      <x:c r="A235" s="31" t="str">
        <x:v>Angola</x:v>
      </x:c>
      <x:c r="B235" s="32" t="str">
        <x:v>afdb</x:v>
      </x:c>
      <x:c r="C235" s="194"/>
      <x:c r="D235" s="194" t="n">
        <x:v>1.062057596247982</x:v>
      </x:c>
      <x:c r="E235" s="186" t="n">
        <x:v>45504</x:v>
      </x:c>
      <x:c r="F235" s="32" t="n">
        <x:f t="shared" si="3"/>
        <x:v>3</x:v>
      </x:c>
      <x:c r="G235" s="32" t="str">
        <x:v>Country</x:v>
      </x:c>
      <x:c r="H235" s="32" t="str">
        <x:v>Regional</x:v>
      </x:c>
      <x:c r="I235" s="35" t="str">
        <x:v>Regional</x:v>
      </x:c>
      <x:c r="J235" s="151" t="str">
        <x:v>Institution-specific published voting measure</x:v>
      </x:c>
      <x:c r="K235" s="196"/>
      <x:c r="L235" s="196"/>
    </x:row>
    <x:row r="236">
      <x:c r="A236" s="26" t="str">
        <x:v>Benin</x:v>
      </x:c>
      <x:c r="B236" s="27" t="str">
        <x:v>afdb</x:v>
      </x:c>
      <x:c r="C236" s="193"/>
      <x:c r="D236" s="193" t="n">
        <x:v>0.2143821862695356</x:v>
      </x:c>
      <x:c r="E236" s="185" t="n">
        <x:v>45504</x:v>
      </x:c>
      <x:c r="F236" s="27" t="n">
        <x:f t="shared" si="3"/>
        <x:v>6</x:v>
      </x:c>
      <x:c r="G236" s="27" t="str">
        <x:v>Country</x:v>
      </x:c>
      <x:c r="H236" s="27" t="str">
        <x:v>Regional</x:v>
      </x:c>
      <x:c r="I236" s="30" t="str">
        <x:v>Regional</x:v>
      </x:c>
      <x:c r="J236" s="151" t="str">
        <x:v>Institution-specific published voting measure</x:v>
      </x:c>
      <x:c r="K236" s="196"/>
      <x:c r="L236" s="196"/>
    </x:row>
    <x:row r="237">
      <x:c r="A237" s="31" t="str">
        <x:v>Botswana</x:v>
      </x:c>
      <x:c r="B237" s="32" t="str">
        <x:v>afdb</x:v>
      </x:c>
      <x:c r="C237" s="194"/>
      <x:c r="D237" s="194" t="n">
        <x:v>0.7774652439751734</x:v>
      </x:c>
      <x:c r="E237" s="186" t="n">
        <x:v>45504</x:v>
      </x:c>
      <x:c r="F237" s="32" t="n">
        <x:f t="shared" si="3"/>
        <x:v>3</x:v>
      </x:c>
      <x:c r="G237" s="32" t="str">
        <x:v>Country</x:v>
      </x:c>
      <x:c r="H237" s="32" t="str">
        <x:v>Regional</x:v>
      </x:c>
      <x:c r="I237" s="35" t="str">
        <x:v>Regional</x:v>
      </x:c>
      <x:c r="J237" s="151" t="str">
        <x:v>Institution-specific published voting measure</x:v>
      </x:c>
      <x:c r="K237" s="196"/>
      <x:c r="L237" s="196"/>
    </x:row>
    <x:row r="238">
      <x:c r="A238" s="26" t="str">
        <x:v>Burkina Faso</x:v>
      </x:c>
      <x:c r="B238" s="27" t="str">
        <x:v>afdb</x:v>
      </x:c>
      <x:c r="C238" s="193"/>
      <x:c r="D238" s="193" t="n">
        <x:v>0.4137232633806092</x:v>
      </x:c>
      <x:c r="E238" s="185" t="n">
        <x:v>45504</x:v>
      </x:c>
      <x:c r="F238" s="27" t="n">
        <x:f t="shared" si="3"/>
        <x:v>4</x:v>
      </x:c>
      <x:c r="G238" s="27" t="str">
        <x:v>Country</x:v>
      </x:c>
      <x:c r="H238" s="27" t="str">
        <x:v>Regional</x:v>
      </x:c>
      <x:c r="I238" s="30" t="str">
        <x:v>Regional</x:v>
      </x:c>
      <x:c r="J238" s="151" t="str">
        <x:v>Institution-specific published voting measure</x:v>
      </x:c>
      <x:c r="K238" s="196"/>
      <x:c r="L238" s="196"/>
    </x:row>
    <x:row r="239">
      <x:c r="A239" s="31" t="str">
        <x:v>Burundi</x:v>
      </x:c>
      <x:c r="B239" s="32" t="str">
        <x:v>afdb</x:v>
      </x:c>
      <x:c r="C239" s="194"/>
      <x:c r="D239" s="194" t="n">
        <x:v>0.2221878966414007</x:v>
      </x:c>
      <x:c r="E239" s="186" t="n">
        <x:v>45504</x:v>
      </x:c>
      <x:c r="F239" s="32" t="n">
        <x:f t="shared" si="3"/>
        <x:v>3</x:v>
      </x:c>
      <x:c r="G239" s="32" t="str">
        <x:v>Country</x:v>
      </x:c>
      <x:c r="H239" s="32" t="str">
        <x:v>Regional</x:v>
      </x:c>
      <x:c r="I239" s="35" t="str">
        <x:v>Regional</x:v>
      </x:c>
      <x:c r="J239" s="151" t="str">
        <x:v>Institution-specific published voting measure</x:v>
      </x:c>
      <x:c r="K239" s="196"/>
      <x:c r="L239" s="196"/>
    </x:row>
    <x:row r="240">
      <x:c r="A240" s="26" t="str">
        <x:v>Cabo Verde</x:v>
      </x:c>
      <x:c r="B240" s="27" t="str">
        <x:v>afdb</x:v>
      </x:c>
      <x:c r="C240" s="193"/>
      <x:c r="D240" s="193" t="n">
        <x:v>0.05883829041750106</x:v>
      </x:c>
      <x:c r="E240" s="185" t="n">
        <x:v>45504</x:v>
      </x:c>
      <x:c r="F240" s="27" t="n">
        <x:f t="shared" si="3"/>
        <x:v>3</x:v>
      </x:c>
      <x:c r="G240" s="27" t="str">
        <x:v>Country</x:v>
      </x:c>
      <x:c r="H240" s="27" t="str">
        <x:v>Regional</x:v>
      </x:c>
      <x:c r="I240" s="30" t="str">
        <x:v>Regional</x:v>
      </x:c>
      <x:c r="J240" s="151" t="str">
        <x:v>Institution-specific published voting measure</x:v>
      </x:c>
      <x:c r="K240" s="196"/>
      <x:c r="L240" s="196"/>
    </x:row>
    <x:row r="241">
      <x:c r="A241" s="31" t="str">
        <x:v>Cameroon</x:v>
      </x:c>
      <x:c r="B241" s="32" t="str">
        <x:v>afdb</x:v>
      </x:c>
      <x:c r="C241" s="194"/>
      <x:c r="D241" s="194" t="n">
        <x:v>0.9900883969214718</x:v>
      </x:c>
      <x:c r="E241" s="186" t="n">
        <x:v>45504</x:v>
      </x:c>
      <x:c r="F241" s="32" t="n">
        <x:f t="shared" si="3"/>
        <x:v>4</x:v>
      </x:c>
      <x:c r="G241" s="32" t="str">
        <x:v>Country</x:v>
      </x:c>
      <x:c r="H241" s="32" t="str">
        <x:v>Regional</x:v>
      </x:c>
      <x:c r="I241" s="35" t="str">
        <x:v>Regional</x:v>
      </x:c>
      <x:c r="J241" s="151" t="str">
        <x:v>Institution-specific published voting measure</x:v>
      </x:c>
      <x:c r="K241" s="196"/>
      <x:c r="L241" s="196"/>
    </x:row>
    <x:row r="242">
      <x:c r="A242" s="26" t="str">
        <x:v>Central African Republic</x:v>
      </x:c>
      <x:c r="B242" s="27" t="str">
        <x:v>afdb</x:v>
      </x:c>
      <x:c r="C242" s="193"/>
      <x:c r="D242" s="193" t="n">
        <x:v>0.03856817985675971</x:v>
      </x:c>
      <x:c r="E242" s="185" t="n">
        <x:v>45504</x:v>
      </x:c>
      <x:c r="F242" s="27" t="n">
        <x:f t="shared" si="3"/>
        <x:v>3</x:v>
      </x:c>
      <x:c r="G242" s="27" t="str">
        <x:v>Country</x:v>
      </x:c>
      <x:c r="H242" s="27" t="str">
        <x:v>Regional</x:v>
      </x:c>
      <x:c r="I242" s="30" t="str">
        <x:v>Regional</x:v>
      </x:c>
      <x:c r="J242" s="151" t="str">
        <x:v>Institution-specific published voting measure</x:v>
      </x:c>
      <x:c r="K242" s="196"/>
      <x:c r="L242" s="196"/>
    </x:row>
    <x:row r="243">
      <x:c r="A243" s="31" t="str">
        <x:v>Chad</x:v>
      </x:c>
      <x:c r="B243" s="32" t="str">
        <x:v>afdb</x:v>
      </x:c>
      <x:c r="C243" s="194"/>
      <x:c r="D243" s="194" t="n">
        <x:v>0.06438336812004963</x:v>
      </x:c>
      <x:c r="E243" s="186" t="n">
        <x:v>45504</x:v>
      </x:c>
      <x:c r="F243" s="32" t="n">
        <x:f t="shared" si="3"/>
        <x:v>4</x:v>
      </x:c>
      <x:c r="G243" s="32" t="str">
        <x:v>Country</x:v>
      </x:c>
      <x:c r="H243" s="32" t="str">
        <x:v>Regional</x:v>
      </x:c>
      <x:c r="I243" s="35" t="str">
        <x:v>Regional</x:v>
      </x:c>
      <x:c r="J243" s="151" t="str">
        <x:v>Institution-specific published voting measure</x:v>
      </x:c>
      <x:c r="K243" s="196"/>
      <x:c r="L243" s="196"/>
    </x:row>
    <x:row r="244">
      <x:c r="A244" s="26" t="str">
        <x:v>Comoros</x:v>
      </x:c>
      <x:c r="B244" s="27" t="str">
        <x:v>afdb</x:v>
      </x:c>
      <x:c r="C244" s="193"/>
      <x:c r="D244" s="193" t="n">
        <x:v>0.011955929618877946</x:v>
      </x:c>
      <x:c r="E244" s="185" t="n">
        <x:v>45504</x:v>
      </x:c>
      <x:c r="F244" s="27" t="n">
        <x:f t="shared" si="3"/>
        <x:v>4</x:v>
      </x:c>
      <x:c r="G244" s="27" t="str">
        <x:v>Country</x:v>
      </x:c>
      <x:c r="H244" s="27" t="str">
        <x:v>Regional</x:v>
      </x:c>
      <x:c r="I244" s="30" t="str">
        <x:v>Regional</x:v>
      </x:c>
      <x:c r="J244" s="151" t="str">
        <x:v>Institution-specific published voting measure</x:v>
      </x:c>
      <x:c r="K244" s="196"/>
      <x:c r="L244" s="196"/>
    </x:row>
    <x:row r="245">
      <x:c r="A245" s="31" t="str">
        <x:v>Congo</x:v>
      </x:c>
      <x:c r="B245" s="32" t="str">
        <x:v>afdb</x:v>
      </x:c>
      <x:c r="C245" s="194"/>
      <x:c r="D245" s="194" t="n">
        <x:v>0.39168724827271173</x:v>
      </x:c>
      <x:c r="E245" s="186" t="n">
        <x:v>45504</x:v>
      </x:c>
      <x:c r="F245" s="32" t="n">
        <x:f t="shared" si="3"/>
        <x:v>1</x:v>
      </x:c>
      <x:c r="G245" s="32" t="str">
        <x:v>Country</x:v>
      </x:c>
      <x:c r="H245" s="32" t="str">
        <x:v>Regional</x:v>
      </x:c>
      <x:c r="I245" s="35" t="str">
        <x:v>Regional</x:v>
      </x:c>
      <x:c r="J245" s="151" t="str">
        <x:v>Institution-specific published voting measure</x:v>
      </x:c>
      <x:c r="K245" s="196"/>
      <x:c r="L245" s="196"/>
    </x:row>
    <x:row r="246">
      <x:c r="A246" s="26" t="str">
        <x:v>Côte d’Ivoire</x:v>
      </x:c>
      <x:c r="B246" s="27" t="str">
        <x:v>afdb</x:v>
      </x:c>
      <x:c r="C246" s="193"/>
      <x:c r="D246" s="193" t="n">
        <x:v>3.816051014165166</x:v>
      </x:c>
      <x:c r="E246" s="185" t="n">
        <x:v>45504</x:v>
      </x:c>
      <x:c r="F246" s="27" t="n">
        <x:f t="shared" si="3"/>
        <x:v>4</x:v>
      </x:c>
      <x:c r="G246" s="27" t="str">
        <x:v>Country</x:v>
      </x:c>
      <x:c r="H246" s="27" t="str">
        <x:v>Regional</x:v>
      </x:c>
      <x:c r="I246" s="30" t="str">
        <x:v>Regional</x:v>
      </x:c>
      <x:c r="J246" s="151" t="str">
        <x:v>Institution-specific published voting measure</x:v>
      </x:c>
      <x:c r="K246" s="196"/>
      <x:c r="L246" s="196"/>
    </x:row>
    <x:row r="247">
      <x:c r="A247" s="31" t="str">
        <x:v>Democratic Republic of the Congo</x:v>
      </x:c>
      <x:c r="B247" s="32" t="str">
        <x:v>afdb</x:v>
      </x:c>
      <x:c r="C247" s="194"/>
      <x:c r="D247" s="194" t="n">
        <x:v>1.6251750100732143</x:v>
      </x:c>
      <x:c r="E247" s="186" t="n">
        <x:v>45504</x:v>
      </x:c>
      <x:c r="F247" s="32" t="n">
        <x:f t="shared" si="3"/>
        <x:v>1</x:v>
      </x:c>
      <x:c r="G247" s="32" t="str">
        <x:v>Country</x:v>
      </x:c>
      <x:c r="H247" s="32" t="str">
        <x:v>Regional</x:v>
      </x:c>
      <x:c r="I247" s="35" t="str">
        <x:v>Regional</x:v>
      </x:c>
      <x:c r="J247" s="151" t="str">
        <x:v>Institution-specific published voting measure</x:v>
      </x:c>
      <x:c r="K247" s="196"/>
      <x:c r="L247" s="196"/>
    </x:row>
    <x:row r="248">
      <x:c r="A248" s="26" t="str">
        <x:v>Djibouti</x:v>
      </x:c>
      <x:c r="B248" s="27" t="str">
        <x:v>afdb</x:v>
      </x:c>
      <x:c r="C248" s="193"/>
      <x:c r="D248" s="193" t="n">
        <x:v>0.01262930956292969</x:v>
      </x:c>
      <x:c r="E248" s="185" t="n">
        <x:v>45504</x:v>
      </x:c>
      <x:c r="F248" s="27" t="n">
        <x:f t="shared" si="3"/>
        <x:v>4</x:v>
      </x:c>
      <x:c r="G248" s="27" t="str">
        <x:v>Country</x:v>
      </x:c>
      <x:c r="H248" s="27" t="str">
        <x:v>Regional</x:v>
      </x:c>
      <x:c r="I248" s="30" t="str">
        <x:v>Regional</x:v>
      </x:c>
      <x:c r="J248" s="151" t="str">
        <x:v>Institution-specific published voting measure</x:v>
      </x:c>
      <x:c r="K248" s="196"/>
      <x:c r="L248" s="196"/>
    </x:row>
    <x:row r="249">
      <x:c r="A249" s="31" t="str">
        <x:v>Egypt</x:v>
      </x:c>
      <x:c r="B249" s="32" t="str">
        <x:v>afdb</x:v>
      </x:c>
      <x:c r="C249" s="194"/>
      <x:c r="D249" s="194" t="n">
        <x:v>6.174708563908704</x:v>
      </x:c>
      <x:c r="E249" s="186" t="n">
        <x:v>45504</x:v>
      </x:c>
      <x:c r="F249" s="32" t="n">
        <x:f t="shared" si="3"/>
        <x:v>6</x:v>
      </x:c>
      <x:c r="G249" s="32" t="str">
        <x:v>Country</x:v>
      </x:c>
      <x:c r="H249" s="32" t="str">
        <x:v>Regional</x:v>
      </x:c>
      <x:c r="I249" s="35" t="str">
        <x:v>Regional</x:v>
      </x:c>
      <x:c r="J249" s="151" t="str">
        <x:v>Institution-specific published voting measure</x:v>
      </x:c>
      <x:c r="K249" s="196"/>
      <x:c r="L249" s="196"/>
    </x:row>
    <x:row r="250">
      <x:c r="A250" s="26" t="str">
        <x:v>Equatorial Guinea</x:v>
      </x:c>
      <x:c r="B250" s="27" t="str">
        <x:v>afdb</x:v>
      </x:c>
      <x:c r="C250" s="193"/>
      <x:c r="D250" s="193" t="n">
        <x:v>0.07017580988367843</x:v>
      </x:c>
      <x:c r="E250" s="185" t="n">
        <x:v>45504</x:v>
      </x:c>
      <x:c r="F250" s="27" t="n">
        <x:f t="shared" si="3"/>
        <x:v>3</x:v>
      </x:c>
      <x:c r="G250" s="27" t="str">
        <x:v>Country</x:v>
      </x:c>
      <x:c r="H250" s="27" t="str">
        <x:v>Regional</x:v>
      </x:c>
      <x:c r="I250" s="30" t="str">
        <x:v>Regional</x:v>
      </x:c>
      <x:c r="J250" s="151" t="str">
        <x:v>Institution-specific published voting measure</x:v>
      </x:c>
      <x:c r="K250" s="196"/>
      <x:c r="L250" s="196"/>
    </x:row>
    <x:row r="251">
      <x:c r="A251" s="31" t="str">
        <x:v>Eritrea</x:v>
      </x:c>
      <x:c r="B251" s="32" t="str">
        <x:v>afdb</x:v>
      </x:c>
      <x:c r="C251" s="194"/>
      <x:c r="D251" s="194" t="n">
        <x:v>0.03537306073447337</x:v>
      </x:c>
      <x:c r="E251" s="186" t="n">
        <x:v>45504</x:v>
      </x:c>
      <x:c r="F251" s="32" t="n">
        <x:f t="shared" si="3"/>
        <x:v>3</x:v>
      </x:c>
      <x:c r="G251" s="32" t="str">
        <x:v>Country</x:v>
      </x:c>
      <x:c r="H251" s="32" t="str">
        <x:v>Regional</x:v>
      </x:c>
      <x:c r="I251" s="35" t="str">
        <x:v>Regional</x:v>
      </x:c>
      <x:c r="J251" s="151" t="str">
        <x:v>Institution-specific published voting measure</x:v>
      </x:c>
      <x:c r="K251" s="196"/>
      <x:c r="L251" s="196"/>
    </x:row>
    <x:row r="252">
      <x:c r="A252" s="26" t="str">
        <x:v>Eswatini</x:v>
      </x:c>
      <x:c r="B252" s="27" t="str">
        <x:v>afdb</x:v>
      </x:c>
      <x:c r="C252" s="193"/>
      <x:c r="D252" s="193" t="n">
        <x:v>0.11670773826243787</x:v>
      </x:c>
      <x:c r="E252" s="185" t="n">
        <x:v>45504</x:v>
      </x:c>
      <x:c r="F252" s="27" t="n">
        <x:f t="shared" si="3"/>
        <x:v>3</x:v>
      </x:c>
      <x:c r="G252" s="27" t="str">
        <x:v>Country</x:v>
      </x:c>
      <x:c r="H252" s="27" t="str">
        <x:v>Regional</x:v>
      </x:c>
      <x:c r="I252" s="30" t="str">
        <x:v>Regional</x:v>
      </x:c>
      <x:c r="J252" s="151" t="str">
        <x:v>Institution-specific published voting measure</x:v>
      </x:c>
      <x:c r="K252" s="196"/>
      <x:c r="L252" s="196"/>
    </x:row>
    <x:row r="253">
      <x:c r="A253" s="31" t="str">
        <x:v>Ethiopia</x:v>
      </x:c>
      <x:c r="B253" s="32" t="str">
        <x:v>afdb</x:v>
      </x:c>
      <x:c r="C253" s="194"/>
      <x:c r="D253" s="194" t="n">
        <x:v>1.5201689661446554</x:v>
      </x:c>
      <x:c r="E253" s="186" t="n">
        <x:v>45504</x:v>
      </x:c>
      <x:c r="F253" s="32" t="n">
        <x:f t="shared" si="3"/>
        <x:v>4</x:v>
      </x:c>
      <x:c r="G253" s="32" t="str">
        <x:v>Country</x:v>
      </x:c>
      <x:c r="H253" s="32" t="str">
        <x:v>Regional</x:v>
      </x:c>
      <x:c r="I253" s="35" t="str">
        <x:v>Regional</x:v>
      </x:c>
      <x:c r="J253" s="151" t="str">
        <x:v>Institution-specific published voting measure</x:v>
      </x:c>
      <x:c r="K253" s="196"/>
      <x:c r="L253" s="196"/>
    </x:row>
    <x:row r="254">
      <x:c r="A254" s="26" t="str">
        <x:v>Gabon</x:v>
      </x:c>
      <x:c r="B254" s="27" t="str">
        <x:v>afdb</x:v>
      </x:c>
      <x:c r="C254" s="193"/>
      <x:c r="D254" s="193" t="n">
        <x:v>0.46327853028368265</x:v>
      </x:c>
      <x:c r="E254" s="185" t="n">
        <x:v>45504</x:v>
      </x:c>
      <x:c r="F254" s="27" t="n">
        <x:f t="shared" si="3"/>
        <x:v>4</x:v>
      </x:c>
      <x:c r="G254" s="27" t="str">
        <x:v>Country</x:v>
      </x:c>
      <x:c r="H254" s="27" t="str">
        <x:v>Regional</x:v>
      </x:c>
      <x:c r="I254" s="30" t="str">
        <x:v>Regional</x:v>
      </x:c>
      <x:c r="J254" s="151" t="str">
        <x:v>Institution-specific published voting measure</x:v>
      </x:c>
      <x:c r="K254" s="196"/>
      <x:c r="L254" s="196"/>
    </x:row>
    <x:row r="255">
      <x:c r="A255" s="31" t="str">
        <x:v>Gambia</x:v>
      </x:c>
      <x:c r="B255" s="32" t="str">
        <x:v>afdb</x:v>
      </x:c>
      <x:c r="C255" s="194"/>
      <x:c r="D255" s="194" t="n">
        <x:v>0.1309449142223891</x:v>
      </x:c>
      <x:c r="E255" s="186" t="n">
        <x:v>45504</x:v>
      </x:c>
      <x:c r="F255" s="32" t="n">
        <x:f t="shared" si="3"/>
        <x:v>2</x:v>
      </x:c>
      <x:c r="G255" s="32" t="str">
        <x:v>Country</x:v>
      </x:c>
      <x:c r="H255" s="32" t="str">
        <x:v>Regional</x:v>
      </x:c>
      <x:c r="I255" s="35" t="str">
        <x:v>Regional</x:v>
      </x:c>
      <x:c r="J255" s="151" t="str">
        <x:v>Institution-specific published voting measure</x:v>
      </x:c>
      <x:c r="K255" s="196"/>
      <x:c r="L255" s="196"/>
    </x:row>
    <x:row r="256">
      <x:c r="A256" s="26" t="str">
        <x:v>Ghana</x:v>
      </x:c>
      <x:c r="B256" s="27" t="str">
        <x:v>afdb</x:v>
      </x:c>
      <x:c r="C256" s="193"/>
      <x:c r="D256" s="193" t="n">
        <x:v>2.1180272881038227</x:v>
      </x:c>
      <x:c r="E256" s="185" t="n">
        <x:v>45504</x:v>
      </x:c>
      <x:c r="F256" s="27" t="n">
        <x:f t="shared" si="3"/>
        <x:v>4</x:v>
      </x:c>
      <x:c r="G256" s="27" t="str">
        <x:v>Country</x:v>
      </x:c>
      <x:c r="H256" s="27" t="str">
        <x:v>Regional</x:v>
      </x:c>
      <x:c r="I256" s="30" t="str">
        <x:v>Regional</x:v>
      </x:c>
      <x:c r="J256" s="151" t="str">
        <x:v>Institution-specific published voting measure</x:v>
      </x:c>
      <x:c r="K256" s="196"/>
      <x:c r="L256" s="196"/>
    </x:row>
    <x:row r="257">
      <x:c r="A257" s="31" t="str">
        <x:v>Guinea</x:v>
      </x:c>
      <x:c r="B257" s="32" t="str">
        <x:v>afdb</x:v>
      </x:c>
      <x:c r="C257" s="194"/>
      <x:c r="D257" s="194" t="n">
        <x:v>0.3945388061990533</x:v>
      </x:c>
      <x:c r="E257" s="186" t="n">
        <x:v>45504</x:v>
      </x:c>
      <x:c r="F257" s="32" t="n">
        <x:f t="shared" si="3"/>
        <x:v>5</x:v>
      </x:c>
      <x:c r="G257" s="32" t="str">
        <x:v>Country</x:v>
      </x:c>
      <x:c r="H257" s="32" t="str">
        <x:v>Regional</x:v>
      </x:c>
      <x:c r="I257" s="35" t="str">
        <x:v>Regional</x:v>
      </x:c>
      <x:c r="J257" s="151" t="str">
        <x:v>Institution-specific published voting measure</x:v>
      </x:c>
      <x:c r="K257" s="196"/>
      <x:c r="L257" s="196"/>
    </x:row>
    <x:row r="258">
      <x:c r="A258" s="26" t="str">
        <x:v>Guinea-Bissau</x:v>
      </x:c>
      <x:c r="B258" s="27" t="str">
        <x:v>afdb</x:v>
      </x:c>
      <x:c r="C258" s="193"/>
      <x:c r="D258" s="193" t="n">
        <x:v>0.011055799285502653</x:v>
      </x:c>
      <x:c r="E258" s="185" t="n">
        <x:v>45504</x:v>
      </x:c>
      <x:c r="F258" s="27" t="n">
        <x:f t="shared" si="3"/>
        <x:v>4</x:v>
      </x:c>
      <x:c r="G258" s="27" t="str">
        <x:v>Country</x:v>
      </x:c>
      <x:c r="H258" s="27" t="str">
        <x:v>Regional</x:v>
      </x:c>
      <x:c r="I258" s="30" t="str">
        <x:v>Regional</x:v>
      </x:c>
      <x:c r="J258" s="151" t="str">
        <x:v>Institution-specific published voting measure</x:v>
      </x:c>
      <x:c r="K258" s="196"/>
      <x:c r="L258" s="196"/>
    </x:row>
    <x:row r="259">
      <x:c r="A259" s="31" t="str">
        <x:v>Kenya</x:v>
      </x:c>
      <x:c r="B259" s="32" t="str">
        <x:v>afdb</x:v>
      </x:c>
      <x:c r="C259" s="194"/>
      <x:c r="D259" s="194" t="n">
        <x:v>1.288361356016801</x:v>
      </x:c>
      <x:c r="E259" s="186" t="n">
        <x:v>45504</x:v>
      </x:c>
      <x:c r="F259" s="32" t="n">
        <x:f t="shared" ref="F259:F322" si="4">COUNTIF(A259:A1290,A259)</x:f>
        <x:v>4</x:v>
      </x:c>
      <x:c r="G259" s="32" t="str">
        <x:v>Country</x:v>
      </x:c>
      <x:c r="H259" s="32" t="str">
        <x:v>Regional</x:v>
      </x:c>
      <x:c r="I259" s="35" t="str">
        <x:v>Regional</x:v>
      </x:c>
      <x:c r="J259" s="151" t="str">
        <x:v>Institution-specific published voting measure</x:v>
      </x:c>
      <x:c r="K259" s="196"/>
      <x:c r="L259" s="196"/>
    </x:row>
    <x:row r="260">
      <x:c r="A260" s="26" t="str">
        <x:v>Lesotho</x:v>
      </x:c>
      <x:c r="B260" s="27" t="str">
        <x:v>afdb</x:v>
      </x:c>
      <x:c r="C260" s="193"/>
      <x:c r="D260" s="193" t="n">
        <x:v>0.09401208565832646</x:v>
      </x:c>
      <x:c r="E260" s="185" t="n">
        <x:v>45504</x:v>
      </x:c>
      <x:c r="F260" s="27" t="n">
        <x:f t="shared" si="4"/>
        <x:v>3</x:v>
      </x:c>
      <x:c r="G260" s="27" t="str">
        <x:v>Country</x:v>
      </x:c>
      <x:c r="H260" s="27" t="str">
        <x:v>Regional</x:v>
      </x:c>
      <x:c r="I260" s="30" t="str">
        <x:v>Regional</x:v>
      </x:c>
      <x:c r="J260" s="151" t="str">
        <x:v>Institution-specific published voting measure</x:v>
      </x:c>
      <x:c r="K260" s="196"/>
      <x:c r="L260" s="196"/>
    </x:row>
    <x:row r="261">
      <x:c r="A261" s="31" t="str">
        <x:v>Liberia</x:v>
      </x:c>
      <x:c r="B261" s="32" t="str">
        <x:v>afdb</x:v>
      </x:c>
      <x:c r="C261" s="194"/>
      <x:c r="D261" s="194" t="n">
        <x:v>0.19453122036784684</x:v>
      </x:c>
      <x:c r="E261" s="186" t="n">
        <x:v>45504</x:v>
      </x:c>
      <x:c r="F261" s="32" t="n">
        <x:f t="shared" si="4"/>
        <x:v>4</x:v>
      </x:c>
      <x:c r="G261" s="32" t="str">
        <x:v>Country</x:v>
      </x:c>
      <x:c r="H261" s="32" t="str">
        <x:v>Regional</x:v>
      </x:c>
      <x:c r="I261" s="35" t="str">
        <x:v>Regional</x:v>
      </x:c>
      <x:c r="J261" s="151" t="str">
        <x:v>Institution-specific published voting measure</x:v>
      </x:c>
      <x:c r="K261" s="196"/>
      <x:c r="L261" s="196"/>
    </x:row>
    <x:row r="262">
      <x:c r="A262" s="26" t="str">
        <x:v>Libya</x:v>
      </x:c>
      <x:c r="B262" s="27" t="str">
        <x:v>afdb</x:v>
      </x:c>
      <x:c r="C262" s="193"/>
      <x:c r="D262" s="193" t="n">
        <x:v>2.103728271128601</x:v>
      </x:c>
      <x:c r="E262" s="185" t="n">
        <x:v>45504</x:v>
      </x:c>
      <x:c r="F262" s="27" t="n">
        <x:f t="shared" si="4"/>
        <x:v>7</x:v>
      </x:c>
      <x:c r="G262" s="27" t="str">
        <x:v>Country</x:v>
      </x:c>
      <x:c r="H262" s="27" t="str">
        <x:v>Regional</x:v>
      </x:c>
      <x:c r="I262" s="30" t="str">
        <x:v>Regional</x:v>
      </x:c>
      <x:c r="J262" s="151" t="str">
        <x:v>Institution-specific published voting measure</x:v>
      </x:c>
      <x:c r="K262" s="196"/>
      <x:c r="L262" s="196"/>
    </x:row>
    <x:row r="263">
      <x:c r="A263" s="31" t="str">
        <x:v>Madagascar</x:v>
      </x:c>
      <x:c r="B263" s="32" t="str">
        <x:v>afdb</x:v>
      </x:c>
      <x:c r="C263" s="194"/>
      <x:c r="D263" s="194" t="n">
        <x:v>0.6496467366358817</x:v>
      </x:c>
      <x:c r="E263" s="186" t="n">
        <x:v>45504</x:v>
      </x:c>
      <x:c r="F263" s="32" t="n">
        <x:f t="shared" si="4"/>
        <x:v>4</x:v>
      </x:c>
      <x:c r="G263" s="32" t="str">
        <x:v>Country</x:v>
      </x:c>
      <x:c r="H263" s="32" t="str">
        <x:v>Regional</x:v>
      </x:c>
      <x:c r="I263" s="35" t="str">
        <x:v>Regional</x:v>
      </x:c>
      <x:c r="J263" s="151" t="str">
        <x:v>Institution-specific published voting measure</x:v>
      </x:c>
      <x:c r="K263" s="196"/>
      <x:c r="L263" s="196"/>
    </x:row>
    <x:row r="264">
      <x:c r="A264" s="26" t="str">
        <x:v>Malawi</x:v>
      </x:c>
      <x:c r="B264" s="27" t="str">
        <x:v>afdb</x:v>
      </x:c>
      <x:c r="C264" s="193"/>
      <x:c r="D264" s="193" t="n">
        <x:v>0.3173887040376961</x:v>
      </x:c>
      <x:c r="E264" s="185" t="n">
        <x:v>45504</x:v>
      </x:c>
      <x:c r="F264" s="27" t="n">
        <x:f t="shared" si="4"/>
        <x:v>3</x:v>
      </x:c>
      <x:c r="G264" s="27" t="str">
        <x:v>Country</x:v>
      </x:c>
      <x:c r="H264" s="27" t="str">
        <x:v>Regional</x:v>
      </x:c>
      <x:c r="I264" s="30" t="str">
        <x:v>Regional</x:v>
      </x:c>
      <x:c r="J264" s="151" t="str">
        <x:v>Institution-specific published voting measure</x:v>
      </x:c>
      <x:c r="K264" s="196"/>
      <x:c r="L264" s="196"/>
    </x:row>
    <x:row r="265">
      <x:c r="A265" s="31" t="str">
        <x:v>Mali</x:v>
      </x:c>
      <x:c r="B265" s="32" t="str">
        <x:v>afdb</x:v>
      </x:c>
      <x:c r="C265" s="194"/>
      <x:c r="D265" s="194" t="n">
        <x:v>0.17912593634168342</x:v>
      </x:c>
      <x:c r="E265" s="186" t="n">
        <x:v>45504</x:v>
      </x:c>
      <x:c r="F265" s="32" t="n">
        <x:f t="shared" si="4"/>
        <x:v>4</x:v>
      </x:c>
      <x:c r="G265" s="32" t="str">
        <x:v>Country</x:v>
      </x:c>
      <x:c r="H265" s="32" t="str">
        <x:v>Regional</x:v>
      </x:c>
      <x:c r="I265" s="35" t="str">
        <x:v>Regional</x:v>
      </x:c>
      <x:c r="J265" s="151" t="str">
        <x:v>Institution-specific published voting measure</x:v>
      </x:c>
      <x:c r="K265" s="196"/>
      <x:c r="L265" s="196"/>
    </x:row>
    <x:row r="266">
      <x:c r="A266" s="26" t="str">
        <x:v>Mauritania</x:v>
      </x:c>
      <x:c r="B266" s="27" t="str">
        <x:v>afdb</x:v>
      </x:c>
      <x:c r="C266" s="193"/>
      <x:c r="D266" s="193" t="n">
        <x:v>0.05725790891615512</x:v>
      </x:c>
      <x:c r="E266" s="185" t="n">
        <x:v>45504</x:v>
      </x:c>
      <x:c r="F266" s="27" t="n">
        <x:f t="shared" si="4"/>
        <x:v>5</x:v>
      </x:c>
      <x:c r="G266" s="27" t="str">
        <x:v>Country</x:v>
      </x:c>
      <x:c r="H266" s="27" t="str">
        <x:v>Regional</x:v>
      </x:c>
      <x:c r="I266" s="30" t="str">
        <x:v>Regional</x:v>
      </x:c>
      <x:c r="J266" s="151" t="str">
        <x:v>Institution-specific published voting measure</x:v>
      </x:c>
      <x:c r="K266" s="196"/>
      <x:c r="L266" s="196"/>
    </x:row>
    <x:row r="267">
      <x:c r="A267" s="31" t="str">
        <x:v>Mauritius</x:v>
      </x:c>
      <x:c r="B267" s="32" t="str">
        <x:v>afdb</x:v>
      </x:c>
      <x:c r="C267" s="194"/>
      <x:c r="D267" s="194" t="n">
        <x:v>0.6486091818241285</x:v>
      </x:c>
      <x:c r="E267" s="186" t="n">
        <x:v>45504</x:v>
      </x:c>
      <x:c r="F267" s="32" t="n">
        <x:f t="shared" si="4"/>
        <x:v>3</x:v>
      </x:c>
      <x:c r="G267" s="32" t="str">
        <x:v>Country</x:v>
      </x:c>
      <x:c r="H267" s="32" t="str">
        <x:v>Regional</x:v>
      </x:c>
      <x:c r="I267" s="35" t="str">
        <x:v>Regional</x:v>
      </x:c>
      <x:c r="J267" s="151" t="str">
        <x:v>Institution-specific published voting measure</x:v>
      </x:c>
      <x:c r="K267" s="196"/>
      <x:c r="L267" s="196"/>
    </x:row>
    <x:row r="268">
      <x:c r="A268" s="26" t="str">
        <x:v>Morocco</x:v>
      </x:c>
      <x:c r="B268" s="27" t="str">
        <x:v>afdb</x:v>
      </x:c>
      <x:c r="C268" s="193"/>
      <x:c r="D268" s="193" t="n">
        <x:v>4.747005658040624</x:v>
      </x:c>
      <x:c r="E268" s="185" t="n">
        <x:v>45504</x:v>
      </x:c>
      <x:c r="F268" s="27" t="n">
        <x:f t="shared" si="4"/>
        <x:v>7</x:v>
      </x:c>
      <x:c r="G268" s="27" t="str">
        <x:v>Country</x:v>
      </x:c>
      <x:c r="H268" s="27" t="str">
        <x:v>Regional</x:v>
      </x:c>
      <x:c r="I268" s="30" t="str">
        <x:v>Regional</x:v>
      </x:c>
      <x:c r="J268" s="151" t="str">
        <x:v>Institution-specific published voting measure</x:v>
      </x:c>
      <x:c r="K268" s="196"/>
      <x:c r="L268" s="196"/>
    </x:row>
    <x:row r="269">
      <x:c r="A269" s="31" t="str">
        <x:v>Mozambique</x:v>
      </x:c>
      <x:c r="B269" s="32" t="str">
        <x:v>afdb</x:v>
      </x:c>
      <x:c r="C269" s="194"/>
      <x:c r="D269" s="194" t="n">
        <x:v>0.5826042048592196</x:v>
      </x:c>
      <x:c r="E269" s="186" t="n">
        <x:v>45504</x:v>
      </x:c>
      <x:c r="F269" s="32" t="n">
        <x:f t="shared" si="4"/>
        <x:v>4</x:v>
      </x:c>
      <x:c r="G269" s="32" t="str">
        <x:v>Country</x:v>
      </x:c>
      <x:c r="H269" s="32" t="str">
        <x:v>Regional</x:v>
      </x:c>
      <x:c r="I269" s="35" t="str">
        <x:v>Regional</x:v>
      </x:c>
      <x:c r="J269" s="151" t="str">
        <x:v>Institution-specific published voting measure</x:v>
      </x:c>
      <x:c r="K269" s="196"/>
      <x:c r="L269" s="196"/>
    </x:row>
    <x:row r="270">
      <x:c r="A270" s="26" t="str">
        <x:v>Namibia</x:v>
      </x:c>
      <x:c r="B270" s="27" t="str">
        <x:v>afdb</x:v>
      </x:c>
      <x:c r="C270" s="193"/>
      <x:c r="D270" s="193" t="n">
        <x:v>0.3448117586980075</x:v>
      </x:c>
      <x:c r="E270" s="185" t="n">
        <x:v>45504</x:v>
      </x:c>
      <x:c r="F270" s="27" t="n">
        <x:f t="shared" si="4"/>
        <x:v>3</x:v>
      </x:c>
      <x:c r="G270" s="27" t="str">
        <x:v>Country</x:v>
      </x:c>
      <x:c r="H270" s="27" t="str">
        <x:v>Regional</x:v>
      </x:c>
      <x:c r="I270" s="30" t="str">
        <x:v>Regional</x:v>
      </x:c>
      <x:c r="J270" s="151" t="str">
        <x:v>Institution-specific published voting measure</x:v>
      </x:c>
      <x:c r="K270" s="196"/>
      <x:c r="L270" s="196"/>
    </x:row>
    <x:row r="271">
      <x:c r="A271" s="31" t="str">
        <x:v>Niger</x:v>
      </x:c>
      <x:c r="B271" s="32" t="str">
        <x:v>afdb</x:v>
      </x:c>
      <x:c r="C271" s="194"/>
      <x:c r="D271" s="194" t="n">
        <x:v>0.2140317538496719</x:v>
      </x:c>
      <x:c r="E271" s="186" t="n">
        <x:v>45504</x:v>
      </x:c>
      <x:c r="F271" s="32" t="n">
        <x:f t="shared" si="4"/>
        <x:v>4</x:v>
      </x:c>
      <x:c r="G271" s="32" t="str">
        <x:v>Country</x:v>
      </x:c>
      <x:c r="H271" s="32" t="str">
        <x:v>Regional</x:v>
      </x:c>
      <x:c r="I271" s="35" t="str">
        <x:v>Regional</x:v>
      </x:c>
      <x:c r="J271" s="151" t="str">
        <x:v>Institution-specific published voting measure</x:v>
      </x:c>
      <x:c r="K271" s="196"/>
      <x:c r="L271" s="196"/>
    </x:row>
    <x:row r="272">
      <x:c r="A272" s="26" t="str">
        <x:v>Nigeria</x:v>
      </x:c>
      <x:c r="B272" s="27" t="str">
        <x:v>afdb</x:v>
      </x:c>
      <x:c r="C272" s="193"/>
      <x:c r="D272" s="193" t="n">
        <x:v>8.699917710222348</x:v>
      </x:c>
      <x:c r="E272" s="185" t="n">
        <x:v>45504</x:v>
      </x:c>
      <x:c r="F272" s="27" t="n">
        <x:f t="shared" si="4"/>
        <x:v>5</x:v>
      </x:c>
      <x:c r="G272" s="27" t="str">
        <x:v>Country</x:v>
      </x:c>
      <x:c r="H272" s="27" t="str">
        <x:v>Regional</x:v>
      </x:c>
      <x:c r="I272" s="30" t="str">
        <x:v>Regional</x:v>
      </x:c>
      <x:c r="J272" s="151" t="str">
        <x:v>Institution-specific published voting measure</x:v>
      </x:c>
      <x:c r="K272" s="196"/>
      <x:c r="L272" s="196"/>
    </x:row>
    <x:row r="273">
      <x:c r="A273" s="31" t="str">
        <x:v>Rwanda</x:v>
      </x:c>
      <x:c r="B273" s="32" t="str">
        <x:v>afdb</x:v>
      </x:c>
      <x:c r="C273" s="194"/>
      <x:c r="D273" s="194" t="n">
        <x:v>0.13892927641614553</x:v>
      </x:c>
      <x:c r="E273" s="186" t="n">
        <x:v>45504</x:v>
      </x:c>
      <x:c r="F273" s="32" t="n">
        <x:f t="shared" si="4"/>
        <x:v>4</x:v>
      </x:c>
      <x:c r="G273" s="32" t="str">
        <x:v>Country</x:v>
      </x:c>
      <x:c r="H273" s="32" t="str">
        <x:v>Regional</x:v>
      </x:c>
      <x:c r="I273" s="35" t="str">
        <x:v>Regional</x:v>
      </x:c>
      <x:c r="J273" s="151" t="str">
        <x:v>Institution-specific published voting measure</x:v>
      </x:c>
      <x:c r="K273" s="196"/>
      <x:c r="L273" s="196"/>
    </x:row>
    <x:row r="274">
      <x:c r="A274" s="26" t="str">
        <x:v>Sao Tome and Principe</x:v>
      </x:c>
      <x:c r="B274" s="27" t="str">
        <x:v>afdb</x:v>
      </x:c>
      <x:c r="C274" s="193"/>
      <x:c r="D274" s="193" t="n">
        <x:v>0.06676768281990632</x:v>
      </x:c>
      <x:c r="E274" s="185" t="n">
        <x:v>45504</x:v>
      </x:c>
      <x:c r="F274" s="27" t="n">
        <x:f t="shared" si="4"/>
        <x:v>3</x:v>
      </x:c>
      <x:c r="G274" s="27" t="str">
        <x:v>Country</x:v>
      </x:c>
      <x:c r="H274" s="27" t="str">
        <x:v>Regional</x:v>
      </x:c>
      <x:c r="I274" s="30" t="str">
        <x:v>Regional</x:v>
      </x:c>
      <x:c r="J274" s="151" t="str">
        <x:v>Institution-specific published voting measure</x:v>
      </x:c>
      <x:c r="K274" s="196"/>
      <x:c r="L274" s="196"/>
    </x:row>
    <x:row r="275">
      <x:c r="A275" s="31" t="str">
        <x:v>Senegal</x:v>
      </x:c>
      <x:c r="B275" s="32" t="str">
        <x:v>afdb</x:v>
      </x:c>
      <x:c r="C275" s="194"/>
      <x:c r="D275" s="194" t="n">
        <x:v>0.9960113919395596</x:v>
      </x:c>
      <x:c r="E275" s="186" t="n">
        <x:v>45504</x:v>
      </x:c>
      <x:c r="F275" s="32" t="n">
        <x:f t="shared" si="4"/>
        <x:v>5</x:v>
      </x:c>
      <x:c r="G275" s="32" t="str">
        <x:v>Country</x:v>
      </x:c>
      <x:c r="H275" s="32" t="str">
        <x:v>Regional</x:v>
      </x:c>
      <x:c r="I275" s="35" t="str">
        <x:v>Regional</x:v>
      </x:c>
      <x:c r="J275" s="151" t="str">
        <x:v>Institution-specific published voting measure</x:v>
      </x:c>
      <x:c r="K275" s="196"/>
      <x:c r="L275" s="196"/>
    </x:row>
    <x:row r="276">
      <x:c r="A276" s="26" t="str">
        <x:v>Seychelles</x:v>
      </x:c>
      <x:c r="B276" s="27" t="str">
        <x:v>afdb</x:v>
      </x:c>
      <x:c r="C276" s="193"/>
      <x:c r="D276" s="193" t="n">
        <x:v>0.03268641218218528</x:v>
      </x:c>
      <x:c r="E276" s="185" t="n">
        <x:v>45504</x:v>
      </x:c>
      <x:c r="F276" s="27" t="n">
        <x:f t="shared" si="4"/>
        <x:v>3</x:v>
      </x:c>
      <x:c r="G276" s="27" t="str">
        <x:v>Country</x:v>
      </x:c>
      <x:c r="H276" s="27" t="str">
        <x:v>Regional</x:v>
      </x:c>
      <x:c r="I276" s="30" t="str">
        <x:v>Regional</x:v>
      </x:c>
      <x:c r="J276" s="151" t="str">
        <x:v>Institution-specific published voting measure</x:v>
      </x:c>
      <x:c r="K276" s="196"/>
      <x:c r="L276" s="196"/>
    </x:row>
    <x:row r="277">
      <x:c r="A277" s="31" t="str">
        <x:v>Sierra Leone</x:v>
      </x:c>
      <x:c r="B277" s="32" t="str">
        <x:v>afdb</x:v>
      </x:c>
      <x:c r="C277" s="194"/>
      <x:c r="D277" s="194" t="n">
        <x:v>0.11349887669231373</x:v>
      </x:c>
      <x:c r="E277" s="186" t="n">
        <x:v>45504</x:v>
      </x:c>
      <x:c r="F277" s="32" t="n">
        <x:f t="shared" si="4"/>
        <x:v>4</x:v>
      </x:c>
      <x:c r="G277" s="32" t="str">
        <x:v>Country</x:v>
      </x:c>
      <x:c r="H277" s="32" t="str">
        <x:v>Regional</x:v>
      </x:c>
      <x:c r="I277" s="35" t="str">
        <x:v>Regional</x:v>
      </x:c>
      <x:c r="J277" s="151" t="str">
        <x:v>Institution-specific published voting measure</x:v>
      </x:c>
      <x:c r="K277" s="196"/>
      <x:c r="L277" s="196"/>
    </x:row>
    <x:row r="278">
      <x:c r="A278" s="26" t="str">
        <x:v>Somalia</x:v>
      </x:c>
      <x:c r="B278" s="27" t="str">
        <x:v>afdb</x:v>
      </x:c>
      <x:c r="C278" s="193"/>
      <x:c r="D278" s="193" t="n">
        <x:v>0.03358654251556057</x:v>
      </x:c>
      <x:c r="E278" s="185" t="n">
        <x:v>45504</x:v>
      </x:c>
      <x:c r="F278" s="27" t="n">
        <x:f t="shared" si="4"/>
        <x:v>2</x:v>
      </x:c>
      <x:c r="G278" s="27" t="str">
        <x:v>Country</x:v>
      </x:c>
      <x:c r="H278" s="27" t="str">
        <x:v>Regional</x:v>
      </x:c>
      <x:c r="I278" s="30" t="str">
        <x:v>Regional</x:v>
      </x:c>
      <x:c r="J278" s="151" t="str">
        <x:v>Institution-specific published voting measure</x:v>
      </x:c>
      <x:c r="K278" s="196"/>
      <x:c r="L278" s="196"/>
    </x:row>
    <x:row r="279">
      <x:c r="A279" s="31" t="str">
        <x:v>South Africa</x:v>
      </x:c>
      <x:c r="B279" s="32" t="str">
        <x:v>afdb</x:v>
      </x:c>
      <x:c r="C279" s="194"/>
      <x:c r="D279" s="194" t="n">
        <x:v>5.040406919377456</x:v>
      </x:c>
      <x:c r="E279" s="186" t="n">
        <x:v>45504</x:v>
      </x:c>
      <x:c r="F279" s="32" t="n">
        <x:f t="shared" si="4"/>
        <x:v>5</x:v>
      </x:c>
      <x:c r="G279" s="32" t="str">
        <x:v>Country</x:v>
      </x:c>
      <x:c r="H279" s="32" t="str">
        <x:v>Regional</x:v>
      </x:c>
      <x:c r="I279" s="35" t="str">
        <x:v>Regional</x:v>
      </x:c>
      <x:c r="J279" s="151" t="str">
        <x:v>Institution-specific published voting measure</x:v>
      </x:c>
      <x:c r="K279" s="196"/>
      <x:c r="L279" s="196"/>
    </x:row>
    <x:row r="280">
      <x:c r="A280" s="26" t="str">
        <x:v>South Sudan</x:v>
      </x:c>
      <x:c r="B280" s="27" t="str">
        <x:v>afdb</x:v>
      </x:c>
      <x:c r="C280" s="193"/>
      <x:c r="D280" s="193" t="n">
        <x:v>0.29471366510534136</x:v>
      </x:c>
      <x:c r="E280" s="185" t="n">
        <x:v>45504</x:v>
      </x:c>
      <x:c r="F280" s="27" t="n">
        <x:f t="shared" si="4"/>
        <x:v>3</x:v>
      </x:c>
      <x:c r="G280" s="27" t="str">
        <x:v>Country</x:v>
      </x:c>
      <x:c r="H280" s="27" t="str">
        <x:v>Regional</x:v>
      </x:c>
      <x:c r="I280" s="30" t="str">
        <x:v>Regional</x:v>
      </x:c>
      <x:c r="J280" s="151" t="str">
        <x:v>Institution-specific published voting measure</x:v>
      </x:c>
      <x:c r="K280" s="196"/>
      <x:c r="L280" s="196"/>
    </x:row>
    <x:row r="281">
      <x:c r="A281" s="31" t="str">
        <x:v>Sudan</x:v>
      </x:c>
      <x:c r="B281" s="32" t="str">
        <x:v>afdb</x:v>
      </x:c>
      <x:c r="C281" s="194"/>
      <x:c r="D281" s="194" t="n">
        <x:v>0.10072527142708725</x:v>
      </x:c>
      <x:c r="E281" s="186" t="n">
        <x:v>45504</x:v>
      </x:c>
      <x:c r="F281" s="32" t="n">
        <x:f t="shared" si="4"/>
        <x:v>6</x:v>
      </x:c>
      <x:c r="G281" s="32" t="str">
        <x:v>Country</x:v>
      </x:c>
      <x:c r="H281" s="32" t="str">
        <x:v>Regional</x:v>
      </x:c>
      <x:c r="I281" s="35" t="str">
        <x:v>Regional</x:v>
      </x:c>
      <x:c r="J281" s="151" t="str">
        <x:v>Institution-specific published voting measure</x:v>
      </x:c>
      <x:c r="K281" s="196"/>
      <x:c r="L281" s="196"/>
    </x:row>
    <x:row r="282">
      <x:c r="A282" s="26" t="str">
        <x:v>Tanzania</x:v>
      </x:c>
      <x:c r="B282" s="27" t="str">
        <x:v>afdb</x:v>
      </x:c>
      <x:c r="C282" s="193"/>
      <x:c r="D282" s="193" t="n">
        <x:v>0.8088529948366875</x:v>
      </x:c>
      <x:c r="E282" s="185" t="n">
        <x:v>45504</x:v>
      </x:c>
      <x:c r="F282" s="27" t="n">
        <x:f t="shared" si="4"/>
        <x:v>3</x:v>
      </x:c>
      <x:c r="G282" s="27" t="str">
        <x:v>Country</x:v>
      </x:c>
      <x:c r="H282" s="27" t="str">
        <x:v>Regional</x:v>
      </x:c>
      <x:c r="I282" s="30" t="str">
        <x:v>Regional</x:v>
      </x:c>
      <x:c r="J282" s="151" t="str">
        <x:v>Institution-specific published voting measure</x:v>
      </x:c>
      <x:c r="K282" s="196"/>
      <x:c r="L282" s="196"/>
    </x:row>
    <x:row r="283">
      <x:c r="A283" s="31" t="str">
        <x:v>Togo</x:v>
      </x:c>
      <x:c r="B283" s="32" t="str">
        <x:v>afdb</x:v>
      </x:c>
      <x:c r="C283" s="194"/>
      <x:c r="D283" s="194" t="n">
        <x:v>0.167857129114695</x:v>
      </x:c>
      <x:c r="E283" s="186" t="n">
        <x:v>45504</x:v>
      </x:c>
      <x:c r="F283" s="32" t="n">
        <x:f t="shared" si="4"/>
        <x:v>5</x:v>
      </x:c>
      <x:c r="G283" s="32" t="str">
        <x:v>Country</x:v>
      </x:c>
      <x:c r="H283" s="32" t="str">
        <x:v>Regional</x:v>
      </x:c>
      <x:c r="I283" s="35" t="str">
        <x:v>Regional</x:v>
      </x:c>
      <x:c r="J283" s="151" t="str">
        <x:v>Institution-specific published voting measure</x:v>
      </x:c>
      <x:c r="K283" s="196"/>
      <x:c r="L283" s="196"/>
    </x:row>
    <x:row r="284">
      <x:c r="A284" s="26" t="str">
        <x:v>Tunisia</x:v>
      </x:c>
      <x:c r="B284" s="27" t="str">
        <x:v>afdb</x:v>
      </x:c>
      <x:c r="C284" s="193"/>
      <x:c r="D284" s="193" t="n">
        <x:v>1.4414865810493842</x:v>
      </x:c>
      <x:c r="E284" s="185" t="n">
        <x:v>45504</x:v>
      </x:c>
      <x:c r="F284" s="27" t="n">
        <x:f t="shared" si="4"/>
        <x:v>7</x:v>
      </x:c>
      <x:c r="G284" s="27" t="str">
        <x:v>Country</x:v>
      </x:c>
      <x:c r="H284" s="27" t="str">
        <x:v>Regional</x:v>
      </x:c>
      <x:c r="I284" s="30" t="str">
        <x:v>Regional</x:v>
      </x:c>
      <x:c r="J284" s="151" t="str">
        <x:v>Institution-specific published voting measure</x:v>
      </x:c>
      <x:c r="K284" s="196"/>
      <x:c r="L284" s="196"/>
    </x:row>
    <x:row r="285">
      <x:c r="A285" s="31" t="str">
        <x:v>Uganda</x:v>
      </x:c>
      <x:c r="B285" s="32" t="str">
        <x:v>afdb</x:v>
      </x:c>
      <x:c r="C285" s="194"/>
      <x:c r="D285" s="194" t="n">
        <x:v>0.39223007496230444</x:v>
      </x:c>
      <x:c r="E285" s="186" t="n">
        <x:v>45504</x:v>
      </x:c>
      <x:c r="F285" s="32" t="n">
        <x:f t="shared" si="4"/>
        <x:v>4</x:v>
      </x:c>
      <x:c r="G285" s="32" t="str">
        <x:v>Country</x:v>
      </x:c>
      <x:c r="H285" s="32" t="str">
        <x:v>Regional</x:v>
      </x:c>
      <x:c r="I285" s="35" t="str">
        <x:v>Regional</x:v>
      </x:c>
      <x:c r="J285" s="151" t="str">
        <x:v>Institution-specific published voting measure</x:v>
      </x:c>
      <x:c r="K285" s="196"/>
      <x:c r="L285" s="196"/>
    </x:row>
    <x:row r="286">
      <x:c r="A286" s="26" t="str">
        <x:v>Zambia</x:v>
      </x:c>
      <x:c r="B286" s="27" t="str">
        <x:v>afdb</x:v>
      </x:c>
      <x:c r="C286" s="193"/>
      <x:c r="D286" s="193" t="n">
        <x:v>1.1712138594235537</x:v>
      </x:c>
      <x:c r="E286" s="185" t="n">
        <x:v>45504</x:v>
      </x:c>
      <x:c r="F286" s="27" t="n">
        <x:f t="shared" si="4"/>
        <x:v>3</x:v>
      </x:c>
      <x:c r="G286" s="27" t="str">
        <x:v>Country</x:v>
      </x:c>
      <x:c r="H286" s="27" t="str">
        <x:v>Regional</x:v>
      </x:c>
      <x:c r="I286" s="30" t="str">
        <x:v>Regional</x:v>
      </x:c>
      <x:c r="J286" s="151" t="str">
        <x:v>Institution-specific published voting measure</x:v>
      </x:c>
      <x:c r="K286" s="196"/>
      <x:c r="L286" s="196"/>
    </x:row>
    <x:row r="287">
      <x:c r="A287" s="31" t="str">
        <x:v>Zimbabwe</x:v>
      </x:c>
      <x:c r="B287" s="32" t="str">
        <x:v>afdb</x:v>
      </x:c>
      <x:c r="C287" s="194"/>
      <x:c r="D287" s="194" t="n">
        <x:v>1.7135664345658843</x:v>
      </x:c>
      <x:c r="E287" s="186" t="n">
        <x:v>45504</x:v>
      </x:c>
      <x:c r="F287" s="32" t="n">
        <x:f t="shared" si="4"/>
        <x:v>3</x:v>
      </x:c>
      <x:c r="G287" s="32" t="str">
        <x:v>Country</x:v>
      </x:c>
      <x:c r="H287" s="32" t="str">
        <x:v>Regional</x:v>
      </x:c>
      <x:c r="I287" s="35" t="str">
        <x:v>Regional</x:v>
      </x:c>
      <x:c r="J287" s="151" t="str">
        <x:v>Institution-specific published voting measure</x:v>
      </x:c>
      <x:c r="K287" s="196"/>
      <x:c r="L287" s="196"/>
    </x:row>
    <x:row r="288">
      <x:c r="A288" s="26" t="str">
        <x:v>Argentina</x:v>
      </x:c>
      <x:c r="B288" s="27" t="str">
        <x:v>afdb</x:v>
      </x:c>
      <x:c r="C288" s="193"/>
      <x:c r="D288" s="193" t="n">
        <x:v>0.08004288743121218</x:v>
      </x:c>
      <x:c r="E288" s="185" t="n">
        <x:v>45504</x:v>
      </x:c>
      <x:c r="F288" s="27" t="n">
        <x:f t="shared" si="4"/>
        <x:v>7</x:v>
      </x:c>
      <x:c r="G288" s="27" t="str">
        <x:v>Country</x:v>
      </x:c>
      <x:c r="H288" s="27" t="str">
        <x:v>Nonregional</x:v>
      </x:c>
      <x:c r="I288" s="30" t="str">
        <x:v>Regional</x:v>
      </x:c>
      <x:c r="J288" s="151" t="str">
        <x:v>Institution-specific published voting measure</x:v>
      </x:c>
      <x:c r="K288" s="196"/>
      <x:c r="L288" s="196"/>
    </x:row>
    <x:row r="289">
      <x:c r="A289" s="31" t="str">
        <x:v>Austria</x:v>
      </x:c>
      <x:c r="B289" s="32" t="str">
        <x:v>afdb</x:v>
      </x:c>
      <x:c r="C289" s="194"/>
      <x:c r="D289" s="194" t="n">
        <x:v>0.44393603495199213</x:v>
      </x:c>
      <x:c r="E289" s="186" t="n">
        <x:v>45504</x:v>
      </x:c>
      <x:c r="F289" s="32" t="n">
        <x:f t="shared" si="4"/>
        <x:v>8</x:v>
      </x:c>
      <x:c r="G289" s="32" t="str">
        <x:v>Country</x:v>
      </x:c>
      <x:c r="H289" s="32" t="str">
        <x:v>Nonregional</x:v>
      </x:c>
      <x:c r="I289" s="35" t="str">
        <x:v>Regional</x:v>
      </x:c>
      <x:c r="J289" s="151" t="str">
        <x:v>Institution-specific published voting measure</x:v>
      </x:c>
      <x:c r="K289" s="196"/>
      <x:c r="L289" s="196"/>
    </x:row>
    <x:row r="290">
      <x:c r="A290" s="26" t="str">
        <x:v>Belgium</x:v>
      </x:c>
      <x:c r="B290" s="27" t="str">
        <x:v>afdb</x:v>
      </x:c>
      <x:c r="C290" s="193"/>
      <x:c r="D290" s="193" t="n">
        <x:v>0.6470837701141338</x:v>
      </x:c>
      <x:c r="E290" s="185" t="n">
        <x:v>45504</x:v>
      </x:c>
      <x:c r="F290" s="27" t="n">
        <x:f t="shared" si="4"/>
        <x:v>8</x:v>
      </x:c>
      <x:c r="G290" s="27" t="str">
        <x:v>Country</x:v>
      </x:c>
      <x:c r="H290" s="27" t="str">
        <x:v>Nonregional</x:v>
      </x:c>
      <x:c r="I290" s="30" t="str">
        <x:v>Regional</x:v>
      </x:c>
      <x:c r="J290" s="151" t="str">
        <x:v>Institution-specific published voting measure</x:v>
      </x:c>
      <x:c r="K290" s="196"/>
      <x:c r="L290" s="196"/>
    </x:row>
    <x:row r="291">
      <x:c r="A291" s="31" t="str">
        <x:v>Brazil</x:v>
      </x:c>
      <x:c r="B291" s="32" t="str">
        <x:v>afdb</x:v>
      </x:c>
      <x:c r="C291" s="194"/>
      <x:c r="D291" s="194" t="n">
        <x:v>0.15402535536595863</x:v>
      </x:c>
      <x:c r="E291" s="186" t="n">
        <x:v>45504</x:v>
      </x:c>
      <x:c r="F291" s="32" t="n">
        <x:f t="shared" si="4"/>
        <x:v>8</x:v>
      </x:c>
      <x:c r="G291" s="32" t="str">
        <x:v>Country</x:v>
      </x:c>
      <x:c r="H291" s="32" t="str">
        <x:v>Nonregional</x:v>
      </x:c>
      <x:c r="I291" s="35" t="str">
        <x:v>Regional</x:v>
      </x:c>
      <x:c r="J291" s="151" t="str">
        <x:v>Institution-specific published voting measure</x:v>
      </x:c>
      <x:c r="K291" s="196"/>
      <x:c r="L291" s="196"/>
    </x:row>
    <x:row r="292">
      <x:c r="A292" s="26" t="str">
        <x:v>Canada</x:v>
      </x:c>
      <x:c r="B292" s="27" t="str">
        <x:v>afdb</x:v>
      </x:c>
      <x:c r="C292" s="193"/>
      <x:c r="D292" s="193" t="n">
        <x:v>3.8563507424494867</x:v>
      </x:c>
      <x:c r="E292" s="185" t="n">
        <x:v>45504</x:v>
      </x:c>
      <x:c r="F292" s="27" t="n">
        <x:f t="shared" si="4"/>
        <x:v>8</x:v>
      </x:c>
      <x:c r="G292" s="27" t="str">
        <x:v>Country</x:v>
      </x:c>
      <x:c r="H292" s="27" t="str">
        <x:v>Nonregional</x:v>
      </x:c>
      <x:c r="I292" s="30" t="str">
        <x:v>Regional</x:v>
      </x:c>
      <x:c r="J292" s="151" t="str">
        <x:v>Institution-specific published voting measure</x:v>
      </x:c>
      <x:c r="K292" s="196"/>
      <x:c r="L292" s="196"/>
    </x:row>
    <x:row r="293">
      <x:c r="A293" s="31" t="str">
        <x:v>China</x:v>
      </x:c>
      <x:c r="B293" s="32" t="str">
        <x:v>afdb</x:v>
      </x:c>
      <x:c r="C293" s="194"/>
      <x:c r="D293" s="194" t="n">
        <x:v>1.2749349844792794</x:v>
      </x:c>
      <x:c r="E293" s="186" t="n">
        <x:v>45504</x:v>
      </x:c>
      <x:c r="F293" s="32" t="n">
        <x:f t="shared" si="4"/>
        <x:v>8</x:v>
      </x:c>
      <x:c r="G293" s="32" t="str">
        <x:v>Country</x:v>
      </x:c>
      <x:c r="H293" s="32" t="str">
        <x:v>Nonregional</x:v>
      </x:c>
      <x:c r="I293" s="35" t="str">
        <x:v>Regional</x:v>
      </x:c>
      <x:c r="J293" s="151" t="str">
        <x:v>Institution-specific published voting measure</x:v>
      </x:c>
      <x:c r="K293" s="196"/>
      <x:c r="L293" s="196"/>
    </x:row>
    <x:row r="294">
      <x:c r="A294" s="26" t="str">
        <x:v>Denmark</x:v>
      </x:c>
      <x:c r="B294" s="27" t="str">
        <x:v>afdb</x:v>
      </x:c>
      <x:c r="C294" s="193"/>
      <x:c r="D294" s="193" t="n">
        <x:v>1.1631951411102028</x:v>
      </x:c>
      <x:c r="E294" s="185" t="n">
        <x:v>45504</x:v>
      </x:c>
      <x:c r="F294" s="27" t="n">
        <x:f t="shared" si="4"/>
        <x:v>8</x:v>
      </x:c>
      <x:c r="G294" s="27" t="str">
        <x:v>Country</x:v>
      </x:c>
      <x:c r="H294" s="27" t="str">
        <x:v>Nonregional</x:v>
      </x:c>
      <x:c r="I294" s="30" t="str">
        <x:v>Regional</x:v>
      </x:c>
      <x:c r="J294" s="151" t="str">
        <x:v>Institution-specific published voting measure</x:v>
      </x:c>
      <x:c r="K294" s="196"/>
      <x:c r="L294" s="196"/>
    </x:row>
    <x:row r="295">
      <x:c r="A295" s="31" t="str">
        <x:v>Finland</x:v>
      </x:c>
      <x:c r="B295" s="32" t="str">
        <x:v>afdb</x:v>
      </x:c>
      <x:c r="C295" s="194"/>
      <x:c r="D295" s="194" t="n">
        <x:v>0.48559626557225477</x:v>
      </x:c>
      <x:c r="E295" s="186" t="n">
        <x:v>45504</x:v>
      </x:c>
      <x:c r="F295" s="32" t="n">
        <x:f t="shared" si="4"/>
        <x:v>8</x:v>
      </x:c>
      <x:c r="G295" s="32" t="str">
        <x:v>Country</x:v>
      </x:c>
      <x:c r="H295" s="32" t="str">
        <x:v>Nonregional</x:v>
      </x:c>
      <x:c r="I295" s="35" t="str">
        <x:v>Regional</x:v>
      </x:c>
      <x:c r="J295" s="151" t="str">
        <x:v>Institution-specific published voting measure</x:v>
      </x:c>
      <x:c r="K295" s="196"/>
      <x:c r="L295" s="196"/>
    </x:row>
    <x:row r="296">
      <x:c r="A296" s="26" t="str">
        <x:v>France</x:v>
      </x:c>
      <x:c r="B296" s="27" t="str">
        <x:v>afdb</x:v>
      </x:c>
      <x:c r="C296" s="193"/>
      <x:c r="D296" s="193" t="n">
        <x:v>3.70218796260515</x:v>
      </x:c>
      <x:c r="E296" s="185" t="n">
        <x:v>45504</x:v>
      </x:c>
      <x:c r="F296" s="27" t="n">
        <x:f t="shared" si="4"/>
        <x:v>8</x:v>
      </x:c>
      <x:c r="G296" s="27" t="str">
        <x:v>Country</x:v>
      </x:c>
      <x:c r="H296" s="27" t="str">
        <x:v>Nonregional</x:v>
      </x:c>
      <x:c r="I296" s="30" t="str">
        <x:v>Regional</x:v>
      </x:c>
      <x:c r="J296" s="151" t="str">
        <x:v>Institution-specific published voting measure</x:v>
      </x:c>
      <x:c r="K296" s="196"/>
      <x:c r="L296" s="196"/>
    </x:row>
    <x:row r="297">
      <x:c r="A297" s="31" t="str">
        <x:v>Germany</x:v>
      </x:c>
      <x:c r="B297" s="32" t="str">
        <x:v>afdb</x:v>
      </x:c>
      <x:c r="C297" s="194"/>
      <x:c r="D297" s="194" t="n">
        <x:v>4.12678837344937</x:v>
      </x:c>
      <x:c r="E297" s="186" t="n">
        <x:v>45504</x:v>
      </x:c>
      <x:c r="F297" s="32" t="n">
        <x:f t="shared" si="4"/>
        <x:v>9</x:v>
      </x:c>
      <x:c r="G297" s="32" t="str">
        <x:v>Country</x:v>
      </x:c>
      <x:c r="H297" s="32" t="str">
        <x:v>Nonregional</x:v>
      </x:c>
      <x:c r="I297" s="35" t="str">
        <x:v>Regional</x:v>
      </x:c>
      <x:c r="J297" s="151" t="str">
        <x:v>Institution-specific published voting measure</x:v>
      </x:c>
      <x:c r="K297" s="196"/>
      <x:c r="L297" s="196"/>
    </x:row>
    <x:row r="298">
      <x:c r="A298" s="26" t="str">
        <x:v>India</x:v>
      </x:c>
      <x:c r="B298" s="27" t="str">
        <x:v>afdb</x:v>
      </x:c>
      <x:c r="C298" s="193"/>
      <x:c r="D298" s="193" t="n">
        <x:v>0.28740955407955554</x:v>
      </x:c>
      <x:c r="E298" s="185" t="n">
        <x:v>45504</x:v>
      </x:c>
      <x:c r="F298" s="27" t="n">
        <x:f t="shared" si="4"/>
        <x:v>7</x:v>
      </x:c>
      <x:c r="G298" s="27" t="str">
        <x:v>Country</x:v>
      </x:c>
      <x:c r="H298" s="27" t="str">
        <x:v>Nonregional</x:v>
      </x:c>
      <x:c r="I298" s="30" t="str">
        <x:v>Regional</x:v>
      </x:c>
      <x:c r="J298" s="151" t="str">
        <x:v>Institution-specific published voting measure</x:v>
      </x:c>
      <x:c r="K298" s="196"/>
      <x:c r="L298" s="196"/>
    </x:row>
    <x:row r="299">
      <x:c r="A299" s="31" t="str">
        <x:v>Ireland</x:v>
      </x:c>
      <x:c r="B299" s="32" t="str">
        <x:v>afdb</x:v>
      </x:c>
      <x:c r="C299" s="194"/>
      <x:c r="D299" s="194" t="n">
        <x:v>0.8052730871749431</x:v>
      </x:c>
      <x:c r="E299" s="186" t="n">
        <x:v>45504</x:v>
      </x:c>
      <x:c r="F299" s="32" t="n">
        <x:f t="shared" si="4"/>
        <x:v>7</x:v>
      </x:c>
      <x:c r="G299" s="32" t="str">
        <x:v>Country</x:v>
      </x:c>
      <x:c r="H299" s="32" t="str">
        <x:v>Nonregional</x:v>
      </x:c>
      <x:c r="I299" s="35" t="str">
        <x:v>Regional</x:v>
      </x:c>
      <x:c r="J299" s="151" t="str">
        <x:v>Institution-specific published voting measure</x:v>
      </x:c>
      <x:c r="K299" s="196"/>
      <x:c r="L299" s="196"/>
    </x:row>
    <x:row r="300">
      <x:c r="A300" s="26" t="str">
        <x:v>Italy</x:v>
      </x:c>
      <x:c r="B300" s="27" t="str">
        <x:v>afdb</x:v>
      </x:c>
      <x:c r="C300" s="193"/>
      <x:c r="D300" s="193" t="n">
        <x:v>2.393886314775715</x:v>
      </x:c>
      <x:c r="E300" s="185" t="n">
        <x:v>45504</x:v>
      </x:c>
      <x:c r="F300" s="27" t="n">
        <x:f t="shared" si="4"/>
        <x:v>9</x:v>
      </x:c>
      <x:c r="G300" s="27" t="str">
        <x:v>Country</x:v>
      </x:c>
      <x:c r="H300" s="27" t="str">
        <x:v>Nonregional</x:v>
      </x:c>
      <x:c r="I300" s="30" t="str">
        <x:v>Regional</x:v>
      </x:c>
      <x:c r="J300" s="151" t="str">
        <x:v>Institution-specific published voting measure</x:v>
      </x:c>
      <x:c r="K300" s="196"/>
      <x:c r="L300" s="196"/>
    </x:row>
    <x:row r="301">
      <x:c r="A301" s="31" t="str">
        <x:v>Japan</x:v>
      </x:c>
      <x:c r="B301" s="32" t="str">
        <x:v>afdb</x:v>
      </x:c>
      <x:c r="C301" s="194"/>
      <x:c r="D301" s="194" t="n">
        <x:v>5.426906393591402</x:v>
      </x:c>
      <x:c r="E301" s="186" t="n">
        <x:v>45504</x:v>
      </x:c>
      <x:c r="F301" s="32" t="n">
        <x:f t="shared" si="4"/>
        <x:v>6</x:v>
      </x:c>
      <x:c r="G301" s="32" t="str">
        <x:v>Country</x:v>
      </x:c>
      <x:c r="H301" s="32" t="str">
        <x:v>Nonregional</x:v>
      </x:c>
      <x:c r="I301" s="35" t="str">
        <x:v>Regional</x:v>
      </x:c>
      <x:c r="J301" s="151" t="str">
        <x:v>Institution-specific published voting measure</x:v>
      </x:c>
      <x:c r="K301" s="196"/>
      <x:c r="L301" s="196"/>
    </x:row>
    <x:row r="302">
      <x:c r="A302" s="26" t="str">
        <x:v>Korea</x:v>
      </x:c>
      <x:c r="B302" s="27" t="str">
        <x:v>afdb</x:v>
      </x:c>
      <x:c r="C302" s="193"/>
      <x:c r="D302" s="193" t="n">
        <x:v>0.4781890861876856</x:v>
      </x:c>
      <x:c r="E302" s="185" t="n">
        <x:v>45504</x:v>
      </x:c>
      <x:c r="F302" s="27" t="n">
        <x:f t="shared" si="4"/>
        <x:v>8</x:v>
      </x:c>
      <x:c r="G302" s="27" t="str">
        <x:v>Country</x:v>
      </x:c>
      <x:c r="H302" s="27" t="str">
        <x:v>Nonregional</x:v>
      </x:c>
      <x:c r="I302" s="30" t="str">
        <x:v>Regional</x:v>
      </x:c>
      <x:c r="J302" s="151" t="str">
        <x:v>Institution-specific published voting measure</x:v>
      </x:c>
      <x:c r="K302" s="196"/>
      <x:c r="L302" s="196"/>
    </x:row>
    <x:row r="303">
      <x:c r="A303" s="31" t="str">
        <x:v>Kuwait</x:v>
      </x:c>
      <x:c r="B303" s="32" t="str">
        <x:v>afdb</x:v>
      </x:c>
      <x:c r="C303" s="194"/>
      <x:c r="D303" s="194" t="n">
        <x:v>0.44393603495199213</x:v>
      </x:c>
      <x:c r="E303" s="186" t="n">
        <x:v>45504</x:v>
      </x:c>
      <x:c r="F303" s="32" t="n">
        <x:f t="shared" si="4"/>
        <x:v>5</x:v>
      </x:c>
      <x:c r="G303" s="32" t="str">
        <x:v>Country</x:v>
      </x:c>
      <x:c r="H303" s="32" t="str">
        <x:v>Nonregional</x:v>
      </x:c>
      <x:c r="I303" s="35" t="str">
        <x:v>Regional</x:v>
      </x:c>
      <x:c r="J303" s="151" t="str">
        <x:v>Institution-specific published voting measure</x:v>
      </x:c>
      <x:c r="K303" s="196"/>
      <x:c r="L303" s="196"/>
    </x:row>
    <x:row r="304">
      <x:c r="A304" s="26" t="str">
        <x:v>Luxembourg</x:v>
      </x:c>
      <x:c r="B304" s="27" t="str">
        <x:v>afdb</x:v>
      </x:c>
      <x:c r="C304" s="193"/>
      <x:c r="D304" s="193" t="n">
        <x:v>0.2084317063557722</x:v>
      </x:c>
      <x:c r="E304" s="185" t="n">
        <x:v>45504</x:v>
      </x:c>
      <x:c r="F304" s="27" t="n">
        <x:f t="shared" si="4"/>
        <x:v>7</x:v>
      </x:c>
      <x:c r="G304" s="27" t="str">
        <x:v>Country</x:v>
      </x:c>
      <x:c r="H304" s="27" t="str">
        <x:v>Nonregional</x:v>
      </x:c>
      <x:c r="I304" s="30" t="str">
        <x:v>Regional</x:v>
      </x:c>
      <x:c r="J304" s="151" t="str">
        <x:v>Institution-specific published voting measure</x:v>
      </x:c>
      <x:c r="K304" s="196"/>
      <x:c r="L304" s="196"/>
    </x:row>
    <x:row r="305">
      <x:c r="A305" s="31" t="str">
        <x:v>Netherlands</x:v>
      </x:c>
      <x:c r="B305" s="32" t="str">
        <x:v>afdb</x:v>
      </x:c>
      <x:c r="C305" s="194"/>
      <x:c r="D305" s="194" t="n">
        <x:v>0.8773522260841554</x:v>
      </x:c>
      <x:c r="E305" s="186" t="n">
        <x:v>45504</x:v>
      </x:c>
      <x:c r="F305" s="32" t="n">
        <x:f t="shared" si="4"/>
        <x:v>8</x:v>
      </x:c>
      <x:c r="G305" s="32" t="str">
        <x:v>Country</x:v>
      </x:c>
      <x:c r="H305" s="32" t="str">
        <x:v>Nonregional</x:v>
      </x:c>
      <x:c r="I305" s="35" t="str">
        <x:v>Regional</x:v>
      </x:c>
      <x:c r="J305" s="151" t="str">
        <x:v>Institution-specific published voting measure</x:v>
      </x:c>
      <x:c r="K305" s="196"/>
      <x:c r="L305" s="196"/>
    </x:row>
    <x:row r="306">
      <x:c r="A306" s="26" t="str">
        <x:v>Norway</x:v>
      </x:c>
      <x:c r="B306" s="27" t="str">
        <x:v>afdb</x:v>
      </x:c>
      <x:c r="C306" s="193"/>
      <x:c r="D306" s="193" t="n">
        <x:v>1.169626606698289</x:v>
      </x:c>
      <x:c r="E306" s="185" t="n">
        <x:v>45504</x:v>
      </x:c>
      <x:c r="F306" s="27" t="n">
        <x:f t="shared" si="4"/>
        <x:v>7</x:v>
      </x:c>
      <x:c r="G306" s="27" t="str">
        <x:v>Country</x:v>
      </x:c>
      <x:c r="H306" s="27" t="str">
        <x:v>Nonregional</x:v>
      </x:c>
      <x:c r="I306" s="30" t="str">
        <x:v>Regional</x:v>
      </x:c>
      <x:c r="J306" s="151" t="str">
        <x:v>Institution-specific published voting measure</x:v>
      </x:c>
      <x:c r="K306" s="196"/>
      <x:c r="L306" s="196"/>
    </x:row>
    <x:row r="307">
      <x:c r="A307" s="31" t="str">
        <x:v>Portugal</x:v>
      </x:c>
      <x:c r="B307" s="32" t="str">
        <x:v>afdb</x:v>
      </x:c>
      <x:c r="C307" s="194"/>
      <x:c r="D307" s="194" t="n">
        <x:v>0.24115247465755194</x:v>
      </x:c>
      <x:c r="E307" s="186" t="n">
        <x:v>45504</x:v>
      </x:c>
      <x:c r="F307" s="32" t="n">
        <x:f t="shared" si="4"/>
        <x:v>9</x:v>
      </x:c>
      <x:c r="G307" s="32" t="str">
        <x:v>Country</x:v>
      </x:c>
      <x:c r="H307" s="32" t="str">
        <x:v>Nonregional</x:v>
      </x:c>
      <x:c r="I307" s="35" t="str">
        <x:v>Regional</x:v>
      </x:c>
      <x:c r="J307" s="151" t="str">
        <x:v>Institution-specific published voting measure</x:v>
      </x:c>
      <x:c r="K307" s="196"/>
      <x:c r="L307" s="196"/>
    </x:row>
    <x:row r="308">
      <x:c r="A308" s="26" t="str">
        <x:v>Saudi Arabia</x:v>
      </x:c>
      <x:c r="B308" s="27" t="str">
        <x:v>afdb</x:v>
      </x:c>
      <x:c r="C308" s="193"/>
      <x:c r="D308" s="193" t="n">
        <x:v>0.1950603046096018</x:v>
      </x:c>
      <x:c r="E308" s="185" t="n">
        <x:v>45504</x:v>
      </x:c>
      <x:c r="F308" s="27" t="n">
        <x:f t="shared" si="4"/>
        <x:v>6</x:v>
      </x:c>
      <x:c r="G308" s="27" t="str">
        <x:v>Country</x:v>
      </x:c>
      <x:c r="H308" s="27" t="str">
        <x:v>Nonregional</x:v>
      </x:c>
      <x:c r="I308" s="30" t="str">
        <x:v>Regional</x:v>
      </x:c>
      <x:c r="J308" s="151" t="str">
        <x:v>Institution-specific published voting measure</x:v>
      </x:c>
      <x:c r="K308" s="196"/>
      <x:c r="L308" s="196"/>
    </x:row>
    <x:row r="309">
      <x:c r="A309" s="31" t="str">
        <x:v>Spain</x:v>
      </x:c>
      <x:c r="B309" s="32" t="str">
        <x:v>afdb</x:v>
      </x:c>
      <x:c r="C309" s="194"/>
      <x:c r="D309" s="194" t="n">
        <x:v>1.0650534498766204</x:v>
      </x:c>
      <x:c r="E309" s="186" t="n">
        <x:v>45504</x:v>
      </x:c>
      <x:c r="F309" s="32" t="n">
        <x:f t="shared" si="4"/>
        <x:v>10</x:v>
      </x:c>
      <x:c r="G309" s="32" t="str">
        <x:v>Country</x:v>
      </x:c>
      <x:c r="H309" s="32" t="str">
        <x:v>Nonregional</x:v>
      </x:c>
      <x:c r="I309" s="35" t="str">
        <x:v>Regional</x:v>
      </x:c>
      <x:c r="J309" s="151" t="str">
        <x:v>Institution-specific published voting measure</x:v>
      </x:c>
      <x:c r="K309" s="196"/>
      <x:c r="L309" s="196"/>
    </x:row>
    <x:row r="310">
      <x:c r="A310" s="26" t="str">
        <x:v>Sweden</x:v>
      </x:c>
      <x:c r="B310" s="27" t="str">
        <x:v>afdb</x:v>
      </x:c>
      <x:c r="C310" s="193"/>
      <x:c r="D310" s="193" t="n">
        <x:v>1.551776596171574</x:v>
      </x:c>
      <x:c r="E310" s="185" t="n">
        <x:v>45504</x:v>
      </x:c>
      <x:c r="F310" s="27" t="n">
        <x:f t="shared" si="4"/>
        <x:v>8</x:v>
      </x:c>
      <x:c r="G310" s="27" t="str">
        <x:v>Country</x:v>
      </x:c>
      <x:c r="H310" s="27" t="str">
        <x:v>Nonregional</x:v>
      </x:c>
      <x:c r="I310" s="30" t="str">
        <x:v>Regional</x:v>
      </x:c>
      <x:c r="J310" s="151" t="str">
        <x:v>Institution-specific published voting measure</x:v>
      </x:c>
      <x:c r="K310" s="196"/>
      <x:c r="L310" s="196"/>
    </x:row>
    <x:row r="311">
      <x:c r="A311" s="31" t="str">
        <x:v>Switzerland</x:v>
      </x:c>
      <x:c r="B311" s="32" t="str">
        <x:v>afdb</x:v>
      </x:c>
      <x:c r="C311" s="194"/>
      <x:c r="D311" s="194" t="n">
        <x:v>1.4517659320320517</x:v>
      </x:c>
      <x:c r="E311" s="186" t="n">
        <x:v>45504</x:v>
      </x:c>
      <x:c r="F311" s="32" t="n">
        <x:f t="shared" si="4"/>
        <x:v>7</x:v>
      </x:c>
      <x:c r="G311" s="32" t="str">
        <x:v>Country</x:v>
      </x:c>
      <x:c r="H311" s="32" t="str">
        <x:v>Nonregional</x:v>
      </x:c>
      <x:c r="I311" s="35" t="str">
        <x:v>Regional</x:v>
      </x:c>
      <x:c r="J311" s="151" t="str">
        <x:v>Institution-specific published voting measure</x:v>
      </x:c>
      <x:c r="K311" s="196"/>
      <x:c r="L311" s="196"/>
    </x:row>
    <x:row r="312">
      <x:c r="A312" s="26" t="str">
        <x:v>Türkiye</x:v>
      </x:c>
      <x:c r="B312" s="27" t="str">
        <x:v>afdb</x:v>
      </x:c>
      <x:c r="C312" s="193"/>
      <x:c r="D312" s="193" t="n">
        <x:v>0.3948480112754036</x:v>
      </x:c>
      <x:c r="E312" s="185" t="n">
        <x:v>45504</x:v>
      </x:c>
      <x:c r="F312" s="27" t="n">
        <x:f t="shared" si="4"/>
        <x:v>5</x:v>
      </x:c>
      <x:c r="G312" s="27" t="str">
        <x:v>Country</x:v>
      </x:c>
      <x:c r="H312" s="27" t="str">
        <x:v>Nonregional</x:v>
      </x:c>
      <x:c r="I312" s="30" t="str">
        <x:v>Regional</x:v>
      </x:c>
      <x:c r="J312" s="151" t="str">
        <x:v>Institution-specific published voting measure</x:v>
      </x:c>
      <x:c r="K312" s="196"/>
      <x:c r="L312" s="196"/>
    </x:row>
    <x:row r="313">
      <x:c r="A313" s="31" t="str">
        <x:v>United Kingdom</x:v>
      </x:c>
      <x:c r="B313" s="32" t="str">
        <x:v>afdb</x:v>
      </x:c>
      <x:c r="C313" s="194"/>
      <x:c r="D313" s="194" t="n">
        <x:v>1.8704433478581843</x:v>
      </x:c>
      <x:c r="E313" s="186" t="n">
        <x:v>45504</x:v>
      </x:c>
      <x:c r="F313" s="32" t="n">
        <x:f t="shared" si="4"/>
        <x:v>8</x:v>
      </x:c>
      <x:c r="G313" s="32" t="str">
        <x:v>Country</x:v>
      </x:c>
      <x:c r="H313" s="32" t="str">
        <x:v>Nonregional</x:v>
      </x:c>
      <x:c r="I313" s="35" t="str">
        <x:v>Regional</x:v>
      </x:c>
      <x:c r="J313" s="151" t="str">
        <x:v>Institution-specific published voting measure</x:v>
      </x:c>
      <x:c r="K313" s="196"/>
      <x:c r="L313" s="196"/>
    </x:row>
    <x:row r="314">
      <x:c r="A314" s="26" t="str">
        <x:v>United States</x:v>
      </x:c>
      <x:c r="B314" s="27" t="str">
        <x:v>afdb</x:v>
      </x:c>
      <x:c r="C314" s="193"/>
      <x:c r="D314" s="193" t="n">
        <x:v>6.528562853283979</x:v>
      </x:c>
      <x:c r="E314" s="185" t="n">
        <x:v>45504</x:v>
      </x:c>
      <x:c r="F314" s="27" t="n">
        <x:f t="shared" si="4"/>
        <x:v>5</x:v>
      </x:c>
      <x:c r="G314" s="27" t="str">
        <x:v>Country</x:v>
      </x:c>
      <x:c r="H314" s="27" t="str">
        <x:v>Nonregional</x:v>
      </x:c>
      <x:c r="I314" s="30" t="str">
        <x:v>Regional</x:v>
      </x:c>
      <x:c r="J314" s="151" t="str">
        <x:v>Institution-specific published voting measure</x:v>
      </x:c>
      <x:c r="K314" s="196"/>
      <x:c r="L314" s="196"/>
    </x:row>
    <x:row r="315">
      <x:c r="A315" s="31" t="str">
        <x:v>Jordan</x:v>
      </x:c>
      <x:c r="B315" s="32" t="str">
        <x:v>badea</x:v>
      </x:c>
      <x:c r="C315" s="194" t="n">
        <x:v>0.21408</x:v>
      </x:c>
      <x:c r="D315" s="194"/>
      <x:c r="E315" s="186" t="n">
        <x:v>45291</x:v>
      </x:c>
      <x:c r="F315" s="32" t="n">
        <x:f t="shared" si="4"/>
        <x:v>6</x:v>
      </x:c>
      <x:c r="G315" s="32" t="str">
        <x:v>Country</x:v>
      </x:c>
      <x:c r="H315" s="32" t="str">
        <x:v>Member</x:v>
      </x:c>
      <x:c r="I315" s="35" t="str">
        <x:v>Group</x:v>
      </x:c>
      <x:c r="J315" s="151" t="str">
        <x:v>No comparable voting measure in source</x:v>
      </x:c>
      <x:c r="K315" s="196"/>
      <x:c r="L315" s="196"/>
    </x:row>
    <x:row r="316">
      <x:c r="A316" s="26" t="str">
        <x:v>United Arab Emirates</x:v>
      </x:c>
      <x:c r="B316" s="27" t="str">
        <x:v>badea</x:v>
      </x:c>
      <x:c r="C316" s="193" t="n">
        <x:v>10.70434</x:v>
      </x:c>
      <x:c r="D316" s="193"/>
      <x:c r="E316" s="185" t="n">
        <x:v>45291</x:v>
      </x:c>
      <x:c r="F316" s="27" t="n">
        <x:f t="shared" si="4"/>
        <x:v>7</x:v>
      </x:c>
      <x:c r="G316" s="27" t="str">
        <x:v>Country</x:v>
      </x:c>
      <x:c r="H316" s="27" t="str">
        <x:v>Member</x:v>
      </x:c>
      <x:c r="I316" s="30" t="str">
        <x:v>Group</x:v>
      </x:c>
      <x:c r="J316" s="151" t="str">
        <x:v>No comparable voting measure in source</x:v>
      </x:c>
      <x:c r="K316" s="196"/>
      <x:c r="L316" s="196"/>
    </x:row>
    <x:row r="317">
      <x:c r="A317" s="31" t="str">
        <x:v>Bahrain</x:v>
      </x:c>
      <x:c r="B317" s="32" t="str">
        <x:v>badea</x:v>
      </x:c>
      <x:c r="C317" s="194" t="n">
        <x:v>0.21408</x:v>
      </x:c>
      <x:c r="D317" s="194"/>
      <x:c r="E317" s="186" t="n">
        <x:v>45291</x:v>
      </x:c>
      <x:c r="F317" s="32" t="n">
        <x:f t="shared" si="4"/>
        <x:v>5</x:v>
      </x:c>
      <x:c r="G317" s="32" t="str">
        <x:v>Country</x:v>
      </x:c>
      <x:c r="H317" s="32" t="str">
        <x:v>Member</x:v>
      </x:c>
      <x:c r="I317" s="35" t="str">
        <x:v>Group</x:v>
      </x:c>
      <x:c r="J317" s="151" t="str">
        <x:v>No comparable voting measure in source</x:v>
      </x:c>
      <x:c r="K317" s="196"/>
      <x:c r="L317" s="196"/>
    </x:row>
    <x:row r="318">
      <x:c r="A318" s="26" t="str">
        <x:v>Tunisia</x:v>
      </x:c>
      <x:c r="B318" s="27" t="str">
        <x:v>badea</x:v>
      </x:c>
      <x:c r="C318" s="193" t="n">
        <x:v>0.8920199999999999</x:v>
      </x:c>
      <x:c r="D318" s="193"/>
      <x:c r="E318" s="185" t="n">
        <x:v>45291</x:v>
      </x:c>
      <x:c r="F318" s="27" t="n">
        <x:f t="shared" si="4"/>
        <x:v>7</x:v>
      </x:c>
      <x:c r="G318" s="27" t="str">
        <x:v>Country</x:v>
      </x:c>
      <x:c r="H318" s="27" t="str">
        <x:v>Member</x:v>
      </x:c>
      <x:c r="I318" s="30" t="str">
        <x:v>Group</x:v>
      </x:c>
      <x:c r="J318" s="151" t="str">
        <x:v>No comparable voting measure in source</x:v>
      </x:c>
      <x:c r="K318" s="196"/>
      <x:c r="L318" s="196"/>
    </x:row>
    <x:row r="319">
      <x:c r="A319" s="31" t="str">
        <x:v>Algeria</x:v>
      </x:c>
      <x:c r="B319" s="32" t="str">
        <x:v>badea</x:v>
      </x:c>
      <x:c r="C319" s="194" t="n">
        <x:v>4.28174</x:v>
      </x:c>
      <x:c r="D319" s="194"/>
      <x:c r="E319" s="186" t="n">
        <x:v>45291</x:v>
      </x:c>
      <x:c r="F319" s="32" t="n">
        <x:f t="shared" si="4"/>
        <x:v>8</x:v>
      </x:c>
      <x:c r="G319" s="32" t="str">
        <x:v>Country</x:v>
      </x:c>
      <x:c r="H319" s="32" t="str">
        <x:v>Member</x:v>
      </x:c>
      <x:c r="I319" s="35" t="str">
        <x:v>Group</x:v>
      </x:c>
      <x:c r="J319" s="151" t="str">
        <x:v>No comparable voting measure in source</x:v>
      </x:c>
      <x:c r="K319" s="196"/>
      <x:c r="L319" s="196"/>
    </x:row>
    <x:row r="320">
      <x:c r="A320" s="26" t="str">
        <x:v>Saudi Arabia</x:v>
      </x:c>
      <x:c r="B320" s="27" t="str">
        <x:v>badea</x:v>
      </x:c>
      <x:c r="C320" s="193" t="n">
        <x:v>25.690400000000004</x:v>
      </x:c>
      <x:c r="D320" s="193"/>
      <x:c r="E320" s="185" t="n">
        <x:v>45291</x:v>
      </x:c>
      <x:c r="F320" s="27" t="n">
        <x:f t="shared" si="4"/>
        <x:v>6</x:v>
      </x:c>
      <x:c r="G320" s="27" t="str">
        <x:v>Country</x:v>
      </x:c>
      <x:c r="H320" s="27" t="str">
        <x:v>Member</x:v>
      </x:c>
      <x:c r="I320" s="30" t="str">
        <x:v>Group</x:v>
      </x:c>
      <x:c r="J320" s="151" t="str">
        <x:v>No comparable voting measure in source</x:v>
      </x:c>
      <x:c r="K320" s="196"/>
      <x:c r="L320" s="196"/>
    </x:row>
    <x:row r="321">
      <x:c r="A321" s="31" t="str">
        <x:v>Sudan</x:v>
      </x:c>
      <x:c r="B321" s="32" t="str">
        <x:v>badea</x:v>
      </x:c>
      <x:c r="C321" s="194" t="n">
        <x:v>0.21408</x:v>
      </x:c>
      <x:c r="D321" s="194"/>
      <x:c r="E321" s="186" t="n">
        <x:v>45291</x:v>
      </x:c>
      <x:c r="F321" s="32" t="n">
        <x:f t="shared" si="4"/>
        <x:v>6</x:v>
      </x:c>
      <x:c r="G321" s="32" t="str">
        <x:v>Country</x:v>
      </x:c>
      <x:c r="H321" s="32" t="str">
        <x:v>Member</x:v>
      </x:c>
      <x:c r="I321" s="35" t="str">
        <x:v>Group</x:v>
      </x:c>
      <x:c r="J321" s="151" t="str">
        <x:v>No comparable voting measure in source</x:v>
      </x:c>
      <x:c r="K321" s="196"/>
      <x:c r="L321" s="196"/>
    </x:row>
    <x:row r="322">
      <x:c r="A322" s="26" t="str">
        <x:v>Syria</x:v>
      </x:c>
      <x:c r="B322" s="27" t="str">
        <x:v>badea</x:v>
      </x:c>
      <x:c r="C322" s="193" t="n">
        <x:v>0.11893999999999999</x:v>
      </x:c>
      <x:c r="D322" s="193"/>
      <x:c r="E322" s="185" t="n">
        <x:v>45291</x:v>
      </x:c>
      <x:c r="F322" s="27" t="n">
        <x:f t="shared" si="4"/>
        <x:v>2</x:v>
      </x:c>
      <x:c r="G322" s="27" t="str">
        <x:v>Country</x:v>
      </x:c>
      <x:c r="H322" s="27" t="str">
        <x:v>Member</x:v>
      </x:c>
      <x:c r="I322" s="30" t="str">
        <x:v>Group</x:v>
      </x:c>
      <x:c r="J322" s="151" t="str">
        <x:v>No comparable voting measure in source</x:v>
      </x:c>
      <x:c r="K322" s="196"/>
      <x:c r="L322" s="196"/>
    </x:row>
    <x:row r="323">
      <x:c r="A323" s="31" t="str">
        <x:v>Iraq</x:v>
      </x:c>
      <x:c r="B323" s="32" t="str">
        <x:v>badea</x:v>
      </x:c>
      <x:c r="C323" s="194" t="n">
        <x:v>14.98608</x:v>
      </x:c>
      <x:c r="D323" s="194"/>
      <x:c r="E323" s="186" t="n">
        <x:v>45291</x:v>
      </x:c>
      <x:c r="F323" s="32" t="n">
        <x:f t="shared" ref="F323:F386" si="5">COUNTIF(A323:A1354,A323)</x:f>
        <x:v>6</x:v>
      </x:c>
      <x:c r="G323" s="32" t="str">
        <x:v>Country</x:v>
      </x:c>
      <x:c r="H323" s="32" t="str">
        <x:v>Member</x:v>
      </x:c>
      <x:c r="I323" s="35" t="str">
        <x:v>Group</x:v>
      </x:c>
      <x:c r="J323" s="151" t="str">
        <x:v>No comparable voting measure in source</x:v>
      </x:c>
      <x:c r="K323" s="196"/>
      <x:c r="L323" s="196"/>
    </x:row>
    <x:row r="324">
      <x:c r="A324" s="26" t="str">
        <x:v>Oman</x:v>
      </x:c>
      <x:c r="B324" s="27" t="str">
        <x:v>badea</x:v>
      </x:c>
      <x:c r="C324" s="193" t="n">
        <x:v>1.2845199999999999</x:v>
      </x:c>
      <x:c r="D324" s="193"/>
      <x:c r="E324" s="185" t="n">
        <x:v>45291</x:v>
      </x:c>
      <x:c r="F324" s="27" t="n">
        <x:f t="shared" si="5"/>
        <x:v>5</x:v>
      </x:c>
      <x:c r="G324" s="27" t="str">
        <x:v>Country</x:v>
      </x:c>
      <x:c r="H324" s="27" t="str">
        <x:v>Member</x:v>
      </x:c>
      <x:c r="I324" s="30" t="str">
        <x:v>Group</x:v>
      </x:c>
      <x:c r="J324" s="151" t="str">
        <x:v>No comparable voting measure in source</x:v>
      </x:c>
      <x:c r="K324" s="196"/>
      <x:c r="L324" s="196"/>
    </x:row>
    <x:row r="325">
      <x:c r="A325" s="31" t="str">
        <x:v>Palestine</x:v>
      </x:c>
      <x:c r="B325" s="32" t="str">
        <x:v>badea</x:v>
      </x:c>
      <x:c r="C325" s="194" t="n">
        <x:v>0.21408</x:v>
      </x:c>
      <x:c r="D325" s="194"/>
      <x:c r="E325" s="186" t="n">
        <x:v>45291</x:v>
      </x:c>
      <x:c r="F325" s="32" t="n">
        <x:f t="shared" si="5"/>
        <x:v>2</x:v>
      </x:c>
      <x:c r="G325" s="32" t="str">
        <x:v>Country</x:v>
      </x:c>
      <x:c r="H325" s="32" t="str">
        <x:v>Member</x:v>
      </x:c>
      <x:c r="I325" s="35" t="str">
        <x:v>Group</x:v>
      </x:c>
      <x:c r="J325" s="151" t="str">
        <x:v>No comparable voting measure in source</x:v>
      </x:c>
      <x:c r="K325" s="196"/>
      <x:c r="L325" s="196"/>
    </x:row>
    <x:row r="326">
      <x:c r="A326" s="26" t="str">
        <x:v>Qatar</x:v>
      </x:c>
      <x:c r="B326" s="27" t="str">
        <x:v>badea</x:v>
      </x:c>
      <x:c r="C326" s="193" t="n">
        <x:v>8.56348</x:v>
      </x:c>
      <x:c r="D326" s="193"/>
      <x:c r="E326" s="185" t="n">
        <x:v>45291</x:v>
      </x:c>
      <x:c r="F326" s="27" t="n">
        <x:f t="shared" si="5"/>
        <x:v>5</x:v>
      </x:c>
      <x:c r="G326" s="27" t="str">
        <x:v>Country</x:v>
      </x:c>
      <x:c r="H326" s="27" t="str">
        <x:v>Member</x:v>
      </x:c>
      <x:c r="I326" s="30" t="str">
        <x:v>Group</x:v>
      </x:c>
      <x:c r="J326" s="151" t="str">
        <x:v>No comparable voting measure in source</x:v>
      </x:c>
      <x:c r="K326" s="196"/>
      <x:c r="L326" s="196"/>
    </x:row>
    <x:row r="327">
      <x:c r="A327" s="31" t="str">
        <x:v>Kuwait</x:v>
      </x:c>
      <x:c r="B327" s="32" t="str">
        <x:v>badea</x:v>
      </x:c>
      <x:c r="C327" s="194" t="n">
        <x:v>15.6997</x:v>
      </x:c>
      <x:c r="D327" s="194"/>
      <x:c r="E327" s="186" t="n">
        <x:v>45291</x:v>
      </x:c>
      <x:c r="F327" s="32" t="n">
        <x:f t="shared" si="5"/>
        <x:v>5</x:v>
      </x:c>
      <x:c r="G327" s="32" t="str">
        <x:v>Country</x:v>
      </x:c>
      <x:c r="H327" s="32" t="str">
        <x:v>Member</x:v>
      </x:c>
      <x:c r="I327" s="35" t="str">
        <x:v>Group</x:v>
      </x:c>
      <x:c r="J327" s="151" t="str">
        <x:v>No comparable voting measure in source</x:v>
      </x:c>
      <x:c r="K327" s="196"/>
      <x:c r="L327" s="196"/>
    </x:row>
    <x:row r="328">
      <x:c r="A328" s="26" t="str">
        <x:v>Lebanon</x:v>
      </x:c>
      <x:c r="B328" s="27" t="str">
        <x:v>badea</x:v>
      </x:c>
      <x:c r="C328" s="193" t="n">
        <x:v>0.7136199999999999</x:v>
      </x:c>
      <x:c r="D328" s="193"/>
      <x:c r="E328" s="185" t="n">
        <x:v>45291</x:v>
      </x:c>
      <x:c r="F328" s="27" t="n">
        <x:f t="shared" si="5"/>
        <x:v>5</x:v>
      </x:c>
      <x:c r="G328" s="27" t="str">
        <x:v>Country</x:v>
      </x:c>
      <x:c r="H328" s="27" t="str">
        <x:v>Member</x:v>
      </x:c>
      <x:c r="I328" s="30" t="str">
        <x:v>Group</x:v>
      </x:c>
      <x:c r="J328" s="151" t="str">
        <x:v>No comparable voting measure in source</x:v>
      </x:c>
      <x:c r="K328" s="196"/>
      <x:c r="L328" s="196"/>
    </x:row>
    <x:row r="329">
      <x:c r="A329" s="31" t="str">
        <x:v>Libya</x:v>
      </x:c>
      <x:c r="B329" s="32" t="str">
        <x:v>badea</x:v>
      </x:c>
      <x:c r="C329" s="194" t="n">
        <x:v>14.27244</x:v>
      </x:c>
      <x:c r="D329" s="194"/>
      <x:c r="E329" s="186" t="n">
        <x:v>45291</x:v>
      </x:c>
      <x:c r="F329" s="32" t="n">
        <x:f t="shared" si="5"/>
        <x:v>7</x:v>
      </x:c>
      <x:c r="G329" s="32" t="str">
        <x:v>Country</x:v>
      </x:c>
      <x:c r="H329" s="32" t="str">
        <x:v>Member</x:v>
      </x:c>
      <x:c r="I329" s="35" t="str">
        <x:v>Group</x:v>
      </x:c>
      <x:c r="J329" s="151" t="str">
        <x:v>No comparable voting measure in source</x:v>
      </x:c>
      <x:c r="K329" s="196"/>
      <x:c r="L329" s="196"/>
    </x:row>
    <x:row r="330">
      <x:c r="A330" s="26" t="str">
        <x:v>Egypt</x:v>
      </x:c>
      <x:c r="B330" s="27" t="str">
        <x:v>badea</x:v>
      </x:c>
      <x:c r="C330" s="193" t="n">
        <x:v>0.21408</x:v>
      </x:c>
      <x:c r="D330" s="193"/>
      <x:c r="E330" s="185" t="n">
        <x:v>45291</x:v>
      </x:c>
      <x:c r="F330" s="27" t="n">
        <x:f t="shared" si="5"/>
        <x:v>6</x:v>
      </x:c>
      <x:c r="G330" s="27" t="str">
        <x:v>Country</x:v>
      </x:c>
      <x:c r="H330" s="27" t="str">
        <x:v>Member</x:v>
      </x:c>
      <x:c r="I330" s="30" t="str">
        <x:v>Group</x:v>
      </x:c>
      <x:c r="J330" s="151" t="str">
        <x:v>No comparable voting measure in source</x:v>
      </x:c>
      <x:c r="K330" s="196"/>
      <x:c r="L330" s="196"/>
    </x:row>
    <x:row r="331">
      <x:c r="A331" s="31" t="str">
        <x:v>Morocco</x:v>
      </x:c>
      <x:c r="B331" s="32" t="str">
        <x:v>badea</x:v>
      </x:c>
      <x:c r="C331" s="194" t="n">
        <x:v>1.56996</x:v>
      </x:c>
      <x:c r="D331" s="194"/>
      <x:c r="E331" s="186" t="n">
        <x:v>45291</x:v>
      </x:c>
      <x:c r="F331" s="32" t="n">
        <x:f t="shared" si="5"/>
        <x:v>7</x:v>
      </x:c>
      <x:c r="G331" s="32" t="str">
        <x:v>Country</x:v>
      </x:c>
      <x:c r="H331" s="32" t="str">
        <x:v>Member</x:v>
      </x:c>
      <x:c r="I331" s="35" t="str">
        <x:v>Group</x:v>
      </x:c>
      <x:c r="J331" s="151" t="str">
        <x:v>No comparable voting measure in source</x:v>
      </x:c>
      <x:c r="K331" s="196"/>
      <x:c r="L331" s="196"/>
    </x:row>
    <x:row r="332">
      <x:c r="A332" s="26" t="str">
        <x:v>Mauritania</x:v>
      </x:c>
      <x:c r="B332" s="27" t="str">
        <x:v>badea</x:v>
      </x:c>
      <x:c r="C332" s="193" t="n">
        <x:v>0.15236</x:v>
      </x:c>
      <x:c r="D332" s="193"/>
      <x:c r="E332" s="185" t="n">
        <x:v>45291</x:v>
      </x:c>
      <x:c r="F332" s="27" t="n">
        <x:f t="shared" si="5"/>
        <x:v>5</x:v>
      </x:c>
      <x:c r="G332" s="27" t="str">
        <x:v>Country</x:v>
      </x:c>
      <x:c r="H332" s="27" t="str">
        <x:v>Member</x:v>
      </x:c>
      <x:c r="I332" s="30" t="str">
        <x:v>Group</x:v>
      </x:c>
      <x:c r="J332" s="151" t="str">
        <x:v>No comparable voting measure in source</x:v>
      </x:c>
      <x:c r="K332" s="196"/>
      <x:c r="L332" s="196"/>
    </x:row>
    <x:row r="333">
      <x:c r="A333" s="31" t="str">
        <x:v>Jordan</x:v>
      </x:c>
      <x:c r="B333" s="32" t="str">
        <x:v>badea</x:v>
      </x:c>
      <x:c r="C333" s="194" t="n">
        <x:v>0.21408</x:v>
      </x:c>
      <x:c r="D333" s="194"/>
      <x:c r="E333" s="186" t="n">
        <x:v>45657</x:v>
      </x:c>
      <x:c r="F333" s="32" t="n">
        <x:f t="shared" si="5"/>
        <x:v>6</x:v>
      </x:c>
      <x:c r="G333" s="32" t="str">
        <x:v>Country</x:v>
      </x:c>
      <x:c r="H333" s="32" t="str">
        <x:v>Member</x:v>
      </x:c>
      <x:c r="I333" s="35" t="str">
        <x:v>Group</x:v>
      </x:c>
      <x:c r="J333" s="151" t="str">
        <x:v>No comparable voting measure in source</x:v>
      </x:c>
      <x:c r="K333" s="196"/>
      <x:c r="L333" s="196"/>
    </x:row>
    <x:row r="334">
      <x:c r="A334" s="26" t="str">
        <x:v>United Arab Emirates</x:v>
      </x:c>
      <x:c r="B334" s="27" t="str">
        <x:v>badea</x:v>
      </x:c>
      <x:c r="C334" s="193" t="n">
        <x:v>10.70434</x:v>
      </x:c>
      <x:c r="D334" s="193"/>
      <x:c r="E334" s="185" t="n">
        <x:v>45657</x:v>
      </x:c>
      <x:c r="F334" s="27" t="n">
        <x:f t="shared" si="5"/>
        <x:v>7</x:v>
      </x:c>
      <x:c r="G334" s="27" t="str">
        <x:v>Country</x:v>
      </x:c>
      <x:c r="H334" s="27" t="str">
        <x:v>Member</x:v>
      </x:c>
      <x:c r="I334" s="30" t="str">
        <x:v>Group</x:v>
      </x:c>
      <x:c r="J334" s="151" t="str">
        <x:v>No comparable voting measure in source</x:v>
      </x:c>
      <x:c r="K334" s="196"/>
      <x:c r="L334" s="196"/>
    </x:row>
    <x:row r="335">
      <x:c r="A335" s="31" t="str">
        <x:v>Bahrain</x:v>
      </x:c>
      <x:c r="B335" s="32" t="str">
        <x:v>badea</x:v>
      </x:c>
      <x:c r="C335" s="194" t="n">
        <x:v>0.21408</x:v>
      </x:c>
      <x:c r="D335" s="194"/>
      <x:c r="E335" s="186" t="n">
        <x:v>45657</x:v>
      </x:c>
      <x:c r="F335" s="32" t="n">
        <x:f t="shared" si="5"/>
        <x:v>5</x:v>
      </x:c>
      <x:c r="G335" s="32" t="str">
        <x:v>Country</x:v>
      </x:c>
      <x:c r="H335" s="32" t="str">
        <x:v>Member</x:v>
      </x:c>
      <x:c r="I335" s="35" t="str">
        <x:v>Group</x:v>
      </x:c>
      <x:c r="J335" s="151" t="str">
        <x:v>No comparable voting measure in source</x:v>
      </x:c>
      <x:c r="K335" s="196"/>
      <x:c r="L335" s="196"/>
    </x:row>
    <x:row r="336">
      <x:c r="A336" s="26" t="str">
        <x:v>Tunisia</x:v>
      </x:c>
      <x:c r="B336" s="27" t="str">
        <x:v>badea</x:v>
      </x:c>
      <x:c r="C336" s="193" t="n">
        <x:v>0.8920199999999999</x:v>
      </x:c>
      <x:c r="D336" s="193"/>
      <x:c r="E336" s="185" t="n">
        <x:v>45657</x:v>
      </x:c>
      <x:c r="F336" s="27" t="n">
        <x:f t="shared" si="5"/>
        <x:v>7</x:v>
      </x:c>
      <x:c r="G336" s="27" t="str">
        <x:v>Country</x:v>
      </x:c>
      <x:c r="H336" s="27" t="str">
        <x:v>Member</x:v>
      </x:c>
      <x:c r="I336" s="30" t="str">
        <x:v>Group</x:v>
      </x:c>
      <x:c r="J336" s="151" t="str">
        <x:v>No comparable voting measure in source</x:v>
      </x:c>
      <x:c r="K336" s="196"/>
      <x:c r="L336" s="196"/>
    </x:row>
    <x:row r="337">
      <x:c r="A337" s="31" t="str">
        <x:v>Algeria</x:v>
      </x:c>
      <x:c r="B337" s="32" t="str">
        <x:v>badea</x:v>
      </x:c>
      <x:c r="C337" s="194" t="n">
        <x:v>4.28174</x:v>
      </x:c>
      <x:c r="D337" s="194"/>
      <x:c r="E337" s="186" t="n">
        <x:v>45657</x:v>
      </x:c>
      <x:c r="F337" s="32" t="n">
        <x:f t="shared" si="5"/>
        <x:v>8</x:v>
      </x:c>
      <x:c r="G337" s="32" t="str">
        <x:v>Country</x:v>
      </x:c>
      <x:c r="H337" s="32" t="str">
        <x:v>Member</x:v>
      </x:c>
      <x:c r="I337" s="35" t="str">
        <x:v>Group</x:v>
      </x:c>
      <x:c r="J337" s="151" t="str">
        <x:v>No comparable voting measure in source</x:v>
      </x:c>
      <x:c r="K337" s="196"/>
      <x:c r="L337" s="196"/>
    </x:row>
    <x:row r="338">
      <x:c r="A338" s="26" t="str">
        <x:v>Saudi Arabia</x:v>
      </x:c>
      <x:c r="B338" s="27" t="str">
        <x:v>badea</x:v>
      </x:c>
      <x:c r="C338" s="193" t="n">
        <x:v>25.690400000000004</x:v>
      </x:c>
      <x:c r="D338" s="193"/>
      <x:c r="E338" s="185" t="n">
        <x:v>45657</x:v>
      </x:c>
      <x:c r="F338" s="27" t="n">
        <x:f t="shared" si="5"/>
        <x:v>6</x:v>
      </x:c>
      <x:c r="G338" s="27" t="str">
        <x:v>Country</x:v>
      </x:c>
      <x:c r="H338" s="27" t="str">
        <x:v>Member</x:v>
      </x:c>
      <x:c r="I338" s="30" t="str">
        <x:v>Group</x:v>
      </x:c>
      <x:c r="J338" s="151" t="str">
        <x:v>No comparable voting measure in source</x:v>
      </x:c>
      <x:c r="K338" s="196"/>
      <x:c r="L338" s="196"/>
    </x:row>
    <x:row r="339">
      <x:c r="A339" s="31" t="str">
        <x:v>Sudan</x:v>
      </x:c>
      <x:c r="B339" s="32" t="str">
        <x:v>badea</x:v>
      </x:c>
      <x:c r="C339" s="194" t="n">
        <x:v>0.21408</x:v>
      </x:c>
      <x:c r="D339" s="194"/>
      <x:c r="E339" s="186" t="n">
        <x:v>45657</x:v>
      </x:c>
      <x:c r="F339" s="32" t="n">
        <x:f t="shared" si="5"/>
        <x:v>6</x:v>
      </x:c>
      <x:c r="G339" s="32" t="str">
        <x:v>Country</x:v>
      </x:c>
      <x:c r="H339" s="32" t="str">
        <x:v>Member</x:v>
      </x:c>
      <x:c r="I339" s="35" t="str">
        <x:v>Group</x:v>
      </x:c>
      <x:c r="J339" s="151" t="str">
        <x:v>No comparable voting measure in source</x:v>
      </x:c>
      <x:c r="K339" s="196"/>
      <x:c r="L339" s="196"/>
    </x:row>
    <x:row r="340">
      <x:c r="A340" s="26" t="str">
        <x:v>Syria</x:v>
      </x:c>
      <x:c r="B340" s="27" t="str">
        <x:v>badea</x:v>
      </x:c>
      <x:c r="C340" s="193" t="n">
        <x:v>0.11893999999999999</x:v>
      </x:c>
      <x:c r="D340" s="193"/>
      <x:c r="E340" s="185" t="n">
        <x:v>45657</x:v>
      </x:c>
      <x:c r="F340" s="27" t="n">
        <x:f t="shared" si="5"/>
        <x:v>2</x:v>
      </x:c>
      <x:c r="G340" s="27" t="str">
        <x:v>Country</x:v>
      </x:c>
      <x:c r="H340" s="27" t="str">
        <x:v>Member</x:v>
      </x:c>
      <x:c r="I340" s="30" t="str">
        <x:v>Group</x:v>
      </x:c>
      <x:c r="J340" s="151" t="str">
        <x:v>No comparable voting measure in source</x:v>
      </x:c>
      <x:c r="K340" s="196"/>
      <x:c r="L340" s="196"/>
    </x:row>
    <x:row r="341">
      <x:c r="A341" s="31" t="str">
        <x:v>Iraq</x:v>
      </x:c>
      <x:c r="B341" s="32" t="str">
        <x:v>badea</x:v>
      </x:c>
      <x:c r="C341" s="194" t="n">
        <x:v>14.98608</x:v>
      </x:c>
      <x:c r="D341" s="194"/>
      <x:c r="E341" s="186" t="n">
        <x:v>45657</x:v>
      </x:c>
      <x:c r="F341" s="32" t="n">
        <x:f t="shared" si="5"/>
        <x:v>6</x:v>
      </x:c>
      <x:c r="G341" s="32" t="str">
        <x:v>Country</x:v>
      </x:c>
      <x:c r="H341" s="32" t="str">
        <x:v>Member</x:v>
      </x:c>
      <x:c r="I341" s="35" t="str">
        <x:v>Group</x:v>
      </x:c>
      <x:c r="J341" s="151" t="str">
        <x:v>No comparable voting measure in source</x:v>
      </x:c>
      <x:c r="K341" s="196"/>
      <x:c r="L341" s="196"/>
    </x:row>
    <x:row r="342">
      <x:c r="A342" s="26" t="str">
        <x:v>Oman</x:v>
      </x:c>
      <x:c r="B342" s="27" t="str">
        <x:v>badea</x:v>
      </x:c>
      <x:c r="C342" s="193" t="n">
        <x:v>1.2845199999999999</x:v>
      </x:c>
      <x:c r="D342" s="193"/>
      <x:c r="E342" s="185" t="n">
        <x:v>45657</x:v>
      </x:c>
      <x:c r="F342" s="27" t="n">
        <x:f t="shared" si="5"/>
        <x:v>5</x:v>
      </x:c>
      <x:c r="G342" s="27" t="str">
        <x:v>Country</x:v>
      </x:c>
      <x:c r="H342" s="27" t="str">
        <x:v>Member</x:v>
      </x:c>
      <x:c r="I342" s="30" t="str">
        <x:v>Group</x:v>
      </x:c>
      <x:c r="J342" s="151" t="str">
        <x:v>No comparable voting measure in source</x:v>
      </x:c>
      <x:c r="K342" s="196"/>
      <x:c r="L342" s="196"/>
    </x:row>
    <x:row r="343">
      <x:c r="A343" s="31" t="str">
        <x:v>Palestine</x:v>
      </x:c>
      <x:c r="B343" s="32" t="str">
        <x:v>badea</x:v>
      </x:c>
      <x:c r="C343" s="194" t="n">
        <x:v>0.21408</x:v>
      </x:c>
      <x:c r="D343" s="194"/>
      <x:c r="E343" s="186" t="n">
        <x:v>45657</x:v>
      </x:c>
      <x:c r="F343" s="32" t="n">
        <x:f t="shared" si="5"/>
        <x:v>2</x:v>
      </x:c>
      <x:c r="G343" s="32" t="str">
        <x:v>Country</x:v>
      </x:c>
      <x:c r="H343" s="32" t="str">
        <x:v>Member</x:v>
      </x:c>
      <x:c r="I343" s="35" t="str">
        <x:v>Group</x:v>
      </x:c>
      <x:c r="J343" s="151" t="str">
        <x:v>No comparable voting measure in source</x:v>
      </x:c>
      <x:c r="K343" s="196"/>
      <x:c r="L343" s="196"/>
    </x:row>
    <x:row r="344">
      <x:c r="A344" s="26" t="str">
        <x:v>Qatar</x:v>
      </x:c>
      <x:c r="B344" s="27" t="str">
        <x:v>badea</x:v>
      </x:c>
      <x:c r="C344" s="193" t="n">
        <x:v>8.56348</x:v>
      </x:c>
      <x:c r="D344" s="193"/>
      <x:c r="E344" s="185" t="n">
        <x:v>45657</x:v>
      </x:c>
      <x:c r="F344" s="27" t="n">
        <x:f t="shared" si="5"/>
        <x:v>5</x:v>
      </x:c>
      <x:c r="G344" s="27" t="str">
        <x:v>Country</x:v>
      </x:c>
      <x:c r="H344" s="27" t="str">
        <x:v>Member</x:v>
      </x:c>
      <x:c r="I344" s="30" t="str">
        <x:v>Group</x:v>
      </x:c>
      <x:c r="J344" s="151" t="str">
        <x:v>No comparable voting measure in source</x:v>
      </x:c>
      <x:c r="K344" s="196"/>
      <x:c r="L344" s="196"/>
    </x:row>
    <x:row r="345">
      <x:c r="A345" s="31" t="str">
        <x:v>Kuwait</x:v>
      </x:c>
      <x:c r="B345" s="32" t="str">
        <x:v>badea</x:v>
      </x:c>
      <x:c r="C345" s="194" t="n">
        <x:v>15.6997</x:v>
      </x:c>
      <x:c r="D345" s="194"/>
      <x:c r="E345" s="186" t="n">
        <x:v>45657</x:v>
      </x:c>
      <x:c r="F345" s="32" t="n">
        <x:f t="shared" si="5"/>
        <x:v>5</x:v>
      </x:c>
      <x:c r="G345" s="32" t="str">
        <x:v>Country</x:v>
      </x:c>
      <x:c r="H345" s="32" t="str">
        <x:v>Member</x:v>
      </x:c>
      <x:c r="I345" s="35" t="str">
        <x:v>Group</x:v>
      </x:c>
      <x:c r="J345" s="151" t="str">
        <x:v>No comparable voting measure in source</x:v>
      </x:c>
      <x:c r="K345" s="196"/>
      <x:c r="L345" s="196"/>
    </x:row>
    <x:row r="346">
      <x:c r="A346" s="26" t="str">
        <x:v>Lebanon</x:v>
      </x:c>
      <x:c r="B346" s="27" t="str">
        <x:v>badea</x:v>
      </x:c>
      <x:c r="C346" s="193" t="n">
        <x:v>0.7136199999999999</x:v>
      </x:c>
      <x:c r="D346" s="193"/>
      <x:c r="E346" s="185" t="n">
        <x:v>45657</x:v>
      </x:c>
      <x:c r="F346" s="27" t="n">
        <x:f t="shared" si="5"/>
        <x:v>5</x:v>
      </x:c>
      <x:c r="G346" s="27" t="str">
        <x:v>Country</x:v>
      </x:c>
      <x:c r="H346" s="27" t="str">
        <x:v>Member</x:v>
      </x:c>
      <x:c r="I346" s="30" t="str">
        <x:v>Group</x:v>
      </x:c>
      <x:c r="J346" s="151" t="str">
        <x:v>No comparable voting measure in source</x:v>
      </x:c>
      <x:c r="K346" s="196"/>
      <x:c r="L346" s="196"/>
    </x:row>
    <x:row r="347">
      <x:c r="A347" s="31" t="str">
        <x:v>Libya</x:v>
      </x:c>
      <x:c r="B347" s="32" t="str">
        <x:v>badea</x:v>
      </x:c>
      <x:c r="C347" s="194" t="n">
        <x:v>14.27244</x:v>
      </x:c>
      <x:c r="D347" s="194"/>
      <x:c r="E347" s="186" t="n">
        <x:v>45657</x:v>
      </x:c>
      <x:c r="F347" s="32" t="n">
        <x:f t="shared" si="5"/>
        <x:v>7</x:v>
      </x:c>
      <x:c r="G347" s="32" t="str">
        <x:v>Country</x:v>
      </x:c>
      <x:c r="H347" s="32" t="str">
        <x:v>Member</x:v>
      </x:c>
      <x:c r="I347" s="35" t="str">
        <x:v>Group</x:v>
      </x:c>
      <x:c r="J347" s="151" t="str">
        <x:v>No comparable voting measure in source</x:v>
      </x:c>
      <x:c r="K347" s="196"/>
      <x:c r="L347" s="196"/>
    </x:row>
    <x:row r="348">
      <x:c r="A348" s="26" t="str">
        <x:v>Egypt</x:v>
      </x:c>
      <x:c r="B348" s="27" t="str">
        <x:v>badea</x:v>
      </x:c>
      <x:c r="C348" s="193" t="n">
        <x:v>0.21408</x:v>
      </x:c>
      <x:c r="D348" s="193"/>
      <x:c r="E348" s="185" t="n">
        <x:v>45657</x:v>
      </x:c>
      <x:c r="F348" s="27" t="n">
        <x:f t="shared" si="5"/>
        <x:v>6</x:v>
      </x:c>
      <x:c r="G348" s="27" t="str">
        <x:v>Country</x:v>
      </x:c>
      <x:c r="H348" s="27" t="str">
        <x:v>Member</x:v>
      </x:c>
      <x:c r="I348" s="30" t="str">
        <x:v>Group</x:v>
      </x:c>
      <x:c r="J348" s="151" t="str">
        <x:v>No comparable voting measure in source</x:v>
      </x:c>
      <x:c r="K348" s="196"/>
      <x:c r="L348" s="196"/>
    </x:row>
    <x:row r="349">
      <x:c r="A349" s="31" t="str">
        <x:v>Morocco</x:v>
      </x:c>
      <x:c r="B349" s="32" t="str">
        <x:v>badea</x:v>
      </x:c>
      <x:c r="C349" s="194" t="n">
        <x:v>1.56996</x:v>
      </x:c>
      <x:c r="D349" s="194"/>
      <x:c r="E349" s="186" t="n">
        <x:v>45657</x:v>
      </x:c>
      <x:c r="F349" s="32" t="n">
        <x:f t="shared" si="5"/>
        <x:v>7</x:v>
      </x:c>
      <x:c r="G349" s="32" t="str">
        <x:v>Country</x:v>
      </x:c>
      <x:c r="H349" s="32" t="str">
        <x:v>Member</x:v>
      </x:c>
      <x:c r="I349" s="35" t="str">
        <x:v>Group</x:v>
      </x:c>
      <x:c r="J349" s="151" t="str">
        <x:v>No comparable voting measure in source</x:v>
      </x:c>
      <x:c r="K349" s="196"/>
      <x:c r="L349" s="196"/>
    </x:row>
    <x:row r="350">
      <x:c r="A350" s="26" t="str">
        <x:v>Mauritania</x:v>
      </x:c>
      <x:c r="B350" s="27" t="str">
        <x:v>badea</x:v>
      </x:c>
      <x:c r="C350" s="193" t="n">
        <x:v>0.15236</x:v>
      </x:c>
      <x:c r="D350" s="193"/>
      <x:c r="E350" s="185" t="n">
        <x:v>45657</x:v>
      </x:c>
      <x:c r="F350" s="27" t="n">
        <x:f t="shared" si="5"/>
        <x:v>5</x:v>
      </x:c>
      <x:c r="G350" s="27" t="str">
        <x:v>Country</x:v>
      </x:c>
      <x:c r="H350" s="27" t="str">
        <x:v>Member</x:v>
      </x:c>
      <x:c r="I350" s="30" t="str">
        <x:v>Group</x:v>
      </x:c>
      <x:c r="J350" s="151" t="str">
        <x:v>No comparable voting measure in source</x:v>
      </x:c>
      <x:c r="K350" s="196"/>
      <x:c r="L350" s="196"/>
    </x:row>
    <x:row r="351">
      <x:c r="A351" s="31" t="str">
        <x:v>Jamaica</x:v>
      </x:c>
      <x:c r="B351" s="32" t="str">
        <x:v>cdb</x:v>
      </x:c>
      <x:c r="C351" s="194" t="n">
        <x:v>17.306432735979726</x:v>
      </x:c>
      <x:c r="D351" s="194" t="n">
        <x:v>17.139283177679072</x:v>
      </x:c>
      <x:c r="E351" s="186" t="n">
        <x:v>45291</x:v>
      </x:c>
      <x:c r="F351" s="32" t="n">
        <x:f t="shared" si="5"/>
        <x:v>5</x:v>
      </x:c>
      <x:c r="G351" s="32" t="str">
        <x:v>Country</x:v>
      </x:c>
      <x:c r="H351" s="32" t="str">
        <x:v>Regional</x:v>
      </x:c>
      <x:c r="I351" s="35" t="str">
        <x:v>Regional</x:v>
      </x:c>
      <x:c r="J351" s="151" t="str">
        <x:v>Institution-specific published voting measure</x:v>
      </x:c>
      <x:c r="K351" s="196"/>
      <x:c r="L351" s="196"/>
    </x:row>
    <x:row r="352">
      <x:c r="A352" s="26" t="str">
        <x:v>Trinidad and Tobago</x:v>
      </x:c>
      <x:c r="B352" s="27" t="str">
        <x:v>cdb</x:v>
      </x:c>
      <x:c r="C352" s="193" t="n">
        <x:v>17.306432735979726</x:v>
      </x:c>
      <x:c r="D352" s="193" t="n">
        <x:v>17.139283177679072</x:v>
      </x:c>
      <x:c r="E352" s="185" t="n">
        <x:v>45291</x:v>
      </x:c>
      <x:c r="F352" s="27" t="n">
        <x:f t="shared" si="5"/>
        <x:v>5</x:v>
      </x:c>
      <x:c r="G352" s="27" t="str">
        <x:v>Country</x:v>
      </x:c>
      <x:c r="H352" s="27" t="str">
        <x:v>Regional</x:v>
      </x:c>
      <x:c r="I352" s="30" t="str">
        <x:v>Regional</x:v>
      </x:c>
      <x:c r="J352" s="151" t="str">
        <x:v>Institution-specific published voting measure</x:v>
      </x:c>
      <x:c r="K352" s="196"/>
      <x:c r="L352" s="196"/>
    </x:row>
    <x:row r="353">
      <x:c r="A353" s="31" t="str">
        <x:v>Bahamas</x:v>
      </x:c>
      <x:c r="B353" s="32" t="str">
        <x:v>cdb</x:v>
      </x:c>
      <x:c r="C353" s="194" t="n">
        <x:v>5.103096288819931</x:v>
      </x:c>
      <x:c r="D353" s="194" t="n">
        <x:v>5.091184067788226</x:v>
      </x:c>
      <x:c r="E353" s="186" t="n">
        <x:v>45291</x:v>
      </x:c>
      <x:c r="F353" s="32" t="n">
        <x:f t="shared" si="5"/>
        <x:v>3</x:v>
      </x:c>
      <x:c r="G353" s="32" t="str">
        <x:v>Country</x:v>
      </x:c>
      <x:c r="H353" s="32" t="str">
        <x:v>Regional</x:v>
      </x:c>
      <x:c r="I353" s="35" t="str">
        <x:v>Regional</x:v>
      </x:c>
      <x:c r="J353" s="151" t="str">
        <x:v>Institution-specific published voting measure</x:v>
      </x:c>
      <x:c r="K353" s="196"/>
      <x:c r="L353" s="196"/>
    </x:row>
    <x:row r="354">
      <x:c r="A354" s="26" t="str">
        <x:v>Guyana</x:v>
      </x:c>
      <x:c r="B354" s="27" t="str">
        <x:v>cdb</x:v>
      </x:c>
      <x:c r="C354" s="193" t="n">
        <x:v>3.7283598008582706</x:v>
      </x:c>
      <x:c r="D354" s="193" t="n">
        <x:v>3.7339354556023165</x:v>
      </x:c>
      <x:c r="E354" s="185" t="n">
        <x:v>45291</x:v>
      </x:c>
      <x:c r="F354" s="27" t="n">
        <x:f t="shared" si="5"/>
        <x:v>5</x:v>
      </x:c>
      <x:c r="G354" s="27" t="str">
        <x:v>Country</x:v>
      </x:c>
      <x:c r="H354" s="27" t="str">
        <x:v>Regional</x:v>
      </x:c>
      <x:c r="I354" s="30" t="str">
        <x:v>Regional</x:v>
      </x:c>
      <x:c r="J354" s="151" t="str">
        <x:v>Institution-specific published voting measure</x:v>
      </x:c>
      <x:c r="K354" s="196"/>
      <x:c r="L354" s="196"/>
    </x:row>
    <x:row r="355">
      <x:c r="A355" s="31" t="str">
        <x:v>Colombia</x:v>
      </x:c>
      <x:c r="B355" s="32" t="str">
        <x:v>cdb</x:v>
      </x:c>
      <x:c r="C355" s="194" t="n">
        <x:v>2.7899169288365386</x:v>
      </x:c>
      <x:c r="D355" s="194" t="n">
        <x:v>2.807430414948463</x:v>
      </x:c>
      <x:c r="E355" s="186" t="n">
        <x:v>45291</x:v>
      </x:c>
      <x:c r="F355" s="32" t="n">
        <x:f t="shared" si="5"/>
        <x:v>6</x:v>
      </x:c>
      <x:c r="G355" s="32" t="str">
        <x:v>Country</x:v>
      </x:c>
      <x:c r="H355" s="32" t="str">
        <x:v>Regional</x:v>
      </x:c>
      <x:c r="I355" s="35" t="str">
        <x:v>Regional</x:v>
      </x:c>
      <x:c r="J355" s="151" t="str">
        <x:v>Institution-specific published voting measure</x:v>
      </x:c>
      <x:c r="K355" s="196"/>
      <x:c r="L355" s="196"/>
    </x:row>
    <x:row r="356">
      <x:c r="A356" s="26" t="str">
        <x:v>Mexico</x:v>
      </x:c>
      <x:c r="B356" s="27" t="str">
        <x:v>cdb</x:v>
      </x:c>
      <x:c r="C356" s="193" t="n">
        <x:v>2.7899169288365386</x:v>
      </x:c>
      <x:c r="D356" s="193" t="n">
        <x:v>2.807430414948463</x:v>
      </x:c>
      <x:c r="E356" s="185" t="n">
        <x:v>45291</x:v>
      </x:c>
      <x:c r="F356" s="27" t="n">
        <x:f t="shared" si="5"/>
        <x:v>7</x:v>
      </x:c>
      <x:c r="G356" s="27" t="str">
        <x:v>Country</x:v>
      </x:c>
      <x:c r="H356" s="27" t="str">
        <x:v>Regional</x:v>
      </x:c>
      <x:c r="I356" s="30" t="str">
        <x:v>Regional</x:v>
      </x:c>
      <x:c r="J356" s="151" t="str">
        <x:v>Institution-specific published voting measure</x:v>
      </x:c>
      <x:c r="K356" s="196"/>
      <x:c r="L356" s="196"/>
    </x:row>
    <x:row r="357">
      <x:c r="A357" s="31" t="str">
        <x:v>Venezuela</x:v>
      </x:c>
      <x:c r="B357" s="32" t="str">
        <x:v>cdb</x:v>
      </x:c>
      <x:c r="C357" s="194" t="n">
        <x:v>2.7899169288365386</x:v>
      </x:c>
      <x:c r="D357" s="194" t="n">
        <x:v>2.807430414948463</x:v>
      </x:c>
      <x:c r="E357" s="186" t="n">
        <x:v>45291</x:v>
      </x:c>
      <x:c r="F357" s="32" t="n">
        <x:f t="shared" si="5"/>
        <x:v>5</x:v>
      </x:c>
      <x:c r="G357" s="32" t="str">
        <x:v>Country</x:v>
      </x:c>
      <x:c r="H357" s="32" t="str">
        <x:v>Regional</x:v>
      </x:c>
      <x:c r="I357" s="35" t="str">
        <x:v>Regional</x:v>
      </x:c>
      <x:c r="J357" s="151" t="str">
        <x:v>Institution-specific published voting measure</x:v>
      </x:c>
      <x:c r="K357" s="196"/>
      <x:c r="L357" s="196"/>
    </x:row>
    <x:row r="358">
      <x:c r="A358" s="26" t="str">
        <x:v>Barbados</x:v>
      </x:c>
      <x:c r="B358" s="27" t="str">
        <x:v>cdb</x:v>
      </x:c>
      <x:c r="C358" s="193" t="n">
        <x:v>3.2476852100401215</x:v>
      </x:c>
      <x:c r="D358" s="193" t="n">
        <x:v>3.2593754748249992</x:v>
      </x:c>
      <x:c r="E358" s="185" t="n">
        <x:v>45291</x:v>
      </x:c>
      <x:c r="F358" s="27" t="n">
        <x:f t="shared" si="5"/>
        <x:v>5</x:v>
      </x:c>
      <x:c r="G358" s="27" t="str">
        <x:v>Country</x:v>
      </x:c>
      <x:c r="H358" s="27" t="str">
        <x:v>Regional</x:v>
      </x:c>
      <x:c r="I358" s="30" t="str">
        <x:v>Regional</x:v>
      </x:c>
      <x:c r="J358" s="151" t="str">
        <x:v>Institution-specific published voting measure</x:v>
      </x:c>
      <x:c r="K358" s="196"/>
      <x:c r="L358" s="196"/>
    </x:row>
    <x:row r="359">
      <x:c r="A359" s="31" t="str">
        <x:v>Suriname</x:v>
      </x:c>
      <x:c r="B359" s="32" t="str">
        <x:v>cdb</x:v>
      </x:c>
      <x:c r="C359" s="194" t="n">
        <x:v>1.491057591473126</x:v>
      </x:c>
      <x:c r="D359" s="194" t="n">
        <x:v>1.5250937282463894</x:v>
      </x:c>
      <x:c r="E359" s="186" t="n">
        <x:v>45291</x:v>
      </x:c>
      <x:c r="F359" s="32" t="n">
        <x:f t="shared" si="5"/>
        <x:v>5</x:v>
      </x:c>
      <x:c r="G359" s="32" t="str">
        <x:v>Country</x:v>
      </x:c>
      <x:c r="H359" s="32" t="str">
        <x:v>Regional</x:v>
      </x:c>
      <x:c r="I359" s="35" t="str">
        <x:v>Regional</x:v>
      </x:c>
      <x:c r="J359" s="151" t="str">
        <x:v>Institution-specific published voting measure</x:v>
      </x:c>
      <x:c r="K359" s="196"/>
      <x:c r="L359" s="196"/>
    </x:row>
    <x:row r="360">
      <x:c r="A360" s="26" t="str">
        <x:v>Belize</x:v>
      </x:c>
      <x:c r="B360" s="27" t="str">
        <x:v>cdb</x:v>
      </x:c>
      <x:c r="C360" s="193" t="n">
        <x:v>0.7687930164388562</x:v>
      </x:c>
      <x:c r="D360" s="193" t="n">
        <x:v>0.8120170035936523</x:v>
      </x:c>
      <x:c r="E360" s="185" t="n">
        <x:v>45291</x:v>
      </x:c>
      <x:c r="F360" s="27" t="n">
        <x:f t="shared" si="5"/>
        <x:v>5</x:v>
      </x:c>
      <x:c r="G360" s="27" t="str">
        <x:v>Country</x:v>
      </x:c>
      <x:c r="H360" s="27" t="str">
        <x:v>Regional</x:v>
      </x:c>
      <x:c r="I360" s="30" t="str">
        <x:v>Regional</x:v>
      </x:c>
      <x:c r="J360" s="151" t="str">
        <x:v>Institution-specific published voting measure</x:v>
      </x:c>
      <x:c r="K360" s="196"/>
      <x:c r="L360" s="196"/>
    </x:row>
    <x:row r="361">
      <x:c r="A361" s="31" t="str">
        <x:v>Dominica</x:v>
      </x:c>
      <x:c r="B361" s="32" t="str">
        <x:v>cdb</x:v>
      </x:c>
      <x:c r="C361" s="194" t="n">
        <x:v>0.7687930164388562</x:v>
      </x:c>
      <x:c r="D361" s="194" t="n">
        <x:v>0.8120170035936523</x:v>
      </x:c>
      <x:c r="E361" s="186" t="n">
        <x:v>45291</x:v>
      </x:c>
      <x:c r="F361" s="32" t="n">
        <x:f t="shared" si="5"/>
        <x:v>3</x:v>
      </x:c>
      <x:c r="G361" s="32" t="str">
        <x:v>Country</x:v>
      </x:c>
      <x:c r="H361" s="32" t="str">
        <x:v>Regional</x:v>
      </x:c>
      <x:c r="I361" s="35" t="str">
        <x:v>Regional</x:v>
      </x:c>
      <x:c r="J361" s="151" t="str">
        <x:v>Institution-specific published voting measure</x:v>
      </x:c>
      <x:c r="K361" s="196"/>
      <x:c r="L361" s="196"/>
    </x:row>
    <x:row r="362">
      <x:c r="A362" s="26" t="str">
        <x:v>Grenada</x:v>
      </x:c>
      <x:c r="B362" s="27" t="str">
        <x:v>cdb</x:v>
      </x:c>
      <x:c r="C362" s="193" t="n">
        <x:v>0.658198490331032</x:v>
      </x:c>
      <x:c r="D362" s="193" t="n">
        <x:v>0.7028293386195711</x:v>
      </x:c>
      <x:c r="E362" s="185" t="n">
        <x:v>45291</x:v>
      </x:c>
      <x:c r="F362" s="27" t="n">
        <x:f t="shared" si="5"/>
        <x:v>3</x:v>
      </x:c>
      <x:c r="G362" s="27" t="str">
        <x:v>Country</x:v>
      </x:c>
      <x:c r="H362" s="27" t="str">
        <x:v>Regional</x:v>
      </x:c>
      <x:c r="I362" s="30" t="str">
        <x:v>Regional</x:v>
      </x:c>
      <x:c r="J362" s="151" t="str">
        <x:v>Institution-specific published voting measure</x:v>
      </x:c>
      <x:c r="K362" s="196"/>
      <x:c r="L362" s="196"/>
    </x:row>
    <x:row r="363">
      <x:c r="A363" s="31" t="str">
        <x:v>St. Lucia</x:v>
      </x:c>
      <x:c r="B363" s="32" t="str">
        <x:v>cdb</x:v>
      </x:c>
      <x:c r="C363" s="194" t="n">
        <x:v>0.7687930164388562</x:v>
      </x:c>
      <x:c r="D363" s="194" t="n">
        <x:v>0.8120170035936523</x:v>
      </x:c>
      <x:c r="E363" s="186" t="n">
        <x:v>45291</x:v>
      </x:c>
      <x:c r="F363" s="32" t="n">
        <x:f t="shared" si="5"/>
        <x:v>3</x:v>
      </x:c>
      <x:c r="G363" s="32" t="str">
        <x:v>Country</x:v>
      </x:c>
      <x:c r="H363" s="32" t="str">
        <x:v>Regional</x:v>
      </x:c>
      <x:c r="I363" s="35" t="str">
        <x:v>Regional</x:v>
      </x:c>
      <x:c r="J363" s="151" t="str">
        <x:v>Institution-specific published voting measure</x:v>
      </x:c>
      <x:c r="K363" s="196"/>
      <x:c r="L363" s="196"/>
    </x:row>
    <x:row r="364">
      <x:c r="A364" s="26" t="str">
        <x:v>St. Vincent and the Grenadines</x:v>
      </x:c>
      <x:c r="B364" s="27" t="str">
        <x:v>cdb</x:v>
      </x:c>
      <x:c r="C364" s="193" t="n">
        <x:v>0.7687930164388562</x:v>
      </x:c>
      <x:c r="D364" s="193" t="n">
        <x:v>0.8120170035936523</x:v>
      </x:c>
      <x:c r="E364" s="185" t="n">
        <x:v>45291</x:v>
      </x:c>
      <x:c r="F364" s="27" t="n">
        <x:f t="shared" si="5"/>
        <x:v>3</x:v>
      </x:c>
      <x:c r="G364" s="27" t="str">
        <x:v>Country</x:v>
      </x:c>
      <x:c r="H364" s="27" t="str">
        <x:v>Regional</x:v>
      </x:c>
      <x:c r="I364" s="30" t="str">
        <x:v>Regional</x:v>
      </x:c>
      <x:c r="J364" s="151" t="str">
        <x:v>Institution-specific published voting measure</x:v>
      </x:c>
      <x:c r="K364" s="196"/>
      <x:c r="L364" s="196"/>
    </x:row>
    <x:row r="365">
      <x:c r="A365" s="31" t="str">
        <x:v>Antigua and Barbuda</x:v>
      </x:c>
      <x:c r="B365" s="32" t="str">
        <x:v>cdb</x:v>
      </x:c>
      <x:c r="C365" s="194" t="n">
        <x:v>0.7687930164388562</x:v>
      </x:c>
      <x:c r="D365" s="194" t="n">
        <x:v>0.8120170035936523</x:v>
      </x:c>
      <x:c r="E365" s="186" t="n">
        <x:v>45291</x:v>
      </x:c>
      <x:c r="F365" s="32" t="n">
        <x:f t="shared" si="5"/>
        <x:v>3</x:v>
      </x:c>
      <x:c r="G365" s="32" t="str">
        <x:v>Country</x:v>
      </x:c>
      <x:c r="H365" s="32" t="str">
        <x:v>Regional</x:v>
      </x:c>
      <x:c r="I365" s="35" t="str">
        <x:v>Regional</x:v>
      </x:c>
      <x:c r="J365" s="151" t="str">
        <x:v>Institution-specific published voting measure</x:v>
      </x:c>
      <x:c r="K365" s="196"/>
      <x:c r="L365" s="196"/>
    </x:row>
    <x:row r="366">
      <x:c r="A366" s="26" t="str">
        <x:v>St. Kitts and Nevis</x:v>
      </x:c>
      <x:c r="B366" s="27" t="str">
        <x:v>cdb</x:v>
      </x:c>
      <x:c r="C366" s="193" t="n">
        <x:v>0.7687930164388562</x:v>
      </x:c>
      <x:c r="D366" s="193" t="n">
        <x:v>0.8120170035936523</x:v>
      </x:c>
      <x:c r="E366" s="185" t="n">
        <x:v>45291</x:v>
      </x:c>
      <x:c r="F366" s="27" t="n">
        <x:f t="shared" si="5"/>
        <x:v>3</x:v>
      </x:c>
      <x:c r="G366" s="27" t="str">
        <x:v>Country</x:v>
      </x:c>
      <x:c r="H366" s="27" t="str">
        <x:v>Regional</x:v>
      </x:c>
      <x:c r="I366" s="30" t="str">
        <x:v>Regional</x:v>
      </x:c>
      <x:c r="J366" s="151" t="str">
        <x:v>Institution-specific published voting measure</x:v>
      </x:c>
      <x:c r="K366" s="196"/>
      <x:c r="L366" s="196"/>
    </x:row>
    <x:row r="367">
      <x:c r="A367" s="31" t="str">
        <x:v>Anguilla</x:v>
      </x:c>
      <x:c r="B367" s="32" t="str">
        <x:v>cdb</x:v>
      </x:c>
      <x:c r="C367" s="194" t="n">
        <x:v>0.16284954491605194</x:v>
      </x:c>
      <x:c r="D367" s="194"/>
      <x:c r="E367" s="186" t="n">
        <x:v>45291</x:v>
      </x:c>
      <x:c r="F367" s="32" t="n">
        <x:f t="shared" si="5"/>
        <x:v>1</x:v>
      </x:c>
      <x:c r="G367" s="32" t="str">
        <x:v>Territory</x:v>
      </x:c>
      <x:c r="H367" s="32" t="str">
        <x:v>Regional territory</x:v>
      </x:c>
      <x:c r="I367" s="35" t="str">
        <x:v>Regional</x:v>
      </x:c>
      <x:c r="J367" s="151" t="str">
        <x:v>No comparable voting measure in source</x:v>
      </x:c>
      <x:c r="K367" s="196"/>
      <x:c r="L367" s="196"/>
    </x:row>
    <x:row r="368">
      <x:c r="A368" s="26" t="str">
        <x:v>Montserrat</x:v>
      </x:c>
      <x:c r="B368" s="27" t="str">
        <x:v>cdb</x:v>
      </x:c>
      <x:c r="C368" s="193" t="n">
        <x:v>0.19076660975880372</x:v>
      </x:c>
      <x:c r="D368" s="193"/>
      <x:c r="E368" s="185" t="n">
        <x:v>45291</x:v>
      </x:c>
      <x:c r="F368" s="27" t="n">
        <x:f t="shared" si="5"/>
        <x:v>1</x:v>
      </x:c>
      <x:c r="G368" s="27" t="str">
        <x:v>Territory</x:v>
      </x:c>
      <x:c r="H368" s="27" t="str">
        <x:v>Regional territory</x:v>
      </x:c>
      <x:c r="I368" s="30" t="str">
        <x:v>Regional</x:v>
      </x:c>
      <x:c r="J368" s="151" t="str">
        <x:v>No comparable voting measure in source</x:v>
      </x:c>
      <x:c r="K368" s="196"/>
      <x:c r="L368" s="196"/>
    </x:row>
    <x:row r="369">
      <x:c r="A369" s="31" t="str">
        <x:v>British Virgin Islands</x:v>
      </x:c>
      <x:c r="B369" s="32" t="str">
        <x:v>cdb</x:v>
      </x:c>
      <x:c r="C369" s="194" t="n">
        <x:v>0.19076660975880372</x:v>
      </x:c>
      <x:c r="D369" s="194"/>
      <x:c r="E369" s="186" t="n">
        <x:v>45291</x:v>
      </x:c>
      <x:c r="F369" s="32" t="n">
        <x:f t="shared" si="5"/>
        <x:v>1</x:v>
      </x:c>
      <x:c r="G369" s="32" t="str">
        <x:v>Territory</x:v>
      </x:c>
      <x:c r="H369" s="32" t="str">
        <x:v>Regional territory</x:v>
      </x:c>
      <x:c r="I369" s="35" t="str">
        <x:v>Regional</x:v>
      </x:c>
      <x:c r="J369" s="151" t="str">
        <x:v>No comparable voting measure in source</x:v>
      </x:c>
      <x:c r="K369" s="196"/>
      <x:c r="L369" s="196"/>
    </x:row>
    <x:row r="370">
      <x:c r="A370" s="26" t="str">
        <x:v>Cayman Islands</x:v>
      </x:c>
      <x:c r="B370" s="27" t="str">
        <x:v>cdb</x:v>
      </x:c>
      <x:c r="C370" s="193" t="n">
        <x:v>0.19076660975880372</x:v>
      </x:c>
      <x:c r="D370" s="193"/>
      <x:c r="E370" s="185" t="n">
        <x:v>45291</x:v>
      </x:c>
      <x:c r="F370" s="27" t="n">
        <x:f t="shared" si="5"/>
        <x:v>1</x:v>
      </x:c>
      <x:c r="G370" s="27" t="str">
        <x:v>Territory</x:v>
      </x:c>
      <x:c r="H370" s="27" t="str">
        <x:v>Regional territory</x:v>
      </x:c>
      <x:c r="I370" s="30" t="str">
        <x:v>Regional</x:v>
      </x:c>
      <x:c r="J370" s="151" t="str">
        <x:v>No comparable voting measure in source</x:v>
      </x:c>
      <x:c r="K370" s="196"/>
      <x:c r="L370" s="196"/>
    </x:row>
    <x:row r="371">
      <x:c r="A371" s="31" t="str">
        <x:v>Turks and Caicos Islands</x:v>
      </x:c>
      <x:c r="B371" s="32" t="str">
        <x:v>cdb</x:v>
      </x:c>
      <x:c r="C371" s="194" t="n">
        <x:v>0.19076660975880372</x:v>
      </x:c>
      <x:c r="D371" s="194"/>
      <x:c r="E371" s="186" t="n">
        <x:v>45291</x:v>
      </x:c>
      <x:c r="F371" s="32" t="n">
        <x:f t="shared" si="5"/>
        <x:v>1</x:v>
      </x:c>
      <x:c r="G371" s="32" t="str">
        <x:v>Territory</x:v>
      </x:c>
      <x:c r="H371" s="32" t="str">
        <x:v>Regional territory</x:v>
      </x:c>
      <x:c r="I371" s="35" t="str">
        <x:v>Regional</x:v>
      </x:c>
      <x:c r="J371" s="151" t="str">
        <x:v>No comparable voting measure in source</x:v>
      </x:c>
      <x:c r="K371" s="196"/>
      <x:c r="L371" s="196"/>
    </x:row>
    <x:row r="372">
      <x:c r="A372" s="26" t="str">
        <x:v>Haiti</x:v>
      </x:c>
      <x:c r="B372" s="27" t="str">
        <x:v>cdb</x:v>
      </x:c>
      <x:c r="C372" s="193" t="n">
        <x:v>0.7827515488602322</x:v>
      </x:c>
      <x:c r="D372" s="193" t="n">
        <x:v>0.8257979710175655</x:v>
      </x:c>
      <x:c r="E372" s="185" t="n">
        <x:v>45291</x:v>
      </x:c>
      <x:c r="F372" s="27" t="n">
        <x:f t="shared" si="5"/>
        <x:v>4</x:v>
      </x:c>
      <x:c r="G372" s="27" t="str">
        <x:v>Country</x:v>
      </x:c>
      <x:c r="H372" s="27" t="str">
        <x:v>Regional</x:v>
      </x:c>
      <x:c r="I372" s="30" t="str">
        <x:v>Regional</x:v>
      </x:c>
      <x:c r="J372" s="151" t="str">
        <x:v>Institution-specific published voting measure</x:v>
      </x:c>
      <x:c r="K372" s="196"/>
      <x:c r="L372" s="196"/>
    </x:row>
    <x:row r="373">
      <x:c r="A373" s="31" t="str">
        <x:v>Brazil</x:v>
      </x:c>
      <x:c r="B373" s="32" t="str">
        <x:v>cdb</x:v>
      </x:c>
      <x:c r="C373" s="194" t="n">
        <x:v>1.1159667715346153</x:v>
      </x:c>
      <x:c r="D373" s="194" t="n">
        <x:v>1.1547743984961076</x:v>
      </x:c>
      <x:c r="E373" s="186" t="n">
        <x:v>45291</x:v>
      </x:c>
      <x:c r="F373" s="32" t="n">
        <x:f t="shared" si="5"/>
        <x:v>8</x:v>
      </x:c>
      <x:c r="G373" s="32" t="str">
        <x:v>Country</x:v>
      </x:c>
      <x:c r="H373" s="32" t="str">
        <x:v>Regional</x:v>
      </x:c>
      <x:c r="I373" s="35" t="str">
        <x:v>Regional</x:v>
      </x:c>
      <x:c r="J373" s="151" t="str">
        <x:v>Institution-specific published voting measure</x:v>
      </x:c>
      <x:c r="K373" s="196"/>
      <x:c r="L373" s="196"/>
    </x:row>
    <x:row r="374">
      <x:c r="A374" s="26" t="str">
        <x:v>Canada</x:v>
      </x:c>
      <x:c r="B374" s="27" t="str">
        <x:v>cdb</x:v>
      </x:c>
      <x:c r="C374" s="193" t="n">
        <x:v>9.307119925268164</x:v>
      </x:c>
      <x:c r="D374" s="193" t="n">
        <x:v>9.241728769359609</x:v>
      </x:c>
      <x:c r="E374" s="185" t="n">
        <x:v>45291</x:v>
      </x:c>
      <x:c r="F374" s="27" t="n">
        <x:f t="shared" si="5"/>
        <x:v>8</x:v>
      </x:c>
      <x:c r="G374" s="27" t="str">
        <x:v>Country</x:v>
      </x:c>
      <x:c r="H374" s="27" t="str">
        <x:v>Nonregional</x:v>
      </x:c>
      <x:c r="I374" s="30" t="str">
        <x:v>Regional</x:v>
      </x:c>
      <x:c r="J374" s="151" t="str">
        <x:v>Institution-specific published voting measure</x:v>
      </x:c>
      <x:c r="K374" s="196"/>
      <x:c r="L374" s="196"/>
    </x:row>
    <x:row r="375">
      <x:c r="A375" s="31" t="str">
        <x:v>United Kingdom</x:v>
      </x:c>
      <x:c r="B375" s="32" t="str">
        <x:v>cdb</x:v>
      </x:c>
      <x:c r="C375" s="194" t="n">
        <x:v>9.307119925268164</x:v>
      </x:c>
      <x:c r="D375" s="194" t="n">
        <x:v>9.241728769359609</x:v>
      </x:c>
      <x:c r="E375" s="186" t="n">
        <x:v>45291</x:v>
      </x:c>
      <x:c r="F375" s="32" t="n">
        <x:f t="shared" si="5"/>
        <x:v>8</x:v>
      </x:c>
      <x:c r="G375" s="32" t="str">
        <x:v>Country</x:v>
      </x:c>
      <x:c r="H375" s="32" t="str">
        <x:v>Nonregional</x:v>
      </x:c>
      <x:c r="I375" s="35" t="str">
        <x:v>Regional</x:v>
      </x:c>
      <x:c r="J375" s="151" t="str">
        <x:v>Institution-specific published voting measure</x:v>
      </x:c>
      <x:c r="K375" s="196"/>
      <x:c r="L375" s="196"/>
    </x:row>
    <x:row r="376">
      <x:c r="A376" s="26" t="str">
        <x:v>Italy</x:v>
      </x:c>
      <x:c r="B376" s="27" t="str">
        <x:v>cdb</x:v>
      </x:c>
      <x:c r="C376" s="193" t="n">
        <x:v>5.579118035497622</x:v>
      </x:c>
      <x:c r="D376" s="193" t="n">
        <x:v>5.561150392757572</x:v>
      </x:c>
      <x:c r="E376" s="185" t="n">
        <x:v>45291</x:v>
      </x:c>
      <x:c r="F376" s="27" t="n">
        <x:f t="shared" si="5"/>
        <x:v>9</x:v>
      </x:c>
      <x:c r="G376" s="27" t="str">
        <x:v>Country</x:v>
      </x:c>
      <x:c r="H376" s="27" t="str">
        <x:v>Nonregional</x:v>
      </x:c>
      <x:c r="I376" s="30" t="str">
        <x:v>Regional</x:v>
      </x:c>
      <x:c r="J376" s="151" t="str">
        <x:v>Institution-specific published voting measure</x:v>
      </x:c>
      <x:c r="K376" s="196"/>
      <x:c r="L376" s="196"/>
    </x:row>
    <x:row r="377">
      <x:c r="A377" s="31" t="str">
        <x:v>Germany</x:v>
      </x:c>
      <x:c r="B377" s="32" t="str">
        <x:v>cdb</x:v>
      </x:c>
      <x:c r="C377" s="194" t="n">
        <x:v>5.579118035497622</x:v>
      </x:c>
      <x:c r="D377" s="194" t="n">
        <x:v>5.561150392757572</x:v>
      </x:c>
      <x:c r="E377" s="186" t="n">
        <x:v>45291</x:v>
      </x:c>
      <x:c r="F377" s="32" t="n">
        <x:f t="shared" si="5"/>
        <x:v>9</x:v>
      </x:c>
      <x:c r="G377" s="32" t="str">
        <x:v>Country</x:v>
      </x:c>
      <x:c r="H377" s="32" t="str">
        <x:v>Nonregional</x:v>
      </x:c>
      <x:c r="I377" s="35" t="str">
        <x:v>Regional</x:v>
      </x:c>
      <x:c r="J377" s="151" t="str">
        <x:v>Institution-specific published voting measure</x:v>
      </x:c>
      <x:c r="K377" s="196"/>
      <x:c r="L377" s="196"/>
    </x:row>
    <x:row r="378">
      <x:c r="A378" s="26" t="str">
        <x:v>China</x:v>
      </x:c>
      <x:c r="B378" s="27" t="str">
        <x:v>cdb</x:v>
      </x:c>
      <x:c r="C378" s="193" t="n">
        <x:v>5.579118035497622</x:v>
      </x:c>
      <x:c r="D378" s="193" t="n">
        <x:v>5.561150392757572</x:v>
      </x:c>
      <x:c r="E378" s="185" t="n">
        <x:v>45291</x:v>
      </x:c>
      <x:c r="F378" s="27" t="n">
        <x:f t="shared" si="5"/>
        <x:v>8</x:v>
      </x:c>
      <x:c r="G378" s="27" t="str">
        <x:v>Country</x:v>
      </x:c>
      <x:c r="H378" s="27" t="str">
        <x:v>Nonregional</x:v>
      </x:c>
      <x:c r="I378" s="30" t="str">
        <x:v>Regional</x:v>
      </x:c>
      <x:c r="J378" s="151" t="str">
        <x:v>Institution-specific published voting measure</x:v>
      </x:c>
      <x:c r="K378" s="196"/>
      <x:c r="L378" s="196"/>
    </x:row>
    <x:row r="379">
      <x:c r="A379" s="31" t="str">
        <x:v>UK Overseas Territories (composite voting member)</x:v>
      </x:c>
      <x:c r="B379" s="32" t="str">
        <x:v>cdb</x:v>
      </x:c>
      <x:c r="C379" s="194"/>
      <x:c r="D379" s="194" t="n">
        <x:v>0.9671412266474441</x:v>
      </x:c>
      <x:c r="E379" s="186" t="n">
        <x:v>45291</x:v>
      </x:c>
      <x:c r="F379" s="32" t="n">
        <x:f t="shared" si="5"/>
        <x:v>1</x:v>
      </x:c>
      <x:c r="G379" s="32" t="str">
        <x:v>Composite member</x:v>
      </x:c>
      <x:c r="H379" s="32" t="str">
        <x:v>Regional territory group</x:v>
      </x:c>
      <x:c r="I379" s="35" t="str">
        <x:v>Regional</x:v>
      </x:c>
      <x:c r="J379" s="151" t="str">
        <x:v>Institution-specific published voting measure</x:v>
      </x:c>
      <x:c r="K379" s="196"/>
      <x:c r="L379" s="196"/>
    </x:row>
    <x:row r="380">
      <x:c r="A380" s="26" t="str">
        <x:v>Jamaica</x:v>
      </x:c>
      <x:c r="B380" s="27" t="str">
        <x:v>cdb</x:v>
      </x:c>
      <x:c r="C380" s="193" t="n">
        <x:v>17.306432735979726</x:v>
      </x:c>
      <x:c r="D380" s="193" t="n">
        <x:v>17.139283177679072</x:v>
      </x:c>
      <x:c r="E380" s="185" t="n">
        <x:v>45657</x:v>
      </x:c>
      <x:c r="F380" s="27" t="n">
        <x:f t="shared" si="5"/>
        <x:v>5</x:v>
      </x:c>
      <x:c r="G380" s="27" t="str">
        <x:v>Country</x:v>
      </x:c>
      <x:c r="H380" s="27" t="str">
        <x:v>Regional</x:v>
      </x:c>
      <x:c r="I380" s="30" t="str">
        <x:v>Regional</x:v>
      </x:c>
      <x:c r="J380" s="151" t="str">
        <x:v>Institution-specific published voting measure</x:v>
      </x:c>
      <x:c r="K380" s="196"/>
      <x:c r="L380" s="196"/>
    </x:row>
    <x:row r="381">
      <x:c r="A381" s="31" t="str">
        <x:v>Trinidad and Tobago</x:v>
      </x:c>
      <x:c r="B381" s="32" t="str">
        <x:v>cdb</x:v>
      </x:c>
      <x:c r="C381" s="194" t="n">
        <x:v>17.306432735979726</x:v>
      </x:c>
      <x:c r="D381" s="194" t="n">
        <x:v>17.139283177679072</x:v>
      </x:c>
      <x:c r="E381" s="186" t="n">
        <x:v>45657</x:v>
      </x:c>
      <x:c r="F381" s="32" t="n">
        <x:f t="shared" si="5"/>
        <x:v>5</x:v>
      </x:c>
      <x:c r="G381" s="32" t="str">
        <x:v>Country</x:v>
      </x:c>
      <x:c r="H381" s="32" t="str">
        <x:v>Regional</x:v>
      </x:c>
      <x:c r="I381" s="35" t="str">
        <x:v>Regional</x:v>
      </x:c>
      <x:c r="J381" s="151" t="str">
        <x:v>Institution-specific published voting measure</x:v>
      </x:c>
      <x:c r="K381" s="196"/>
      <x:c r="L381" s="196"/>
    </x:row>
    <x:row r="382">
      <x:c r="A382" s="26" t="str">
        <x:v>Bahamas</x:v>
      </x:c>
      <x:c r="B382" s="27" t="str">
        <x:v>cdb</x:v>
      </x:c>
      <x:c r="C382" s="193" t="n">
        <x:v>5.103096288819931</x:v>
      </x:c>
      <x:c r="D382" s="193" t="n">
        <x:v>5.091184067788226</x:v>
      </x:c>
      <x:c r="E382" s="185" t="n">
        <x:v>45657</x:v>
      </x:c>
      <x:c r="F382" s="27" t="n">
        <x:f t="shared" si="5"/>
        <x:v>3</x:v>
      </x:c>
      <x:c r="G382" s="27" t="str">
        <x:v>Country</x:v>
      </x:c>
      <x:c r="H382" s="27" t="str">
        <x:v>Regional</x:v>
      </x:c>
      <x:c r="I382" s="30" t="str">
        <x:v>Regional</x:v>
      </x:c>
      <x:c r="J382" s="151" t="str">
        <x:v>Institution-specific published voting measure</x:v>
      </x:c>
      <x:c r="K382" s="196"/>
      <x:c r="L382" s="196"/>
    </x:row>
    <x:row r="383">
      <x:c r="A383" s="31" t="str">
        <x:v>Guyana</x:v>
      </x:c>
      <x:c r="B383" s="32" t="str">
        <x:v>cdb</x:v>
      </x:c>
      <x:c r="C383" s="194" t="n">
        <x:v>3.7283598008582706</x:v>
      </x:c>
      <x:c r="D383" s="194" t="n">
        <x:v>3.7339354556023165</x:v>
      </x:c>
      <x:c r="E383" s="186" t="n">
        <x:v>45657</x:v>
      </x:c>
      <x:c r="F383" s="32" t="n">
        <x:f t="shared" si="5"/>
        <x:v>5</x:v>
      </x:c>
      <x:c r="G383" s="32" t="str">
        <x:v>Country</x:v>
      </x:c>
      <x:c r="H383" s="32" t="str">
        <x:v>Regional</x:v>
      </x:c>
      <x:c r="I383" s="35" t="str">
        <x:v>Regional</x:v>
      </x:c>
      <x:c r="J383" s="151" t="str">
        <x:v>Institution-specific published voting measure</x:v>
      </x:c>
      <x:c r="K383" s="196"/>
      <x:c r="L383" s="196"/>
    </x:row>
    <x:row r="384">
      <x:c r="A384" s="26" t="str">
        <x:v>Colombia</x:v>
      </x:c>
      <x:c r="B384" s="27" t="str">
        <x:v>cdb</x:v>
      </x:c>
      <x:c r="C384" s="193" t="n">
        <x:v>2.7899169288365386</x:v>
      </x:c>
      <x:c r="D384" s="193" t="n">
        <x:v>2.807430414948463</x:v>
      </x:c>
      <x:c r="E384" s="185" t="n">
        <x:v>45657</x:v>
      </x:c>
      <x:c r="F384" s="27" t="n">
        <x:f t="shared" si="5"/>
        <x:v>6</x:v>
      </x:c>
      <x:c r="G384" s="27" t="str">
        <x:v>Country</x:v>
      </x:c>
      <x:c r="H384" s="27" t="str">
        <x:v>Regional</x:v>
      </x:c>
      <x:c r="I384" s="30" t="str">
        <x:v>Regional</x:v>
      </x:c>
      <x:c r="J384" s="151" t="str">
        <x:v>Institution-specific published voting measure</x:v>
      </x:c>
      <x:c r="K384" s="196"/>
      <x:c r="L384" s="196"/>
    </x:row>
    <x:row r="385">
      <x:c r="A385" s="31" t="str">
        <x:v>Mexico</x:v>
      </x:c>
      <x:c r="B385" s="32" t="str">
        <x:v>cdb</x:v>
      </x:c>
      <x:c r="C385" s="194" t="n">
        <x:v>2.7899169288365386</x:v>
      </x:c>
      <x:c r="D385" s="194" t="n">
        <x:v>2.807430414948463</x:v>
      </x:c>
      <x:c r="E385" s="186" t="n">
        <x:v>45657</x:v>
      </x:c>
      <x:c r="F385" s="32" t="n">
        <x:f t="shared" si="5"/>
        <x:v>7</x:v>
      </x:c>
      <x:c r="G385" s="32" t="str">
        <x:v>Country</x:v>
      </x:c>
      <x:c r="H385" s="32" t="str">
        <x:v>Regional</x:v>
      </x:c>
      <x:c r="I385" s="35" t="str">
        <x:v>Regional</x:v>
      </x:c>
      <x:c r="J385" s="151" t="str">
        <x:v>Institution-specific published voting measure</x:v>
      </x:c>
      <x:c r="K385" s="196"/>
      <x:c r="L385" s="196"/>
    </x:row>
    <x:row r="386">
      <x:c r="A386" s="26" t="str">
        <x:v>Venezuela</x:v>
      </x:c>
      <x:c r="B386" s="27" t="str">
        <x:v>cdb</x:v>
      </x:c>
      <x:c r="C386" s="193" t="n">
        <x:v>2.7899169288365386</x:v>
      </x:c>
      <x:c r="D386" s="193" t="n">
        <x:v>2.807430414948463</x:v>
      </x:c>
      <x:c r="E386" s="185" t="n">
        <x:v>45657</x:v>
      </x:c>
      <x:c r="F386" s="27" t="n">
        <x:f t="shared" si="5"/>
        <x:v>5</x:v>
      </x:c>
      <x:c r="G386" s="27" t="str">
        <x:v>Country</x:v>
      </x:c>
      <x:c r="H386" s="27" t="str">
        <x:v>Regional</x:v>
      </x:c>
      <x:c r="I386" s="30" t="str">
        <x:v>Regional</x:v>
      </x:c>
      <x:c r="J386" s="151" t="str">
        <x:v>Institution-specific published voting measure</x:v>
      </x:c>
      <x:c r="K386" s="196"/>
      <x:c r="L386" s="196"/>
    </x:row>
    <x:row r="387">
      <x:c r="A387" s="31" t="str">
        <x:v>Barbados</x:v>
      </x:c>
      <x:c r="B387" s="32" t="str">
        <x:v>cdb</x:v>
      </x:c>
      <x:c r="C387" s="194" t="n">
        <x:v>3.2476852100401215</x:v>
      </x:c>
      <x:c r="D387" s="194" t="n">
        <x:v>3.2593754748249992</x:v>
      </x:c>
      <x:c r="E387" s="186" t="n">
        <x:v>45657</x:v>
      </x:c>
      <x:c r="F387" s="32" t="n">
        <x:f t="shared" ref="F387:F450" si="6">COUNTIF(A387:A1418,A387)</x:f>
        <x:v>5</x:v>
      </x:c>
      <x:c r="G387" s="32" t="str">
        <x:v>Country</x:v>
      </x:c>
      <x:c r="H387" s="32" t="str">
        <x:v>Regional</x:v>
      </x:c>
      <x:c r="I387" s="35" t="str">
        <x:v>Regional</x:v>
      </x:c>
      <x:c r="J387" s="151" t="str">
        <x:v>Institution-specific published voting measure</x:v>
      </x:c>
      <x:c r="K387" s="196"/>
      <x:c r="L387" s="196"/>
    </x:row>
    <x:row r="388">
      <x:c r="A388" s="26" t="str">
        <x:v>Suriname</x:v>
      </x:c>
      <x:c r="B388" s="27" t="str">
        <x:v>cdb</x:v>
      </x:c>
      <x:c r="C388" s="193" t="n">
        <x:v>1.491057591473126</x:v>
      </x:c>
      <x:c r="D388" s="193" t="n">
        <x:v>1.5250937282463894</x:v>
      </x:c>
      <x:c r="E388" s="185" t="n">
        <x:v>45657</x:v>
      </x:c>
      <x:c r="F388" s="27" t="n">
        <x:f t="shared" si="6"/>
        <x:v>5</x:v>
      </x:c>
      <x:c r="G388" s="27" t="str">
        <x:v>Country</x:v>
      </x:c>
      <x:c r="H388" s="27" t="str">
        <x:v>Regional</x:v>
      </x:c>
      <x:c r="I388" s="30" t="str">
        <x:v>Regional</x:v>
      </x:c>
      <x:c r="J388" s="151" t="str">
        <x:v>Institution-specific published voting measure</x:v>
      </x:c>
      <x:c r="K388" s="196"/>
      <x:c r="L388" s="196"/>
    </x:row>
    <x:row r="389">
      <x:c r="A389" s="31" t="str">
        <x:v>Belize</x:v>
      </x:c>
      <x:c r="B389" s="32" t="str">
        <x:v>cdb</x:v>
      </x:c>
      <x:c r="C389" s="194" t="n">
        <x:v>0.7687930164388562</x:v>
      </x:c>
      <x:c r="D389" s="194" t="n">
        <x:v>0.8120170035936523</x:v>
      </x:c>
      <x:c r="E389" s="186" t="n">
        <x:v>45657</x:v>
      </x:c>
      <x:c r="F389" s="32" t="n">
        <x:f t="shared" si="6"/>
        <x:v>5</x:v>
      </x:c>
      <x:c r="G389" s="32" t="str">
        <x:v>Country</x:v>
      </x:c>
      <x:c r="H389" s="32" t="str">
        <x:v>Regional</x:v>
      </x:c>
      <x:c r="I389" s="35" t="str">
        <x:v>Regional</x:v>
      </x:c>
      <x:c r="J389" s="151" t="str">
        <x:v>Institution-specific published voting measure</x:v>
      </x:c>
      <x:c r="K389" s="196"/>
      <x:c r="L389" s="196"/>
    </x:row>
    <x:row r="390">
      <x:c r="A390" s="26" t="str">
        <x:v>Dominica</x:v>
      </x:c>
      <x:c r="B390" s="27" t="str">
        <x:v>cdb</x:v>
      </x:c>
      <x:c r="C390" s="193" t="n">
        <x:v>0.7687930164388562</x:v>
      </x:c>
      <x:c r="D390" s="193" t="n">
        <x:v>0.8120170035936523</x:v>
      </x:c>
      <x:c r="E390" s="185" t="n">
        <x:v>45657</x:v>
      </x:c>
      <x:c r="F390" s="27" t="n">
        <x:f t="shared" si="6"/>
        <x:v>3</x:v>
      </x:c>
      <x:c r="G390" s="27" t="str">
        <x:v>Country</x:v>
      </x:c>
      <x:c r="H390" s="27" t="str">
        <x:v>Regional</x:v>
      </x:c>
      <x:c r="I390" s="30" t="str">
        <x:v>Regional</x:v>
      </x:c>
      <x:c r="J390" s="151" t="str">
        <x:v>Institution-specific published voting measure</x:v>
      </x:c>
      <x:c r="K390" s="196"/>
      <x:c r="L390" s="196"/>
    </x:row>
    <x:row r="391">
      <x:c r="A391" s="31" t="str">
        <x:v>Grenada</x:v>
      </x:c>
      <x:c r="B391" s="32" t="str">
        <x:v>cdb</x:v>
      </x:c>
      <x:c r="C391" s="194" t="n">
        <x:v>0.658198490331032</x:v>
      </x:c>
      <x:c r="D391" s="194" t="n">
        <x:v>0.7028293386195711</x:v>
      </x:c>
      <x:c r="E391" s="186" t="n">
        <x:v>45657</x:v>
      </x:c>
      <x:c r="F391" s="32" t="n">
        <x:f t="shared" si="6"/>
        <x:v>3</x:v>
      </x:c>
      <x:c r="G391" s="32" t="str">
        <x:v>Country</x:v>
      </x:c>
      <x:c r="H391" s="32" t="str">
        <x:v>Regional</x:v>
      </x:c>
      <x:c r="I391" s="35" t="str">
        <x:v>Regional</x:v>
      </x:c>
      <x:c r="J391" s="151" t="str">
        <x:v>Institution-specific published voting measure</x:v>
      </x:c>
      <x:c r="K391" s="196"/>
      <x:c r="L391" s="196"/>
    </x:row>
    <x:row r="392">
      <x:c r="A392" s="26" t="str">
        <x:v>St. Lucia</x:v>
      </x:c>
      <x:c r="B392" s="27" t="str">
        <x:v>cdb</x:v>
      </x:c>
      <x:c r="C392" s="193" t="n">
        <x:v>0.7687930164388562</x:v>
      </x:c>
      <x:c r="D392" s="193" t="n">
        <x:v>0.8120170035936523</x:v>
      </x:c>
      <x:c r="E392" s="185" t="n">
        <x:v>45657</x:v>
      </x:c>
      <x:c r="F392" s="27" t="n">
        <x:f t="shared" si="6"/>
        <x:v>3</x:v>
      </x:c>
      <x:c r="G392" s="27" t="str">
        <x:v>Country</x:v>
      </x:c>
      <x:c r="H392" s="27" t="str">
        <x:v>Regional</x:v>
      </x:c>
      <x:c r="I392" s="30" t="str">
        <x:v>Regional</x:v>
      </x:c>
      <x:c r="J392" s="151" t="str">
        <x:v>Institution-specific published voting measure</x:v>
      </x:c>
      <x:c r="K392" s="196"/>
      <x:c r="L392" s="196"/>
    </x:row>
    <x:row r="393">
      <x:c r="A393" s="31" t="str">
        <x:v>St. Vincent and the Grenadines</x:v>
      </x:c>
      <x:c r="B393" s="32" t="str">
        <x:v>cdb</x:v>
      </x:c>
      <x:c r="C393" s="194" t="n">
        <x:v>0.7687930164388562</x:v>
      </x:c>
      <x:c r="D393" s="194" t="n">
        <x:v>0.8120170035936523</x:v>
      </x:c>
      <x:c r="E393" s="186" t="n">
        <x:v>45657</x:v>
      </x:c>
      <x:c r="F393" s="32" t="n">
        <x:f t="shared" si="6"/>
        <x:v>3</x:v>
      </x:c>
      <x:c r="G393" s="32" t="str">
        <x:v>Country</x:v>
      </x:c>
      <x:c r="H393" s="32" t="str">
        <x:v>Regional</x:v>
      </x:c>
      <x:c r="I393" s="35" t="str">
        <x:v>Regional</x:v>
      </x:c>
      <x:c r="J393" s="151" t="str">
        <x:v>Institution-specific published voting measure</x:v>
      </x:c>
      <x:c r="K393" s="196"/>
      <x:c r="L393" s="196"/>
    </x:row>
    <x:row r="394">
      <x:c r="A394" s="26" t="str">
        <x:v>Antigua and Barbuda</x:v>
      </x:c>
      <x:c r="B394" s="27" t="str">
        <x:v>cdb</x:v>
      </x:c>
      <x:c r="C394" s="193" t="n">
        <x:v>0.7687930164388562</x:v>
      </x:c>
      <x:c r="D394" s="193" t="n">
        <x:v>0.8120170035936523</x:v>
      </x:c>
      <x:c r="E394" s="185" t="n">
        <x:v>45657</x:v>
      </x:c>
      <x:c r="F394" s="27" t="n">
        <x:f t="shared" si="6"/>
        <x:v>3</x:v>
      </x:c>
      <x:c r="G394" s="27" t="str">
        <x:v>Country</x:v>
      </x:c>
      <x:c r="H394" s="27" t="str">
        <x:v>Regional</x:v>
      </x:c>
      <x:c r="I394" s="30" t="str">
        <x:v>Regional</x:v>
      </x:c>
      <x:c r="J394" s="151" t="str">
        <x:v>Institution-specific published voting measure</x:v>
      </x:c>
      <x:c r="K394" s="196"/>
      <x:c r="L394" s="196"/>
    </x:row>
    <x:row r="395">
      <x:c r="A395" s="31" t="str">
        <x:v>St. Kitts and Nevis</x:v>
      </x:c>
      <x:c r="B395" s="32" t="str">
        <x:v>cdb</x:v>
      </x:c>
      <x:c r="C395" s="194" t="n">
        <x:v>0.7687930164388562</x:v>
      </x:c>
      <x:c r="D395" s="194" t="n">
        <x:v>0.8120170035936523</x:v>
      </x:c>
      <x:c r="E395" s="186" t="n">
        <x:v>45657</x:v>
      </x:c>
      <x:c r="F395" s="32" t="n">
        <x:f t="shared" si="6"/>
        <x:v>3</x:v>
      </x:c>
      <x:c r="G395" s="32" t="str">
        <x:v>Country</x:v>
      </x:c>
      <x:c r="H395" s="32" t="str">
        <x:v>Regional</x:v>
      </x:c>
      <x:c r="I395" s="35" t="str">
        <x:v>Regional</x:v>
      </x:c>
      <x:c r="J395" s="151" t="str">
        <x:v>Institution-specific published voting measure</x:v>
      </x:c>
      <x:c r="K395" s="196"/>
      <x:c r="L395" s="196"/>
    </x:row>
    <x:row r="396">
      <x:c r="A396" s="26" t="str">
        <x:v>Anguilla</x:v>
      </x:c>
      <x:c r="B396" s="27" t="str">
        <x:v>cdb</x:v>
      </x:c>
      <x:c r="C396" s="193" t="n">
        <x:v>0.16284954491605194</x:v>
      </x:c>
      <x:c r="D396" s="193"/>
      <x:c r="E396" s="185" t="n">
        <x:v>45657</x:v>
      </x:c>
      <x:c r="F396" s="27" t="n">
        <x:f t="shared" si="6"/>
        <x:v>1</x:v>
      </x:c>
      <x:c r="G396" s="27" t="str">
        <x:v>Territory</x:v>
      </x:c>
      <x:c r="H396" s="27" t="str">
        <x:v>Regional territory</x:v>
      </x:c>
      <x:c r="I396" s="30" t="str">
        <x:v>Regional</x:v>
      </x:c>
      <x:c r="J396" s="151" t="str">
        <x:v>No comparable voting measure in source</x:v>
      </x:c>
      <x:c r="K396" s="196"/>
      <x:c r="L396" s="196"/>
    </x:row>
    <x:row r="397">
      <x:c r="A397" s="31" t="str">
        <x:v>Montserrat</x:v>
      </x:c>
      <x:c r="B397" s="32" t="str">
        <x:v>cdb</x:v>
      </x:c>
      <x:c r="C397" s="194" t="n">
        <x:v>0.19076660975880372</x:v>
      </x:c>
      <x:c r="D397" s="194"/>
      <x:c r="E397" s="186" t="n">
        <x:v>45657</x:v>
      </x:c>
      <x:c r="F397" s="32" t="n">
        <x:f t="shared" si="6"/>
        <x:v>1</x:v>
      </x:c>
      <x:c r="G397" s="32" t="str">
        <x:v>Territory</x:v>
      </x:c>
      <x:c r="H397" s="32" t="str">
        <x:v>Regional territory</x:v>
      </x:c>
      <x:c r="I397" s="35" t="str">
        <x:v>Regional</x:v>
      </x:c>
      <x:c r="J397" s="151" t="str">
        <x:v>No comparable voting measure in source</x:v>
      </x:c>
      <x:c r="K397" s="196"/>
      <x:c r="L397" s="196"/>
    </x:row>
    <x:row r="398">
      <x:c r="A398" s="26" t="str">
        <x:v>British Virgin Islands</x:v>
      </x:c>
      <x:c r="B398" s="27" t="str">
        <x:v>cdb</x:v>
      </x:c>
      <x:c r="C398" s="193" t="n">
        <x:v>0.19076660975880372</x:v>
      </x:c>
      <x:c r="D398" s="193"/>
      <x:c r="E398" s="185" t="n">
        <x:v>45657</x:v>
      </x:c>
      <x:c r="F398" s="27" t="n">
        <x:f t="shared" si="6"/>
        <x:v>1</x:v>
      </x:c>
      <x:c r="G398" s="27" t="str">
        <x:v>Territory</x:v>
      </x:c>
      <x:c r="H398" s="27" t="str">
        <x:v>Regional territory</x:v>
      </x:c>
      <x:c r="I398" s="30" t="str">
        <x:v>Regional</x:v>
      </x:c>
      <x:c r="J398" s="151" t="str">
        <x:v>No comparable voting measure in source</x:v>
      </x:c>
      <x:c r="K398" s="196"/>
      <x:c r="L398" s="196"/>
    </x:row>
    <x:row r="399">
      <x:c r="A399" s="31" t="str">
        <x:v>Cayman Islands</x:v>
      </x:c>
      <x:c r="B399" s="32" t="str">
        <x:v>cdb</x:v>
      </x:c>
      <x:c r="C399" s="194" t="n">
        <x:v>0.19076660975880372</x:v>
      </x:c>
      <x:c r="D399" s="194"/>
      <x:c r="E399" s="186" t="n">
        <x:v>45657</x:v>
      </x:c>
      <x:c r="F399" s="32" t="n">
        <x:f t="shared" si="6"/>
        <x:v>1</x:v>
      </x:c>
      <x:c r="G399" s="32" t="str">
        <x:v>Territory</x:v>
      </x:c>
      <x:c r="H399" s="32" t="str">
        <x:v>Regional territory</x:v>
      </x:c>
      <x:c r="I399" s="35" t="str">
        <x:v>Regional</x:v>
      </x:c>
      <x:c r="J399" s="151" t="str">
        <x:v>No comparable voting measure in source</x:v>
      </x:c>
      <x:c r="K399" s="196"/>
      <x:c r="L399" s="196"/>
    </x:row>
    <x:row r="400">
      <x:c r="A400" s="26" t="str">
        <x:v>Turks and Caicos Islands</x:v>
      </x:c>
      <x:c r="B400" s="27" t="str">
        <x:v>cdb</x:v>
      </x:c>
      <x:c r="C400" s="193" t="n">
        <x:v>0.19076660975880372</x:v>
      </x:c>
      <x:c r="D400" s="193"/>
      <x:c r="E400" s="185" t="n">
        <x:v>45657</x:v>
      </x:c>
      <x:c r="F400" s="27" t="n">
        <x:f t="shared" si="6"/>
        <x:v>1</x:v>
      </x:c>
      <x:c r="G400" s="27" t="str">
        <x:v>Territory</x:v>
      </x:c>
      <x:c r="H400" s="27" t="str">
        <x:v>Regional territory</x:v>
      </x:c>
      <x:c r="I400" s="30" t="str">
        <x:v>Regional</x:v>
      </x:c>
      <x:c r="J400" s="151" t="str">
        <x:v>No comparable voting measure in source</x:v>
      </x:c>
      <x:c r="K400" s="196"/>
      <x:c r="L400" s="196"/>
    </x:row>
    <x:row r="401">
      <x:c r="A401" s="31" t="str">
        <x:v>Haiti</x:v>
      </x:c>
      <x:c r="B401" s="32" t="str">
        <x:v>cdb</x:v>
      </x:c>
      <x:c r="C401" s="194" t="n">
        <x:v>0.7827515488602322</x:v>
      </x:c>
      <x:c r="D401" s="194" t="n">
        <x:v>0.8257979710175655</x:v>
      </x:c>
      <x:c r="E401" s="186" t="n">
        <x:v>45657</x:v>
      </x:c>
      <x:c r="F401" s="32" t="n">
        <x:f t="shared" si="6"/>
        <x:v>4</x:v>
      </x:c>
      <x:c r="G401" s="32" t="str">
        <x:v>Country</x:v>
      </x:c>
      <x:c r="H401" s="32" t="str">
        <x:v>Regional</x:v>
      </x:c>
      <x:c r="I401" s="35" t="str">
        <x:v>Regional</x:v>
      </x:c>
      <x:c r="J401" s="151" t="str">
        <x:v>Institution-specific published voting measure</x:v>
      </x:c>
      <x:c r="K401" s="196"/>
      <x:c r="L401" s="196"/>
    </x:row>
    <x:row r="402">
      <x:c r="A402" s="26" t="str">
        <x:v>Brazil</x:v>
      </x:c>
      <x:c r="B402" s="27" t="str">
        <x:v>cdb</x:v>
      </x:c>
      <x:c r="C402" s="193" t="n">
        <x:v>1.1159667715346153</x:v>
      </x:c>
      <x:c r="D402" s="193" t="n">
        <x:v>1.1547743984961076</x:v>
      </x:c>
      <x:c r="E402" s="185" t="n">
        <x:v>45657</x:v>
      </x:c>
      <x:c r="F402" s="27" t="n">
        <x:f t="shared" si="6"/>
        <x:v>8</x:v>
      </x:c>
      <x:c r="G402" s="27" t="str">
        <x:v>Country</x:v>
      </x:c>
      <x:c r="H402" s="27" t="str">
        <x:v>Regional</x:v>
      </x:c>
      <x:c r="I402" s="30" t="str">
        <x:v>Regional</x:v>
      </x:c>
      <x:c r="J402" s="151" t="str">
        <x:v>Institution-specific published voting measure</x:v>
      </x:c>
      <x:c r="K402" s="196"/>
      <x:c r="L402" s="196"/>
    </x:row>
    <x:row r="403">
      <x:c r="A403" s="31" t="str">
        <x:v>Canada</x:v>
      </x:c>
      <x:c r="B403" s="32" t="str">
        <x:v>cdb</x:v>
      </x:c>
      <x:c r="C403" s="194" t="n">
        <x:v>9.307119925268164</x:v>
      </x:c>
      <x:c r="D403" s="194" t="n">
        <x:v>9.241728769359609</x:v>
      </x:c>
      <x:c r="E403" s="186" t="n">
        <x:v>45657</x:v>
      </x:c>
      <x:c r="F403" s="32" t="n">
        <x:f t="shared" si="6"/>
        <x:v>8</x:v>
      </x:c>
      <x:c r="G403" s="32" t="str">
        <x:v>Country</x:v>
      </x:c>
      <x:c r="H403" s="32" t="str">
        <x:v>Nonregional</x:v>
      </x:c>
      <x:c r="I403" s="35" t="str">
        <x:v>Regional</x:v>
      </x:c>
      <x:c r="J403" s="151" t="str">
        <x:v>Institution-specific published voting measure</x:v>
      </x:c>
      <x:c r="K403" s="196"/>
      <x:c r="L403" s="196"/>
    </x:row>
    <x:row r="404">
      <x:c r="A404" s="26" t="str">
        <x:v>United Kingdom</x:v>
      </x:c>
      <x:c r="B404" s="27" t="str">
        <x:v>cdb</x:v>
      </x:c>
      <x:c r="C404" s="193" t="n">
        <x:v>9.307119925268164</x:v>
      </x:c>
      <x:c r="D404" s="193" t="n">
        <x:v>9.241728769359609</x:v>
      </x:c>
      <x:c r="E404" s="185" t="n">
        <x:v>45657</x:v>
      </x:c>
      <x:c r="F404" s="27" t="n">
        <x:f t="shared" si="6"/>
        <x:v>8</x:v>
      </x:c>
      <x:c r="G404" s="27" t="str">
        <x:v>Country</x:v>
      </x:c>
      <x:c r="H404" s="27" t="str">
        <x:v>Nonregional</x:v>
      </x:c>
      <x:c r="I404" s="30" t="str">
        <x:v>Regional</x:v>
      </x:c>
      <x:c r="J404" s="151" t="str">
        <x:v>Institution-specific published voting measure</x:v>
      </x:c>
      <x:c r="K404" s="196"/>
      <x:c r="L404" s="196"/>
    </x:row>
    <x:row r="405">
      <x:c r="A405" s="31" t="str">
        <x:v>Italy</x:v>
      </x:c>
      <x:c r="B405" s="32" t="str">
        <x:v>cdb</x:v>
      </x:c>
      <x:c r="C405" s="194" t="n">
        <x:v>5.579118035497622</x:v>
      </x:c>
      <x:c r="D405" s="194" t="n">
        <x:v>5.561150392757572</x:v>
      </x:c>
      <x:c r="E405" s="186" t="n">
        <x:v>45657</x:v>
      </x:c>
      <x:c r="F405" s="32" t="n">
        <x:f t="shared" si="6"/>
        <x:v>9</x:v>
      </x:c>
      <x:c r="G405" s="32" t="str">
        <x:v>Country</x:v>
      </x:c>
      <x:c r="H405" s="32" t="str">
        <x:v>Nonregional</x:v>
      </x:c>
      <x:c r="I405" s="35" t="str">
        <x:v>Regional</x:v>
      </x:c>
      <x:c r="J405" s="151" t="str">
        <x:v>Institution-specific published voting measure</x:v>
      </x:c>
      <x:c r="K405" s="196"/>
      <x:c r="L405" s="196"/>
    </x:row>
    <x:row r="406">
      <x:c r="A406" s="26" t="str">
        <x:v>Germany</x:v>
      </x:c>
      <x:c r="B406" s="27" t="str">
        <x:v>cdb</x:v>
      </x:c>
      <x:c r="C406" s="193" t="n">
        <x:v>5.579118035497622</x:v>
      </x:c>
      <x:c r="D406" s="193" t="n">
        <x:v>5.561150392757572</x:v>
      </x:c>
      <x:c r="E406" s="185" t="n">
        <x:v>45657</x:v>
      </x:c>
      <x:c r="F406" s="27" t="n">
        <x:f t="shared" si="6"/>
        <x:v>9</x:v>
      </x:c>
      <x:c r="G406" s="27" t="str">
        <x:v>Country</x:v>
      </x:c>
      <x:c r="H406" s="27" t="str">
        <x:v>Nonregional</x:v>
      </x:c>
      <x:c r="I406" s="30" t="str">
        <x:v>Regional</x:v>
      </x:c>
      <x:c r="J406" s="151" t="str">
        <x:v>Institution-specific published voting measure</x:v>
      </x:c>
      <x:c r="K406" s="196"/>
      <x:c r="L406" s="196"/>
    </x:row>
    <x:row r="407">
      <x:c r="A407" s="31" t="str">
        <x:v>China</x:v>
      </x:c>
      <x:c r="B407" s="32" t="str">
        <x:v>cdb</x:v>
      </x:c>
      <x:c r="C407" s="194" t="n">
        <x:v>5.579118035497622</x:v>
      </x:c>
      <x:c r="D407" s="194" t="n">
        <x:v>5.561150392757572</x:v>
      </x:c>
      <x:c r="E407" s="186" t="n">
        <x:v>45657</x:v>
      </x:c>
      <x:c r="F407" s="32" t="n">
        <x:f t="shared" si="6"/>
        <x:v>8</x:v>
      </x:c>
      <x:c r="G407" s="32" t="str">
        <x:v>Country</x:v>
      </x:c>
      <x:c r="H407" s="32" t="str">
        <x:v>Nonregional</x:v>
      </x:c>
      <x:c r="I407" s="35" t="str">
        <x:v>Regional</x:v>
      </x:c>
      <x:c r="J407" s="151" t="str">
        <x:v>Institution-specific published voting measure</x:v>
      </x:c>
      <x:c r="K407" s="196"/>
      <x:c r="L407" s="196"/>
    </x:row>
    <x:row r="408">
      <x:c r="A408" s="26" t="str">
        <x:v>UK Overseas Territories (composite voting member)</x:v>
      </x:c>
      <x:c r="B408" s="27" t="str">
        <x:v>cdb</x:v>
      </x:c>
      <x:c r="C408" s="193"/>
      <x:c r="D408" s="193" t="n">
        <x:v>0.9671412266474441</x:v>
      </x:c>
      <x:c r="E408" s="185" t="n">
        <x:v>45657</x:v>
      </x:c>
      <x:c r="F408" s="27" t="n">
        <x:f t="shared" si="6"/>
        <x:v>1</x:v>
      </x:c>
      <x:c r="G408" s="27" t="str">
        <x:v>Composite member</x:v>
      </x:c>
      <x:c r="H408" s="27" t="str">
        <x:v>Regional territory group</x:v>
      </x:c>
      <x:c r="I408" s="30" t="str">
        <x:v>Regional</x:v>
      </x:c>
      <x:c r="J408" s="151" t="str">
        <x:v>Institution-specific published voting measure</x:v>
      </x:c>
      <x:c r="K408" s="196"/>
      <x:c r="L408" s="196"/>
    </x:row>
    <x:row r="409">
      <x:c r="A409" s="31" t="str">
        <x:v>Albania</x:v>
      </x:c>
      <x:c r="B409" s="32" t="str">
        <x:v>ebrd</x:v>
      </x:c>
      <x:c r="C409" s="194" t="n">
        <x:v>0.09621901898281653</x:v>
      </x:c>
      <x:c r="D409" s="194"/>
      <x:c r="E409" s="186" t="n">
        <x:v>46252</x:v>
      </x:c>
      <x:c r="F409" s="32" t="n">
        <x:f t="shared" si="6"/>
        <x:v>4</x:v>
      </x:c>
      <x:c r="G409" s="32" t="str">
        <x:v>Country</x:v>
      </x:c>
      <x:c r="H409" s="32" t="str">
        <x:v>Country/economy shareholder</x:v>
      </x:c>
      <x:c r="I409" s="35" t="str">
        <x:v>Regional</x:v>
      </x:c>
      <x:c r="J409" s="151" t="str">
        <x:v>No comparable voting measure in source</x:v>
      </x:c>
      <x:c r="K409" s="196"/>
      <x:c r="L409" s="196"/>
    </x:row>
    <x:row r="410">
      <x:c r="A410" s="26" t="str">
        <x:v>Algeria</x:v>
      </x:c>
      <x:c r="B410" s="27" t="str">
        <x:v>ebrd</x:v>
      </x:c>
      <x:c r="C410" s="193" t="n">
        <x:v>0.09621901898281653</x:v>
      </x:c>
      <x:c r="D410" s="193"/>
      <x:c r="E410" s="185" t="n">
        <x:v>46252</x:v>
      </x:c>
      <x:c r="F410" s="27" t="n">
        <x:f t="shared" si="6"/>
        <x:v>8</x:v>
      </x:c>
      <x:c r="G410" s="27" t="str">
        <x:v>Country</x:v>
      </x:c>
      <x:c r="H410" s="27" t="str">
        <x:v>Country/economy shareholder</x:v>
      </x:c>
      <x:c r="I410" s="30" t="str">
        <x:v>Regional</x:v>
      </x:c>
      <x:c r="J410" s="151" t="str">
        <x:v>No comparable voting measure in source</x:v>
      </x:c>
      <x:c r="K410" s="196"/>
      <x:c r="L410" s="196"/>
    </x:row>
    <x:row r="411">
      <x:c r="A411" s="31" t="str">
        <x:v>Armenia</x:v>
      </x:c>
      <x:c r="B411" s="32" t="str">
        <x:v>ebrd</x:v>
      </x:c>
      <x:c r="C411" s="194" t="n">
        <x:v>0.04806141601307629</x:v>
      </x:c>
      <x:c r="D411" s="194"/>
      <x:c r="E411" s="186" t="n">
        <x:v>46252</x:v>
      </x:c>
      <x:c r="F411" s="32" t="n">
        <x:f t="shared" si="6"/>
        <x:v>4</x:v>
      </x:c>
      <x:c r="G411" s="32" t="str">
        <x:v>Country</x:v>
      </x:c>
      <x:c r="H411" s="32" t="str">
        <x:v>Country/economy shareholder</x:v>
      </x:c>
      <x:c r="I411" s="35" t="str">
        <x:v>Regional</x:v>
      </x:c>
      <x:c r="J411" s="151" t="str">
        <x:v>No comparable voting measure in source</x:v>
      </x:c>
      <x:c r="K411" s="196"/>
      <x:c r="L411" s="196"/>
    </x:row>
    <x:row r="412">
      <x:c r="A412" s="26" t="str">
        <x:v>Australia</x:v>
      </x:c>
      <x:c r="B412" s="27" t="str">
        <x:v>ebrd</x:v>
      </x:c>
      <x:c r="C412" s="193" t="n">
        <x:v>0.9623184391037172</x:v>
      </x:c>
      <x:c r="D412" s="193"/>
      <x:c r="E412" s="185" t="n">
        <x:v>46252</x:v>
      </x:c>
      <x:c r="F412" s="27" t="n">
        <x:f t="shared" si="6"/>
        <x:v>5</x:v>
      </x:c>
      <x:c r="G412" s="27" t="str">
        <x:v>Country</x:v>
      </x:c>
      <x:c r="H412" s="27" t="str">
        <x:v>Country/economy shareholder</x:v>
      </x:c>
      <x:c r="I412" s="30" t="str">
        <x:v>Regional</x:v>
      </x:c>
      <x:c r="J412" s="151" t="str">
        <x:v>No comparable voting measure in source</x:v>
      </x:c>
      <x:c r="K412" s="196"/>
      <x:c r="L412" s="196"/>
    </x:row>
    <x:row r="413">
      <x:c r="A413" s="31" t="str">
        <x:v>Austria</x:v>
      </x:c>
      <x:c r="B413" s="32" t="str">
        <x:v>ebrd</x:v>
      </x:c>
      <x:c r="C413" s="194" t="n">
        <x:v>2.488965752954703</x:v>
      </x:c>
      <x:c r="D413" s="194"/>
      <x:c r="E413" s="186" t="n">
        <x:v>46252</x:v>
      </x:c>
      <x:c r="F413" s="32" t="n">
        <x:f t="shared" si="6"/>
        <x:v>8</x:v>
      </x:c>
      <x:c r="G413" s="32" t="str">
        <x:v>Country</x:v>
      </x:c>
      <x:c r="H413" s="32" t="str">
        <x:v>Country/economy shareholder</x:v>
      </x:c>
      <x:c r="I413" s="35" t="str">
        <x:v>Regional</x:v>
      </x:c>
      <x:c r="J413" s="151" t="str">
        <x:v>No comparable voting measure in source</x:v>
      </x:c>
      <x:c r="K413" s="196"/>
      <x:c r="L413" s="196"/>
    </x:row>
    <x:row r="414">
      <x:c r="A414" s="26" t="str">
        <x:v>Azerbaijan</x:v>
      </x:c>
      <x:c r="B414" s="27" t="str">
        <x:v>ebrd</x:v>
      </x:c>
      <x:c r="C414" s="193" t="n">
        <x:v>0.09621901898281653</x:v>
      </x:c>
      <x:c r="D414" s="193"/>
      <x:c r="E414" s="185" t="n">
        <x:v>46252</x:v>
      </x:c>
      <x:c r="F414" s="27" t="n">
        <x:f t="shared" si="6"/>
        <x:v>6</x:v>
      </x:c>
      <x:c r="G414" s="27" t="str">
        <x:v>Country</x:v>
      </x:c>
      <x:c r="H414" s="27" t="str">
        <x:v>Country/economy shareholder</x:v>
      </x:c>
      <x:c r="I414" s="30" t="str">
        <x:v>Regional</x:v>
      </x:c>
      <x:c r="J414" s="151" t="str">
        <x:v>No comparable voting measure in source</x:v>
      </x:c>
      <x:c r="K414" s="196"/>
      <x:c r="L414" s="196"/>
    </x:row>
    <x:row r="415">
      <x:c r="A415" s="31" t="str">
        <x:v>Belarus</x:v>
      </x:c>
      <x:c r="B415" s="32" t="str">
        <x:v>ebrd</x:v>
      </x:c>
      <x:c r="C415" s="194" t="n">
        <x:v>0.19243803796563305</x:v>
      </x:c>
      <x:c r="D415" s="194"/>
      <x:c r="E415" s="186" t="n">
        <x:v>46252</x:v>
      </x:c>
      <x:c r="F415" s="32" t="n">
        <x:f t="shared" si="6"/>
        <x:v>4</x:v>
      </x:c>
      <x:c r="G415" s="32" t="str">
        <x:v>Country</x:v>
      </x:c>
      <x:c r="H415" s="32" t="str">
        <x:v>Country/economy shareholder</x:v>
      </x:c>
      <x:c r="I415" s="35" t="str">
        <x:v>Regional</x:v>
      </x:c>
      <x:c r="J415" s="151" t="str">
        <x:v>No comparable voting measure in source</x:v>
      </x:c>
      <x:c r="K415" s="196"/>
      <x:c r="L415" s="196"/>
    </x:row>
    <x:row r="416">
      <x:c r="A416" s="26" t="str">
        <x:v>Belgium</x:v>
      </x:c>
      <x:c r="B416" s="27" t="str">
        <x:v>ebrd</x:v>
      </x:c>
      <x:c r="C416" s="193" t="n">
        <x:v>2.194088606141986</x:v>
      </x:c>
      <x:c r="D416" s="193"/>
      <x:c r="E416" s="185" t="n">
        <x:v>46252</x:v>
      </x:c>
      <x:c r="F416" s="27" t="n">
        <x:f t="shared" si="6"/>
        <x:v>8</x:v>
      </x:c>
      <x:c r="G416" s="27" t="str">
        <x:v>Country</x:v>
      </x:c>
      <x:c r="H416" s="27" t="str">
        <x:v>Country/economy shareholder</x:v>
      </x:c>
      <x:c r="I416" s="30" t="str">
        <x:v>Regional</x:v>
      </x:c>
      <x:c r="J416" s="151" t="str">
        <x:v>No comparable voting measure in source</x:v>
      </x:c>
      <x:c r="K416" s="196"/>
      <x:c r="L416" s="196"/>
    </x:row>
    <x:row r="417">
      <x:c r="A417" s="31" t="str">
        <x:v>Benin</x:v>
      </x:c>
      <x:c r="B417" s="32" t="str">
        <x:v>ebrd</x:v>
      </x:c>
      <x:c r="C417" s="194" t="n">
        <x:v>0.006508650734259165</x:v>
      </x:c>
      <x:c r="D417" s="194"/>
      <x:c r="E417" s="186" t="n">
        <x:v>46252</x:v>
      </x:c>
      <x:c r="F417" s="32" t="n">
        <x:f t="shared" si="6"/>
        <x:v>6</x:v>
      </x:c>
      <x:c r="G417" s="32" t="str">
        <x:v>Country</x:v>
      </x:c>
      <x:c r="H417" s="32" t="str">
        <x:v>Country/economy shareholder</x:v>
      </x:c>
      <x:c r="I417" s="35" t="str">
        <x:v>Regional</x:v>
      </x:c>
      <x:c r="J417" s="151" t="str">
        <x:v>No comparable voting measure in source</x:v>
      </x:c>
      <x:c r="K417" s="196"/>
      <x:c r="L417" s="196"/>
    </x:row>
    <x:row r="418">
      <x:c r="A418" s="26" t="str">
        <x:v>Bosnia and Herzegovina</x:v>
      </x:c>
      <x:c r="B418" s="27" t="str">
        <x:v>ebrd</x:v>
      </x:c>
      <x:c r="C418" s="193" t="n">
        <x:v>0.1625880190809272</x:v>
      </x:c>
      <x:c r="D418" s="193"/>
      <x:c r="E418" s="185" t="n">
        <x:v>46252</x:v>
      </x:c>
      <x:c r="F418" s="27" t="n">
        <x:f t="shared" si="6"/>
        <x:v>3</x:v>
      </x:c>
      <x:c r="G418" s="27" t="str">
        <x:v>Country</x:v>
      </x:c>
      <x:c r="H418" s="27" t="str">
        <x:v>Country/economy shareholder</x:v>
      </x:c>
      <x:c r="I418" s="30" t="str">
        <x:v>Regional</x:v>
      </x:c>
      <x:c r="J418" s="151" t="str">
        <x:v>No comparable voting measure in source</x:v>
      </x:c>
      <x:c r="K418" s="196"/>
      <x:c r="L418" s="196"/>
    </x:row>
    <x:row r="419">
      <x:c r="A419" s="31" t="str">
        <x:v>Bulgaria</x:v>
      </x:c>
      <x:c r="B419" s="32" t="str">
        <x:v>ebrd</x:v>
      </x:c>
      <x:c r="C419" s="194" t="n">
        <x:v>0.7602296431528033</x:v>
      </x:c>
      <x:c r="D419" s="194"/>
      <x:c r="E419" s="186" t="n">
        <x:v>46252</x:v>
      </x:c>
      <x:c r="F419" s="32" t="n">
        <x:f t="shared" si="6"/>
        <x:v>4</x:v>
      </x:c>
      <x:c r="G419" s="32" t="str">
        <x:v>Country</x:v>
      </x:c>
      <x:c r="H419" s="32" t="str">
        <x:v>Country/economy shareholder</x:v>
      </x:c>
      <x:c r="I419" s="35" t="str">
        <x:v>Regional</x:v>
      </x:c>
      <x:c r="J419" s="151" t="str">
        <x:v>No comparable voting measure in source</x:v>
      </x:c>
      <x:c r="K419" s="196"/>
      <x:c r="L419" s="196"/>
    </x:row>
    <x:row r="420">
      <x:c r="A420" s="26" t="str">
        <x:v>Canada</x:v>
      </x:c>
      <x:c r="B420" s="27" t="str">
        <x:v>ebrd</x:v>
      </x:c>
      <x:c r="C420" s="193" t="n">
        <x:v>3.711662283747675</x:v>
      </x:c>
      <x:c r="D420" s="193"/>
      <x:c r="E420" s="185" t="n">
        <x:v>46252</x:v>
      </x:c>
      <x:c r="F420" s="27" t="n">
        <x:f t="shared" si="6"/>
        <x:v>8</x:v>
      </x:c>
      <x:c r="G420" s="27" t="str">
        <x:v>Country</x:v>
      </x:c>
      <x:c r="H420" s="27" t="str">
        <x:v>Country/economy shareholder</x:v>
      </x:c>
      <x:c r="I420" s="30" t="str">
        <x:v>Regional</x:v>
      </x:c>
      <x:c r="J420" s="151" t="str">
        <x:v>No comparable voting measure in source</x:v>
      </x:c>
      <x:c r="K420" s="196"/>
      <x:c r="L420" s="196"/>
    </x:row>
    <x:row r="421">
      <x:c r="A421" s="31" t="str">
        <x:v>China</x:v>
      </x:c>
      <x:c r="B421" s="32" t="str">
        <x:v>ebrd</x:v>
      </x:c>
      <x:c r="C421" s="194" t="n">
        <x:v>0.09298072477513092</x:v>
      </x:c>
      <x:c r="D421" s="194"/>
      <x:c r="E421" s="186" t="n">
        <x:v>46252</x:v>
      </x:c>
      <x:c r="F421" s="32" t="n">
        <x:f t="shared" si="6"/>
        <x:v>8</x:v>
      </x:c>
      <x:c r="G421" s="32" t="str">
        <x:v>Country</x:v>
      </x:c>
      <x:c r="H421" s="32" t="str">
        <x:v>Country/economy shareholder</x:v>
      </x:c>
      <x:c r="I421" s="35" t="str">
        <x:v>Regional</x:v>
      </x:c>
      <x:c r="J421" s="151" t="str">
        <x:v>No comparable voting measure in source</x:v>
      </x:c>
      <x:c r="K421" s="196"/>
      <x:c r="L421" s="196"/>
    </x:row>
    <x:row r="422">
      <x:c r="A422" s="26" t="str">
        <x:v>Côte d’Ivoire</x:v>
      </x:c>
      <x:c r="B422" s="27" t="str">
        <x:v>ebrd</x:v>
      </x:c>
      <x:c r="C422" s="193" t="n">
        <x:v>0.006508650734259165</x:v>
      </x:c>
      <x:c r="D422" s="193"/>
      <x:c r="E422" s="185" t="n">
        <x:v>46252</x:v>
      </x:c>
      <x:c r="F422" s="27" t="n">
        <x:f t="shared" si="6"/>
        <x:v>4</x:v>
      </x:c>
      <x:c r="G422" s="27" t="str">
        <x:v>Country</x:v>
      </x:c>
      <x:c r="H422" s="27" t="str">
        <x:v>Country/economy shareholder</x:v>
      </x:c>
      <x:c r="I422" s="30" t="str">
        <x:v>Regional</x:v>
      </x:c>
      <x:c r="J422" s="151" t="str">
        <x:v>No comparable voting measure in source</x:v>
      </x:c>
      <x:c r="K422" s="196"/>
      <x:c r="L422" s="196"/>
    </x:row>
    <x:row r="423">
      <x:c r="A423" s="31" t="str">
        <x:v>Croatia</x:v>
      </x:c>
      <x:c r="B423" s="32" t="str">
        <x:v>ebrd</x:v>
      </x:c>
      <x:c r="C423" s="194" t="n">
        <x:v>0.3979575020375604</x:v>
      </x:c>
      <x:c r="D423" s="194"/>
      <x:c r="E423" s="186" t="n">
        <x:v>46252</x:v>
      </x:c>
      <x:c r="F423" s="32" t="n">
        <x:f t="shared" si="6"/>
        <x:v>6</x:v>
      </x:c>
      <x:c r="G423" s="32" t="str">
        <x:v>Country</x:v>
      </x:c>
      <x:c r="H423" s="32" t="str">
        <x:v>Country/economy shareholder</x:v>
      </x:c>
      <x:c r="I423" s="35" t="str">
        <x:v>Regional</x:v>
      </x:c>
      <x:c r="J423" s="151" t="str">
        <x:v>No comparable voting measure in source</x:v>
      </x:c>
      <x:c r="K423" s="196"/>
      <x:c r="L423" s="196"/>
    </x:row>
    <x:row r="424">
      <x:c r="A424" s="26" t="str">
        <x:v>Cyprus</x:v>
      </x:c>
      <x:c r="B424" s="27" t="str">
        <x:v>ebrd</x:v>
      </x:c>
      <x:c r="C424" s="193" t="n">
        <x:v>0.09621901898281653</x:v>
      </x:c>
      <x:c r="D424" s="193"/>
      <x:c r="E424" s="185" t="n">
        <x:v>46252</x:v>
      </x:c>
      <x:c r="F424" s="27" t="n">
        <x:f t="shared" si="6"/>
        <x:v>5</x:v>
      </x:c>
      <x:c r="G424" s="27" t="str">
        <x:v>Country</x:v>
      </x:c>
      <x:c r="H424" s="27" t="str">
        <x:v>Country/economy shareholder</x:v>
      </x:c>
      <x:c r="I424" s="30" t="str">
        <x:v>Regional</x:v>
      </x:c>
      <x:c r="J424" s="151" t="str">
        <x:v>No comparable voting measure in source</x:v>
      </x:c>
      <x:c r="K424" s="196"/>
      <x:c r="L424" s="196"/>
    </x:row>
    <x:row r="425">
      <x:c r="A425" s="31" t="str">
        <x:v>Czechia</x:v>
      </x:c>
      <x:c r="B425" s="32" t="str">
        <x:v>ebrd</x:v>
      </x:c>
      <x:c r="C425" s="194" t="n">
        <x:v>0.931506550652372</x:v>
      </x:c>
      <x:c r="D425" s="194"/>
      <x:c r="E425" s="186" t="n">
        <x:v>46252</x:v>
      </x:c>
      <x:c r="F425" s="32" t="n">
        <x:f t="shared" si="6"/>
        <x:v>3</x:v>
      </x:c>
      <x:c r="G425" s="32" t="str">
        <x:v>Country</x:v>
      </x:c>
      <x:c r="H425" s="32" t="str">
        <x:v>Country/economy shareholder</x:v>
      </x:c>
      <x:c r="I425" s="35" t="str">
        <x:v>Regional</x:v>
      </x:c>
      <x:c r="J425" s="151" t="str">
        <x:v>No comparable voting measure in source</x:v>
      </x:c>
      <x:c r="K425" s="196"/>
      <x:c r="L425" s="196"/>
    </x:row>
    <x:row r="426">
      <x:c r="A426" s="26" t="str">
        <x:v>Denmark</x:v>
      </x:c>
      <x:c r="B426" s="27" t="str">
        <x:v>ebrd</x:v>
      </x:c>
      <x:c r="C426" s="193" t="n">
        <x:v>1.154788539388238</x:v>
      </x:c>
      <x:c r="D426" s="193"/>
      <x:c r="E426" s="185" t="n">
        <x:v>46252</x:v>
      </x:c>
      <x:c r="F426" s="27" t="n">
        <x:f t="shared" si="6"/>
        <x:v>8</x:v>
      </x:c>
      <x:c r="G426" s="27" t="str">
        <x:v>Country</x:v>
      </x:c>
      <x:c r="H426" s="27" t="str">
        <x:v>Country/economy shareholder</x:v>
      </x:c>
      <x:c r="I426" s="30" t="str">
        <x:v>Regional</x:v>
      </x:c>
      <x:c r="J426" s="151" t="str">
        <x:v>No comparable voting measure in source</x:v>
      </x:c>
      <x:c r="K426" s="196"/>
      <x:c r="L426" s="196"/>
    </x:row>
    <x:row r="427">
      <x:c r="A427" s="31" t="str">
        <x:v>Egypt</x:v>
      </x:c>
      <x:c r="B427" s="32" t="str">
        <x:v>ebrd</x:v>
      </x:c>
      <x:c r="C427" s="194" t="n">
        <x:v>0.06736293198363796</x:v>
      </x:c>
      <x:c r="D427" s="194"/>
      <x:c r="E427" s="186" t="n">
        <x:v>46252</x:v>
      </x:c>
      <x:c r="F427" s="32" t="n">
        <x:f t="shared" si="6"/>
        <x:v>6</x:v>
      </x:c>
      <x:c r="G427" s="32" t="str">
        <x:v>Country</x:v>
      </x:c>
      <x:c r="H427" s="32" t="str">
        <x:v>Country/economy shareholder</x:v>
      </x:c>
      <x:c r="I427" s="35" t="str">
        <x:v>Regional</x:v>
      </x:c>
      <x:c r="J427" s="151" t="str">
        <x:v>No comparable voting measure in source</x:v>
      </x:c>
      <x:c r="K427" s="196"/>
      <x:c r="L427" s="196"/>
    </x:row>
    <x:row r="428">
      <x:c r="A428" s="26" t="str">
        <x:v>Estonia</x:v>
      </x:c>
      <x:c r="B428" s="27" t="str">
        <x:v>ebrd</x:v>
      </x:c>
      <x:c r="C428" s="193" t="n">
        <x:v>0.09621901898281653</x:v>
      </x:c>
      <x:c r="D428" s="193"/>
      <x:c r="E428" s="185" t="n">
        <x:v>46252</x:v>
      </x:c>
      <x:c r="F428" s="27" t="n">
        <x:f t="shared" si="6"/>
        <x:v>4</x:v>
      </x:c>
      <x:c r="G428" s="27" t="str">
        <x:v>Country</x:v>
      </x:c>
      <x:c r="H428" s="27" t="str">
        <x:v>Country/economy shareholder</x:v>
      </x:c>
      <x:c r="I428" s="30" t="str">
        <x:v>Regional</x:v>
      </x:c>
      <x:c r="J428" s="151" t="str">
        <x:v>No comparable voting measure in source</x:v>
      </x:c>
      <x:c r="K428" s="196"/>
      <x:c r="L428" s="196"/>
    </x:row>
    <x:row r="429">
      <x:c r="A429" s="31" t="str">
        <x:v>European Investment Bank</x:v>
      </x:c>
      <x:c r="B429" s="32" t="str">
        <x:v>ebrd</x:v>
      </x:c>
      <x:c r="C429" s="194" t="n">
        <x:v>3.275037625131215</x:v>
      </x:c>
      <x:c r="D429" s="194"/>
      <x:c r="E429" s="186" t="n">
        <x:v>46252</x:v>
      </x:c>
      <x:c r="F429" s="32" t="n">
        <x:f t="shared" si="6"/>
        <x:v>1</x:v>
      </x:c>
      <x:c r="G429" s="32" t="str">
        <x:v>Institution</x:v>
      </x:c>
      <x:c r="H429" s="32" t="str">
        <x:v>Institutional shareholder</x:v>
      </x:c>
      <x:c r="I429" s="35" t="str">
        <x:v>Regional</x:v>
      </x:c>
      <x:c r="J429" s="151" t="str">
        <x:v>No comparable voting measure in source</x:v>
      </x:c>
      <x:c r="K429" s="196"/>
      <x:c r="L429" s="196"/>
    </x:row>
    <x:row r="430">
      <x:c r="A430" s="26" t="str">
        <x:v>European Union</x:v>
      </x:c>
      <x:c r="B430" s="27" t="str">
        <x:v>ebrd</x:v>
      </x:c>
      <x:c r="C430" s="193" t="n">
        <x:v>2.8870194419489272</x:v>
      </x:c>
      <x:c r="D430" s="193"/>
      <x:c r="E430" s="185" t="n">
        <x:v>46252</x:v>
      </x:c>
      <x:c r="F430" s="27" t="n">
        <x:f t="shared" si="6"/>
        <x:v>1</x:v>
      </x:c>
      <x:c r="G430" s="27" t="str">
        <x:v>Institution</x:v>
      </x:c>
      <x:c r="H430" s="27" t="str">
        <x:v>Institutional shareholder</x:v>
      </x:c>
      <x:c r="I430" s="30" t="str">
        <x:v>Regional</x:v>
      </x:c>
      <x:c r="J430" s="151" t="str">
        <x:v>No comparable voting measure in source</x:v>
      </x:c>
      <x:c r="K430" s="196"/>
      <x:c r="L430" s="196"/>
    </x:row>
    <x:row r="431">
      <x:c r="A431" s="31" t="str">
        <x:v>Finland</x:v>
      </x:c>
      <x:c r="B431" s="32" t="str">
        <x:v>ebrd</x:v>
      </x:c>
      <x:c r="C431" s="194" t="n">
        <x:v>1.2029140800390903</x:v>
      </x:c>
      <x:c r="D431" s="194"/>
      <x:c r="E431" s="186" t="n">
        <x:v>46252</x:v>
      </x:c>
      <x:c r="F431" s="32" t="n">
        <x:f t="shared" si="6"/>
        <x:v>8</x:v>
      </x:c>
      <x:c r="G431" s="32" t="str">
        <x:v>Country</x:v>
      </x:c>
      <x:c r="H431" s="32" t="str">
        <x:v>Country/economy shareholder</x:v>
      </x:c>
      <x:c r="I431" s="35" t="str">
        <x:v>Regional</x:v>
      </x:c>
      <x:c r="J431" s="151" t="str">
        <x:v>No comparable voting measure in source</x:v>
      </x:c>
      <x:c r="K431" s="196"/>
      <x:c r="L431" s="196"/>
    </x:row>
    <x:row r="432">
      <x:c r="A432" s="26" t="str">
        <x:v>France</x:v>
      </x:c>
      <x:c r="B432" s="27" t="str">
        <x:v>ebrd</x:v>
      </x:c>
      <x:c r="C432" s="193" t="n">
        <x:v>8.196763886029999</x:v>
      </x:c>
      <x:c r="D432" s="193"/>
      <x:c r="E432" s="185" t="n">
        <x:v>46252</x:v>
      </x:c>
      <x:c r="F432" s="27" t="n">
        <x:f t="shared" si="6"/>
        <x:v>8</x:v>
      </x:c>
      <x:c r="G432" s="27" t="str">
        <x:v>Country</x:v>
      </x:c>
      <x:c r="H432" s="27" t="str">
        <x:v>Country/economy shareholder</x:v>
      </x:c>
      <x:c r="I432" s="30" t="str">
        <x:v>Regional</x:v>
      </x:c>
      <x:c r="J432" s="151" t="str">
        <x:v>No comparable voting measure in source</x:v>
      </x:c>
      <x:c r="K432" s="196"/>
      <x:c r="L432" s="196"/>
    </x:row>
    <x:row r="433">
      <x:c r="A433" s="31" t="str">
        <x:v>Georgia</x:v>
      </x:c>
      <x:c r="B433" s="32" t="str">
        <x:v>ebrd</x:v>
      </x:c>
      <x:c r="C433" s="194" t="n">
        <x:v>0.10914013349467092</x:v>
      </x:c>
      <x:c r="D433" s="194"/>
      <x:c r="E433" s="186" t="n">
        <x:v>46252</x:v>
      </x:c>
      <x:c r="F433" s="32" t="n">
        <x:f t="shared" si="6"/>
        <x:v>5</x:v>
      </x:c>
      <x:c r="G433" s="32" t="str">
        <x:v>Country</x:v>
      </x:c>
      <x:c r="H433" s="32" t="str">
        <x:v>Country/economy shareholder</x:v>
      </x:c>
      <x:c r="I433" s="35" t="str">
        <x:v>Regional</x:v>
      </x:c>
      <x:c r="J433" s="151" t="str">
        <x:v>No comparable voting measure in source</x:v>
      </x:c>
      <x:c r="K433" s="196"/>
      <x:c r="L433" s="196"/>
    </x:row>
    <x:row r="434">
      <x:c r="A434" s="26" t="str">
        <x:v>Germany</x:v>
      </x:c>
      <x:c r="B434" s="27" t="str">
        <x:v>ebrd</x:v>
      </x:c>
      <x:c r="C434" s="193" t="n">
        <x:v>8.196763886029999</x:v>
      </x:c>
      <x:c r="D434" s="193"/>
      <x:c r="E434" s="185" t="n">
        <x:v>46252</x:v>
      </x:c>
      <x:c r="F434" s="27" t="n">
        <x:f t="shared" si="6"/>
        <x:v>9</x:v>
      </x:c>
      <x:c r="G434" s="27" t="str">
        <x:v>Country</x:v>
      </x:c>
      <x:c r="H434" s="27" t="str">
        <x:v>Country/economy shareholder</x:v>
      </x:c>
      <x:c r="I434" s="30" t="str">
        <x:v>Regional</x:v>
      </x:c>
      <x:c r="J434" s="151" t="str">
        <x:v>No comparable voting measure in source</x:v>
      </x:c>
      <x:c r="K434" s="196"/>
      <x:c r="L434" s="196"/>
    </x:row>
    <x:row r="435">
      <x:c r="A435" s="31" t="str">
        <x:v>Greece</x:v>
      </x:c>
      <x:c r="B435" s="32" t="str">
        <x:v>ebrd</x:v>
      </x:c>
      <x:c r="C435" s="194" t="n">
        <x:v>0.6254717168666393</x:v>
      </x:c>
      <x:c r="D435" s="194"/>
      <x:c r="E435" s="186" t="n">
        <x:v>46252</x:v>
      </x:c>
      <x:c r="F435" s="32" t="n">
        <x:f t="shared" si="6"/>
        <x:v>5</x:v>
      </x:c>
      <x:c r="G435" s="32" t="str">
        <x:v>Country</x:v>
      </x:c>
      <x:c r="H435" s="32" t="str">
        <x:v>Country/economy shareholder</x:v>
      </x:c>
      <x:c r="I435" s="35" t="str">
        <x:v>Regional</x:v>
      </x:c>
      <x:c r="J435" s="151" t="str">
        <x:v>No comparable voting measure in source</x:v>
      </x:c>
      <x:c r="K435" s="196"/>
      <x:c r="L435" s="196"/>
    </x:row>
    <x:row r="436">
      <x:c r="A436" s="26" t="str">
        <x:v>Hungary</x:v>
      </x:c>
      <x:c r="B436" s="27" t="str">
        <x:v>ebrd</x:v>
      </x:c>
      <x:c r="C436" s="193" t="n">
        <x:v>0.7602296431528033</x:v>
      </x:c>
      <x:c r="D436" s="193"/>
      <x:c r="E436" s="185" t="n">
        <x:v>46252</x:v>
      </x:c>
      <x:c r="F436" s="27" t="n">
        <x:f t="shared" si="6"/>
        <x:v>5</x:v>
      </x:c>
      <x:c r="G436" s="27" t="str">
        <x:v>Country</x:v>
      </x:c>
      <x:c r="H436" s="27" t="str">
        <x:v>Country/economy shareholder</x:v>
      </x:c>
      <x:c r="I436" s="30" t="str">
        <x:v>Regional</x:v>
      </x:c>
      <x:c r="J436" s="151" t="str">
        <x:v>No comparable voting measure in source</x:v>
      </x:c>
      <x:c r="K436" s="196"/>
      <x:c r="L436" s="196"/>
    </x:row>
    <x:row r="437">
      <x:c r="A437" s="31" t="str">
        <x:v>Iceland</x:v>
      </x:c>
      <x:c r="B437" s="32" t="str">
        <x:v>ebrd</x:v>
      </x:c>
      <x:c r="C437" s="194" t="n">
        <x:v>0.09621901898281653</x:v>
      </x:c>
      <x:c r="D437" s="194"/>
      <x:c r="E437" s="186" t="n">
        <x:v>46252</x:v>
      </x:c>
      <x:c r="F437" s="32" t="n">
        <x:f t="shared" si="6"/>
        <x:v>4</x:v>
      </x:c>
      <x:c r="G437" s="32" t="str">
        <x:v>Country</x:v>
      </x:c>
      <x:c r="H437" s="32" t="str">
        <x:v>Country/economy shareholder</x:v>
      </x:c>
      <x:c r="I437" s="35" t="str">
        <x:v>Regional</x:v>
      </x:c>
      <x:c r="J437" s="151" t="str">
        <x:v>No comparable voting measure in source</x:v>
      </x:c>
      <x:c r="K437" s="196"/>
      <x:c r="L437" s="196"/>
    </x:row>
    <x:row r="438">
      <x:c r="A438" s="26" t="str">
        <x:v>India</x:v>
      </x:c>
      <x:c r="B438" s="27" t="str">
        <x:v>ebrd</x:v>
      </x:c>
      <x:c r="C438" s="193" t="n">
        <x:v>0.031613446423544515</x:v>
      </x:c>
      <x:c r="D438" s="193"/>
      <x:c r="E438" s="185" t="n">
        <x:v>46252</x:v>
      </x:c>
      <x:c r="F438" s="27" t="n">
        <x:f t="shared" si="6"/>
        <x:v>7</x:v>
      </x:c>
      <x:c r="G438" s="27" t="str">
        <x:v>Country</x:v>
      </x:c>
      <x:c r="H438" s="27" t="str">
        <x:v>Country/economy shareholder</x:v>
      </x:c>
      <x:c r="I438" s="30" t="str">
        <x:v>Regional</x:v>
      </x:c>
      <x:c r="J438" s="151" t="str">
        <x:v>No comparable voting measure in source</x:v>
      </x:c>
      <x:c r="K438" s="196"/>
      <x:c r="L438" s="196"/>
    </x:row>
    <x:row r="439">
      <x:c r="A439" s="31" t="str">
        <x:v>Iraq</x:v>
      </x:c>
      <x:c r="B439" s="32" t="str">
        <x:v>ebrd</x:v>
      </x:c>
      <x:c r="C439" s="194" t="n">
        <x:v>0.006508650734259165</x:v>
      </x:c>
      <x:c r="D439" s="194"/>
      <x:c r="E439" s="186" t="n">
        <x:v>46252</x:v>
      </x:c>
      <x:c r="F439" s="32" t="n">
        <x:f t="shared" si="6"/>
        <x:v>6</x:v>
      </x:c>
      <x:c r="G439" s="32" t="str">
        <x:v>Country</x:v>
      </x:c>
      <x:c r="H439" s="32" t="str">
        <x:v>Country/economy shareholder</x:v>
      </x:c>
      <x:c r="I439" s="35" t="str">
        <x:v>Regional</x:v>
      </x:c>
      <x:c r="J439" s="151" t="str">
        <x:v>No comparable voting measure in source</x:v>
      </x:c>
      <x:c r="K439" s="196"/>
      <x:c r="L439" s="196"/>
    </x:row>
    <x:row r="440">
      <x:c r="A440" s="26" t="str">
        <x:v>Ireland</x:v>
      </x:c>
      <x:c r="B440" s="27" t="str">
        <x:v>ebrd</x:v>
      </x:c>
      <x:c r="C440" s="193" t="n">
        <x:v>0.3274845251217887</x:v>
      </x:c>
      <x:c r="D440" s="193"/>
      <x:c r="E440" s="185" t="n">
        <x:v>46252</x:v>
      </x:c>
      <x:c r="F440" s="27" t="n">
        <x:f t="shared" si="6"/>
        <x:v>7</x:v>
      </x:c>
      <x:c r="G440" s="27" t="str">
        <x:v>Country</x:v>
      </x:c>
      <x:c r="H440" s="27" t="str">
        <x:v>Country/economy shareholder</x:v>
      </x:c>
      <x:c r="I440" s="30" t="str">
        <x:v>Regional</x:v>
      </x:c>
      <x:c r="J440" s="151" t="str">
        <x:v>No comparable voting measure in source</x:v>
      </x:c>
      <x:c r="K440" s="196"/>
      <x:c r="L440" s="196"/>
    </x:row>
    <x:row r="441">
      <x:c r="A441" s="31" t="str">
        <x:v>Israel</x:v>
      </x:c>
      <x:c r="B441" s="32" t="str">
        <x:v>ebrd</x:v>
      </x:c>
      <x:c r="C441" s="194" t="n">
        <x:v>0.6254717168666393</x:v>
      </x:c>
      <x:c r="D441" s="194"/>
      <x:c r="E441" s="186" t="n">
        <x:v>46252</x:v>
      </x:c>
      <x:c r="F441" s="32" t="n">
        <x:f t="shared" si="6"/>
        <x:v>5</x:v>
      </x:c>
      <x:c r="G441" s="32" t="str">
        <x:v>Country</x:v>
      </x:c>
      <x:c r="H441" s="32" t="str">
        <x:v>Country/economy shareholder</x:v>
      </x:c>
      <x:c r="I441" s="35" t="str">
        <x:v>Regional</x:v>
      </x:c>
      <x:c r="J441" s="151" t="str">
        <x:v>No comparable voting measure in source</x:v>
      </x:c>
      <x:c r="K441" s="196"/>
      <x:c r="L441" s="196"/>
    </x:row>
    <x:row r="442">
      <x:c r="A442" s="26" t="str">
        <x:v>Italy</x:v>
      </x:c>
      <x:c r="B442" s="27" t="str">
        <x:v>ebrd</x:v>
      </x:c>
      <x:c r="C442" s="193" t="n">
        <x:v>8.196763886029999</x:v>
      </x:c>
      <x:c r="D442" s="193"/>
      <x:c r="E442" s="185" t="n">
        <x:v>46252</x:v>
      </x:c>
      <x:c r="F442" s="27" t="n">
        <x:f t="shared" si="6"/>
        <x:v>9</x:v>
      </x:c>
      <x:c r="G442" s="27" t="str">
        <x:v>Country</x:v>
      </x:c>
      <x:c r="H442" s="27" t="str">
        <x:v>Country/economy shareholder</x:v>
      </x:c>
      <x:c r="I442" s="30" t="str">
        <x:v>Regional</x:v>
      </x:c>
      <x:c r="J442" s="151" t="str">
        <x:v>No comparable voting measure in source</x:v>
      </x:c>
      <x:c r="K442" s="196"/>
      <x:c r="L442" s="196"/>
    </x:row>
    <x:row r="443">
      <x:c r="A443" s="31" t="str">
        <x:v>Japan</x:v>
      </x:c>
      <x:c r="B443" s="32" t="str">
        <x:v>ebrd</x:v>
      </x:c>
      <x:c r="C443" s="194" t="n">
        <x:v>9.298425163020859</x:v>
      </x:c>
      <x:c r="D443" s="194"/>
      <x:c r="E443" s="186" t="n">
        <x:v>46252</x:v>
      </x:c>
      <x:c r="F443" s="32" t="n">
        <x:f t="shared" si="6"/>
        <x:v>6</x:v>
      </x:c>
      <x:c r="G443" s="32" t="str">
        <x:v>Country</x:v>
      </x:c>
      <x:c r="H443" s="32" t="str">
        <x:v>Country/economy shareholder</x:v>
      </x:c>
      <x:c r="I443" s="35" t="str">
        <x:v>Regional</x:v>
      </x:c>
      <x:c r="J443" s="151" t="str">
        <x:v>No comparable voting measure in source</x:v>
      </x:c>
      <x:c r="K443" s="196"/>
      <x:c r="L443" s="196"/>
    </x:row>
    <x:row r="444">
      <x:c r="A444" s="26" t="str">
        <x:v>Jordan</x:v>
      </x:c>
      <x:c r="B444" s="27" t="str">
        <x:v>ebrd</x:v>
      </x:c>
      <x:c r="C444" s="193" t="n">
        <x:v>0.035845672516757375</x:v>
      </x:c>
      <x:c r="D444" s="193"/>
      <x:c r="E444" s="185" t="n">
        <x:v>46252</x:v>
      </x:c>
      <x:c r="F444" s="27" t="n">
        <x:f t="shared" si="6"/>
        <x:v>6</x:v>
      </x:c>
      <x:c r="G444" s="27" t="str">
        <x:v>Country</x:v>
      </x:c>
      <x:c r="H444" s="27" t="str">
        <x:v>Country/economy shareholder</x:v>
      </x:c>
      <x:c r="I444" s="30" t="str">
        <x:v>Regional</x:v>
      </x:c>
      <x:c r="J444" s="151" t="str">
        <x:v>No comparable voting measure in source</x:v>
      </x:c>
      <x:c r="K444" s="196"/>
      <x:c r="L444" s="196"/>
    </x:row>
    <x:row r="445">
      <x:c r="A445" s="31" t="str">
        <x:v>Kazakhstan</x:v>
      </x:c>
      <x:c r="B445" s="32" t="str">
        <x:v>ebrd</x:v>
      </x:c>
      <x:c r="C445" s="194" t="n">
        <x:v>0.2212941249648116</x:v>
      </x:c>
      <x:c r="D445" s="194"/>
      <x:c r="E445" s="186" t="n">
        <x:v>46252</x:v>
      </x:c>
      <x:c r="F445" s="32" t="n">
        <x:f t="shared" si="6"/>
        <x:v>6</x:v>
      </x:c>
      <x:c r="G445" s="32" t="str">
        <x:v>Country</x:v>
      </x:c>
      <x:c r="H445" s="32" t="str">
        <x:v>Country/economy shareholder</x:v>
      </x:c>
      <x:c r="I445" s="35" t="str">
        <x:v>Regional</x:v>
      </x:c>
      <x:c r="J445" s="151" t="str">
        <x:v>No comparable voting measure in source</x:v>
      </x:c>
      <x:c r="K445" s="196"/>
      <x:c r="L445" s="196"/>
    </x:row>
    <x:row r="446">
      <x:c r="A446" s="26" t="str">
        <x:v>Kenya</x:v>
      </x:c>
      <x:c r="B446" s="27" t="str">
        <x:v>ebrd</x:v>
      </x:c>
      <x:c r="C446" s="193" t="n">
        <x:v>0.006508650734259165</x:v>
      </x:c>
      <x:c r="D446" s="193"/>
      <x:c r="E446" s="185" t="n">
        <x:v>46252</x:v>
      </x:c>
      <x:c r="F446" s="27" t="n">
        <x:f t="shared" si="6"/>
        <x:v>4</x:v>
      </x:c>
      <x:c r="G446" s="27" t="str">
        <x:v>Country</x:v>
      </x:c>
      <x:c r="H446" s="27" t="str">
        <x:v>Country/economy shareholder</x:v>
      </x:c>
      <x:c r="I446" s="30" t="str">
        <x:v>Regional</x:v>
      </x:c>
      <x:c r="J446" s="151" t="str">
        <x:v>No comparable voting measure in source</x:v>
      </x:c>
      <x:c r="K446" s="196"/>
      <x:c r="L446" s="196"/>
    </x:row>
    <x:row r="447">
      <x:c r="A447" s="31" t="str">
        <x:v>Korea, Republic of</x:v>
      </x:c>
      <x:c r="B447" s="32" t="str">
        <x:v>ebrd</x:v>
      </x:c>
      <x:c r="C447" s="194" t="n">
        <x:v>1.091657833497813</x:v>
      </x:c>
      <x:c r="D447" s="194"/>
      <x:c r="E447" s="186" t="n">
        <x:v>46252</x:v>
      </x:c>
      <x:c r="F447" s="32" t="n">
        <x:f t="shared" si="6"/>
        <x:v>8</x:v>
      </x:c>
      <x:c r="G447" s="32" t="str">
        <x:v>Country</x:v>
      </x:c>
      <x:c r="H447" s="32" t="str">
        <x:v>Country/economy shareholder</x:v>
      </x:c>
      <x:c r="I447" s="35" t="str">
        <x:v>Regional</x:v>
      </x:c>
      <x:c r="J447" s="151" t="str">
        <x:v>No comparable voting measure in source</x:v>
      </x:c>
      <x:c r="K447" s="196"/>
      <x:c r="L447" s="196"/>
    </x:row>
    <x:row r="448">
      <x:c r="A448" s="26" t="str">
        <x:v>Kosovo</x:v>
      </x:c>
      <x:c r="B448" s="27" t="str">
        <x:v>ebrd</x:v>
      </x:c>
      <x:c r="C448" s="193" t="n">
        <x:v>0.018596144955026185</x:v>
      </x:c>
      <x:c r="D448" s="193"/>
      <x:c r="E448" s="185" t="n">
        <x:v>46252</x:v>
      </x:c>
      <x:c r="F448" s="27" t="n">
        <x:f t="shared" si="6"/>
        <x:v>3</x:v>
      </x:c>
      <x:c r="G448" s="27" t="str">
        <x:v>Economy</x:v>
      </x:c>
      <x:c r="H448" s="27" t="str">
        <x:v>Country/economy shareholder</x:v>
      </x:c>
      <x:c r="I448" s="30" t="str">
        <x:v>Regional</x:v>
      </x:c>
      <x:c r="J448" s="151" t="str">
        <x:v>No comparable voting measure in source</x:v>
      </x:c>
      <x:c r="K448" s="196"/>
      <x:c r="L448" s="196"/>
    </x:row>
    <x:row r="449">
      <x:c r="A449" s="31" t="str">
        <x:v>Kyrgyz Republic</x:v>
      </x:c>
      <x:c r="B449" s="32" t="str">
        <x:v>ebrd</x:v>
      </x:c>
      <x:c r="C449" s="194" t="n">
        <x:v>0.06736293198363796</x:v>
      </x:c>
      <x:c r="D449" s="194"/>
      <x:c r="E449" s="186" t="n">
        <x:v>46252</x:v>
      </x:c>
      <x:c r="F449" s="32" t="n">
        <x:f t="shared" si="6"/>
        <x:v>6</x:v>
      </x:c>
      <x:c r="G449" s="32" t="str">
        <x:v>Country</x:v>
      </x:c>
      <x:c r="H449" s="32" t="str">
        <x:v>Country/economy shareholder</x:v>
      </x:c>
      <x:c r="I449" s="35" t="str">
        <x:v>Regional</x:v>
      </x:c>
      <x:c r="J449" s="151" t="str">
        <x:v>No comparable voting measure in source</x:v>
      </x:c>
      <x:c r="K449" s="196"/>
      <x:c r="L449" s="196"/>
    </x:row>
    <x:row r="450">
      <x:c r="A450" s="26" t="str">
        <x:v>Latvia</x:v>
      </x:c>
      <x:c r="B450" s="27" t="str">
        <x:v>ebrd</x:v>
      </x:c>
      <x:c r="C450" s="193" t="n">
        <x:v>0.09621901898281653</x:v>
      </x:c>
      <x:c r="D450" s="193"/>
      <x:c r="E450" s="185" t="n">
        <x:v>46252</x:v>
      </x:c>
      <x:c r="F450" s="27" t="n">
        <x:f t="shared" si="6"/>
        <x:v>4</x:v>
      </x:c>
      <x:c r="G450" s="27" t="str">
        <x:v>Country</x:v>
      </x:c>
      <x:c r="H450" s="27" t="str">
        <x:v>Country/economy shareholder</x:v>
      </x:c>
      <x:c r="I450" s="30" t="str">
        <x:v>Regional</x:v>
      </x:c>
      <x:c r="J450" s="151" t="str">
        <x:v>No comparable voting measure in source</x:v>
      </x:c>
      <x:c r="K450" s="196"/>
      <x:c r="L450" s="196"/>
    </x:row>
    <x:row r="451">
      <x:c r="A451" s="31" t="str">
        <x:v>Lebanon</x:v>
      </x:c>
      <x:c r="B451" s="32" t="str">
        <x:v>ebrd</x:v>
      </x:c>
      <x:c r="C451" s="194" t="n">
        <x:v>0.031613446423544515</x:v>
      </x:c>
      <x:c r="D451" s="194"/>
      <x:c r="E451" s="186" t="n">
        <x:v>46252</x:v>
      </x:c>
      <x:c r="F451" s="32" t="n">
        <x:f t="shared" ref="F451:F514" si="7">COUNTIF(A451:A1482,A451)</x:f>
        <x:v>4</x:v>
      </x:c>
      <x:c r="G451" s="32" t="str">
        <x:v>Country</x:v>
      </x:c>
      <x:c r="H451" s="32" t="str">
        <x:v>Country/economy shareholder</x:v>
      </x:c>
      <x:c r="I451" s="35" t="str">
        <x:v>Regional</x:v>
      </x:c>
      <x:c r="J451" s="151" t="str">
        <x:v>No comparable voting measure in source</x:v>
      </x:c>
      <x:c r="K451" s="196"/>
      <x:c r="L451" s="196"/>
    </x:row>
    <x:row r="452">
      <x:c r="A452" s="26" t="str">
        <x:v>Libya</x:v>
      </x:c>
      <x:c r="B452" s="27" t="str">
        <x:v>ebrd</x:v>
      </x:c>
      <x:c r="C452" s="193" t="n">
        <x:v>0.031613446423544515</x:v>
      </x:c>
      <x:c r="D452" s="193"/>
      <x:c r="E452" s="185" t="n">
        <x:v>46252</x:v>
      </x:c>
      <x:c r="F452" s="27" t="n">
        <x:f t="shared" si="7"/>
        <x:v>7</x:v>
      </x:c>
      <x:c r="G452" s="27" t="str">
        <x:v>Country</x:v>
      </x:c>
      <x:c r="H452" s="27" t="str">
        <x:v>Country/economy shareholder</x:v>
      </x:c>
      <x:c r="I452" s="30" t="str">
        <x:v>Regional</x:v>
      </x:c>
      <x:c r="J452" s="151" t="str">
        <x:v>No comparable voting measure in source</x:v>
      </x:c>
      <x:c r="K452" s="196"/>
      <x:c r="L452" s="196"/>
    </x:row>
    <x:row r="453">
      <x:c r="A453" s="31" t="str">
        <x:v>Liechtenstein</x:v>
      </x:c>
      <x:c r="B453" s="32" t="str">
        <x:v>ebrd</x:v>
      </x:c>
      <x:c r="C453" s="194" t="n">
        <x:v>0.019205329013897734</x:v>
      </x:c>
      <x:c r="D453" s="194"/>
      <x:c r="E453" s="186" t="n">
        <x:v>46252</x:v>
      </x:c>
      <x:c r="F453" s="32" t="n">
        <x:f t="shared" si="7"/>
        <x:v>1</x:v>
      </x:c>
      <x:c r="G453" s="32" t="str">
        <x:v>Country</x:v>
      </x:c>
      <x:c r="H453" s="32" t="str">
        <x:v>Country/economy shareholder</x:v>
      </x:c>
      <x:c r="I453" s="35" t="str">
        <x:v>Regional</x:v>
      </x:c>
      <x:c r="J453" s="151" t="str">
        <x:v>No comparable voting measure in source</x:v>
      </x:c>
      <x:c r="K453" s="196"/>
      <x:c r="L453" s="196"/>
    </x:row>
    <x:row r="454">
      <x:c r="A454" s="26" t="str">
        <x:v>Lithuania</x:v>
      </x:c>
      <x:c r="B454" s="27" t="str">
        <x:v>ebrd</x:v>
      </x:c>
      <x:c r="C454" s="193" t="n">
        <x:v>0.10914013349467092</x:v>
      </x:c>
      <x:c r="D454" s="193"/>
      <x:c r="E454" s="185" t="n">
        <x:v>46252</x:v>
      </x:c>
      <x:c r="F454" s="27" t="n">
        <x:f t="shared" si="7"/>
        <x:v>4</x:v>
      </x:c>
      <x:c r="G454" s="27" t="str">
        <x:v>Country</x:v>
      </x:c>
      <x:c r="H454" s="27" t="str">
        <x:v>Country/economy shareholder</x:v>
      </x:c>
      <x:c r="I454" s="30" t="str">
        <x:v>Regional</x:v>
      </x:c>
      <x:c r="J454" s="151" t="str">
        <x:v>No comparable voting measure in source</x:v>
      </x:c>
      <x:c r="K454" s="196"/>
      <x:c r="L454" s="196"/>
    </x:row>
    <x:row r="455">
      <x:c r="A455" s="31" t="str">
        <x:v>Luxembourg</x:v>
      </x:c>
      <x:c r="B455" s="32" t="str">
        <x:v>ebrd</x:v>
      </x:c>
      <x:c r="C455" s="194" t="n">
        <x:v>0.19243803796563305</x:v>
      </x:c>
      <x:c r="D455" s="194"/>
      <x:c r="E455" s="186" t="n">
        <x:v>46252</x:v>
      </x:c>
      <x:c r="F455" s="32" t="n">
        <x:f t="shared" si="7"/>
        <x:v>7</x:v>
      </x:c>
      <x:c r="G455" s="32" t="str">
        <x:v>Country</x:v>
      </x:c>
      <x:c r="H455" s="32" t="str">
        <x:v>Country/economy shareholder</x:v>
      </x:c>
      <x:c r="I455" s="35" t="str">
        <x:v>Regional</x:v>
      </x:c>
      <x:c r="J455" s="151" t="str">
        <x:v>No comparable voting measure in source</x:v>
      </x:c>
      <x:c r="K455" s="196"/>
      <x:c r="L455" s="196"/>
    </x:row>
    <x:row r="456">
      <x:c r="A456" s="26" t="str">
        <x:v>Malta</x:v>
      </x:c>
      <x:c r="B456" s="27" t="str">
        <x:v>ebrd</x:v>
      </x:c>
      <x:c r="C456" s="193" t="n">
        <x:v>0.006733086966474998</x:v>
      </x:c>
      <x:c r="D456" s="193"/>
      <x:c r="E456" s="185" t="n">
        <x:v>46252</x:v>
      </x:c>
      <x:c r="F456" s="27" t="n">
        <x:f t="shared" si="7"/>
        <x:v>5</x:v>
      </x:c>
      <x:c r="G456" s="27" t="str">
        <x:v>Country</x:v>
      </x:c>
      <x:c r="H456" s="27" t="str">
        <x:v>Country/economy shareholder</x:v>
      </x:c>
      <x:c r="I456" s="30" t="str">
        <x:v>Regional</x:v>
      </x:c>
      <x:c r="J456" s="151" t="str">
        <x:v>No comparable voting measure in source</x:v>
      </x:c>
      <x:c r="K456" s="196"/>
      <x:c r="L456" s="196"/>
    </x:row>
    <x:row r="457">
      <x:c r="A457" s="31" t="str">
        <x:v>Mexico</x:v>
      </x:c>
      <x:c r="B457" s="32" t="str">
        <x:v>ebrd</x:v>
      </x:c>
      <x:c r="C457" s="194" t="n">
        <x:v>0.1443124973147808</x:v>
      </x:c>
      <x:c r="D457" s="194"/>
      <x:c r="E457" s="186" t="n">
        <x:v>46252</x:v>
      </x:c>
      <x:c r="F457" s="32" t="n">
        <x:f t="shared" si="7"/>
        <x:v>7</x:v>
      </x:c>
      <x:c r="G457" s="32" t="str">
        <x:v>Country</x:v>
      </x:c>
      <x:c r="H457" s="32" t="str">
        <x:v>Country/economy shareholder</x:v>
      </x:c>
      <x:c r="I457" s="35" t="str">
        <x:v>Regional</x:v>
      </x:c>
      <x:c r="J457" s="151" t="str">
        <x:v>No comparable voting measure in source</x:v>
      </x:c>
      <x:c r="K457" s="196"/>
      <x:c r="L457" s="196"/>
    </x:row>
    <x:row r="458">
      <x:c r="A458" s="26" t="str">
        <x:v>Moldova</x:v>
      </x:c>
      <x:c r="B458" s="27" t="str">
        <x:v>ebrd</x:v>
      </x:c>
      <x:c r="C458" s="193" t="n">
        <x:v>0.09621901898281653</x:v>
      </x:c>
      <x:c r="D458" s="193"/>
      <x:c r="E458" s="185" t="n">
        <x:v>46252</x:v>
      </x:c>
      <x:c r="F458" s="27" t="n">
        <x:f t="shared" si="7"/>
        <x:v>3</x:v>
      </x:c>
      <x:c r="G458" s="27" t="str">
        <x:v>Country</x:v>
      </x:c>
      <x:c r="H458" s="27" t="str">
        <x:v>Country/economy shareholder</x:v>
      </x:c>
      <x:c r="I458" s="30" t="str">
        <x:v>Regional</x:v>
      </x:c>
      <x:c r="J458" s="151" t="str">
        <x:v>No comparable voting measure in source</x:v>
      </x:c>
      <x:c r="K458" s="196"/>
      <x:c r="L458" s="196"/>
    </x:row>
    <x:row r="459">
      <x:c r="A459" s="31" t="str">
        <x:v>Mongolia</x:v>
      </x:c>
      <x:c r="B459" s="32" t="str">
        <x:v>ebrd</x:v>
      </x:c>
      <x:c r="C459" s="194" t="n">
        <x:v>0.009586633347504878</x:v>
      </x:c>
      <x:c r="D459" s="194"/>
      <x:c r="E459" s="186" t="n">
        <x:v>46252</x:v>
      </x:c>
      <x:c r="F459" s="32" t="n">
        <x:f t="shared" si="7"/>
        <x:v>5</x:v>
      </x:c>
      <x:c r="G459" s="32" t="str">
        <x:v>Country</x:v>
      </x:c>
      <x:c r="H459" s="32" t="str">
        <x:v>Country/economy shareholder</x:v>
      </x:c>
      <x:c r="I459" s="35" t="str">
        <x:v>Regional</x:v>
      </x:c>
      <x:c r="J459" s="151" t="str">
        <x:v>No comparable voting measure in source</x:v>
      </x:c>
      <x:c r="K459" s="196"/>
      <x:c r="L459" s="196"/>
    </x:row>
    <x:row r="460">
      <x:c r="A460" s="26" t="str">
        <x:v>Montenegro</x:v>
      </x:c>
      <x:c r="B460" s="27" t="str">
        <x:v>ebrd</x:v>
      </x:c>
      <x:c r="C460" s="193" t="n">
        <x:v>0.019205329013897734</x:v>
      </x:c>
      <x:c r="D460" s="193"/>
      <x:c r="E460" s="185" t="n">
        <x:v>46252</x:v>
      </x:c>
      <x:c r="F460" s="27" t="n">
        <x:f t="shared" si="7"/>
        <x:v>3</x:v>
      </x:c>
      <x:c r="G460" s="27" t="str">
        <x:v>Country</x:v>
      </x:c>
      <x:c r="H460" s="27" t="str">
        <x:v>Country/economy shareholder</x:v>
      </x:c>
      <x:c r="I460" s="30" t="str">
        <x:v>Regional</x:v>
      </x:c>
      <x:c r="J460" s="151" t="str">
        <x:v>No comparable voting measure in source</x:v>
      </x:c>
      <x:c r="K460" s="196"/>
      <x:c r="L460" s="196"/>
    </x:row>
    <x:row r="461">
      <x:c r="A461" s="31" t="str">
        <x:v>Morocco</x:v>
      </x:c>
      <x:c r="B461" s="32" t="str">
        <x:v>ebrd</x:v>
      </x:c>
      <x:c r="C461" s="194" t="n">
        <x:v>0.08961418129189343</x:v>
      </x:c>
      <x:c r="D461" s="194"/>
      <x:c r="E461" s="186" t="n">
        <x:v>46252</x:v>
      </x:c>
      <x:c r="F461" s="32" t="n">
        <x:f t="shared" si="7"/>
        <x:v>7</x:v>
      </x:c>
      <x:c r="G461" s="32" t="str">
        <x:v>Country</x:v>
      </x:c>
      <x:c r="H461" s="32" t="str">
        <x:v>Country/economy shareholder</x:v>
      </x:c>
      <x:c r="I461" s="35" t="str">
        <x:v>Regional</x:v>
      </x:c>
      <x:c r="J461" s="151" t="str">
        <x:v>No comparable voting measure in source</x:v>
      </x:c>
      <x:c r="K461" s="196"/>
      <x:c r="L461" s="196"/>
    </x:row>
    <x:row r="462">
      <x:c r="A462" s="26" t="str">
        <x:v>Netherlands</x:v>
      </x:c>
      <x:c r="B462" s="27" t="str">
        <x:v>ebrd</x:v>
      </x:c>
      <x:c r="C462" s="193" t="n">
        <x:v>2.707310144581821</x:v>
      </x:c>
      <x:c r="D462" s="193"/>
      <x:c r="E462" s="185" t="n">
        <x:v>46252</x:v>
      </x:c>
      <x:c r="F462" s="27" t="n">
        <x:f t="shared" si="7"/>
        <x:v>8</x:v>
      </x:c>
      <x:c r="G462" s="27" t="str">
        <x:v>Country</x:v>
      </x:c>
      <x:c r="H462" s="27" t="str">
        <x:v>Country/economy shareholder</x:v>
      </x:c>
      <x:c r="I462" s="30" t="str">
        <x:v>Regional</x:v>
      </x:c>
      <x:c r="J462" s="151" t="str">
        <x:v>No comparable voting measure in source</x:v>
      </x:c>
      <x:c r="K462" s="196"/>
      <x:c r="L462" s="196"/>
    </x:row>
    <x:row r="463">
      <x:c r="A463" s="31" t="str">
        <x:v>New Zealand</x:v>
      </x:c>
      <x:c r="B463" s="32" t="str">
        <x:v>ebrd</x:v>
      </x:c>
      <x:c r="C463" s="194" t="n">
        <x:v>0.03366543483237499</x:v>
      </x:c>
      <x:c r="D463" s="194"/>
      <x:c r="E463" s="186" t="n">
        <x:v>46252</x:v>
      </x:c>
      <x:c r="F463" s="32" t="n">
        <x:f t="shared" si="7"/>
        <x:v>5</x:v>
      </x:c>
      <x:c r="G463" s="32" t="str">
        <x:v>Country</x:v>
      </x:c>
      <x:c r="H463" s="32" t="str">
        <x:v>Country/economy shareholder</x:v>
      </x:c>
      <x:c r="I463" s="35" t="str">
        <x:v>Regional</x:v>
      </x:c>
      <x:c r="J463" s="151" t="str">
        <x:v>No comparable voting measure in source</x:v>
      </x:c>
      <x:c r="K463" s="196"/>
      <x:c r="L463" s="196"/>
    </x:row>
    <x:row r="464">
      <x:c r="A464" s="26" t="str">
        <x:v>Nigeria</x:v>
      </x:c>
      <x:c r="B464" s="27" t="str">
        <x:v>ebrd</x:v>
      </x:c>
      <x:c r="C464" s="193" t="n">
        <x:v>0.016736530459523568</x:v>
      </x:c>
      <x:c r="D464" s="193"/>
      <x:c r="E464" s="185" t="n">
        <x:v>46252</x:v>
      </x:c>
      <x:c r="F464" s="27" t="n">
        <x:f t="shared" si="7"/>
        <x:v>5</x:v>
      </x:c>
      <x:c r="G464" s="27" t="str">
        <x:v>Country</x:v>
      </x:c>
      <x:c r="H464" s="27" t="str">
        <x:v>Country/economy shareholder</x:v>
      </x:c>
      <x:c r="I464" s="30" t="str">
        <x:v>Regional</x:v>
      </x:c>
      <x:c r="J464" s="151" t="str">
        <x:v>No comparable voting measure in source</x:v>
      </x:c>
      <x:c r="K464" s="196"/>
      <x:c r="L464" s="196"/>
    </x:row>
    <x:row r="465">
      <x:c r="A465" s="31" t="str">
        <x:v>North Macedonia</x:v>
      </x:c>
      <x:c r="B465" s="32" t="str">
        <x:v>ebrd</x:v>
      </x:c>
      <x:c r="C465" s="194" t="n">
        <x:v>0.06406051313817641</x:v>
      </x:c>
      <x:c r="D465" s="194"/>
      <x:c r="E465" s="186" t="n">
        <x:v>46252</x:v>
      </x:c>
      <x:c r="F465" s="32" t="n">
        <x:f t="shared" si="7"/>
        <x:v>3</x:v>
      </x:c>
      <x:c r="G465" s="32" t="str">
        <x:v>Country</x:v>
      </x:c>
      <x:c r="H465" s="32" t="str">
        <x:v>Country/economy shareholder</x:v>
      </x:c>
      <x:c r="I465" s="35" t="str">
        <x:v>Regional</x:v>
      </x:c>
      <x:c r="J465" s="151" t="str">
        <x:v>No comparable voting measure in source</x:v>
      </x:c>
      <x:c r="K465" s="196"/>
      <x:c r="L465" s="196"/>
    </x:row>
    <x:row r="466">
      <x:c r="A466" s="26" t="str">
        <x:v>Norway</x:v>
      </x:c>
      <x:c r="B466" s="27" t="str">
        <x:v>ebrd</x:v>
      </x:c>
      <x:c r="C466" s="193" t="n">
        <x:v>1.2029140800390903</x:v>
      </x:c>
      <x:c r="D466" s="193"/>
      <x:c r="E466" s="185" t="n">
        <x:v>46252</x:v>
      </x:c>
      <x:c r="F466" s="27" t="n">
        <x:f t="shared" si="7"/>
        <x:v>7</x:v>
      </x:c>
      <x:c r="G466" s="27" t="str">
        <x:v>Country</x:v>
      </x:c>
      <x:c r="H466" s="27" t="str">
        <x:v>Country/economy shareholder</x:v>
      </x:c>
      <x:c r="I466" s="30" t="str">
        <x:v>Regional</x:v>
      </x:c>
      <x:c r="J466" s="151" t="str">
        <x:v>No comparable voting measure in source</x:v>
      </x:c>
      <x:c r="K466" s="196"/>
      <x:c r="L466" s="196"/>
    </x:row>
    <x:row r="467">
      <x:c r="A467" s="31" t="str">
        <x:v>Poland</x:v>
      </x:c>
      <x:c r="B467" s="32" t="str">
        <x:v>ebrd</x:v>
      </x:c>
      <x:c r="C467" s="194" t="n">
        <x:v>1.39730791945689</x:v>
      </x:c>
      <x:c r="D467" s="194"/>
      <x:c r="E467" s="186" t="n">
        <x:v>46252</x:v>
      </x:c>
      <x:c r="F467" s="32" t="n">
        <x:f t="shared" si="7"/>
        <x:v>5</x:v>
      </x:c>
      <x:c r="G467" s="32" t="str">
        <x:v>Country</x:v>
      </x:c>
      <x:c r="H467" s="32" t="str">
        <x:v>Country/economy shareholder</x:v>
      </x:c>
      <x:c r="I467" s="35" t="str">
        <x:v>Regional</x:v>
      </x:c>
      <x:c r="J467" s="151" t="str">
        <x:v>No comparable voting measure in source</x:v>
      </x:c>
      <x:c r="K467" s="196"/>
      <x:c r="L467" s="196"/>
    </x:row>
    <x:row r="468">
      <x:c r="A468" s="26" t="str">
        <x:v>Portugal</x:v>
      </x:c>
      <x:c r="B468" s="27" t="str">
        <x:v>ebrd</x:v>
      </x:c>
      <x:c r="C468" s="193" t="n">
        <x:v>0.40414552958293976</x:v>
      </x:c>
      <x:c r="D468" s="193"/>
      <x:c r="E468" s="185" t="n">
        <x:v>46252</x:v>
      </x:c>
      <x:c r="F468" s="27" t="n">
        <x:f t="shared" si="7"/>
        <x:v>9</x:v>
      </x:c>
      <x:c r="G468" s="27" t="str">
        <x:v>Country</x:v>
      </x:c>
      <x:c r="H468" s="27" t="str">
        <x:v>Country/economy shareholder</x:v>
      </x:c>
      <x:c r="I468" s="30" t="str">
        <x:v>Regional</x:v>
      </x:c>
      <x:c r="J468" s="151" t="str">
        <x:v>No comparable voting measure in source</x:v>
      </x:c>
      <x:c r="K468" s="196"/>
      <x:c r="L468" s="196"/>
    </x:row>
    <x:row r="469">
      <x:c r="A469" s="31" t="str">
        <x:v>Romania</x:v>
      </x:c>
      <x:c r="B469" s="32" t="str">
        <x:v>ebrd</x:v>
      </x:c>
      <x:c r="C469" s="194" t="n">
        <x:v>0.5239944775861948</x:v>
      </x:c>
      <x:c r="D469" s="194"/>
      <x:c r="E469" s="186" t="n">
        <x:v>46252</x:v>
      </x:c>
      <x:c r="F469" s="32" t="n">
        <x:f t="shared" si="7"/>
        <x:v>5</x:v>
      </x:c>
      <x:c r="G469" s="32" t="str">
        <x:v>Country</x:v>
      </x:c>
      <x:c r="H469" s="32" t="str">
        <x:v>Country/economy shareholder</x:v>
      </x:c>
      <x:c r="I469" s="35" t="str">
        <x:v>Regional</x:v>
      </x:c>
      <x:c r="J469" s="151" t="str">
        <x:v>No comparable voting measure in source</x:v>
      </x:c>
      <x:c r="K469" s="196"/>
      <x:c r="L469" s="196"/>
    </x:row>
    <x:row r="470">
      <x:c r="A470" s="26" t="str">
        <x:v>Russian Federation</x:v>
      </x:c>
      <x:c r="B470" s="27" t="str">
        <x:v>ebrd</x:v>
      </x:c>
      <x:c r="C470" s="193" t="n">
        <x:v>3.8493378810526444</x:v>
      </x:c>
      <x:c r="D470" s="193"/>
      <x:c r="E470" s="185" t="n">
        <x:v>46252</x:v>
      </x:c>
      <x:c r="F470" s="27" t="n">
        <x:f t="shared" si="7"/>
        <x:v>4</x:v>
      </x:c>
      <x:c r="G470" s="27" t="str">
        <x:v>Country</x:v>
      </x:c>
      <x:c r="H470" s="27" t="str">
        <x:v>Country/economy shareholder</x:v>
      </x:c>
      <x:c r="I470" s="30" t="str">
        <x:v>Regional</x:v>
      </x:c>
      <x:c r="J470" s="151" t="str">
        <x:v>No comparable voting measure in source</x:v>
      </x:c>
      <x:c r="K470" s="196"/>
      <x:c r="L470" s="196"/>
    </x:row>
    <x:row r="471">
      <x:c r="A471" s="31" t="str">
        <x:v>San Marino</x:v>
      </x:c>
      <x:c r="B471" s="32" t="str">
        <x:v>ebrd</x:v>
      </x:c>
      <x:c r="C471" s="194" t="n">
        <x:v>0.006508650734259165</x:v>
      </x:c>
      <x:c r="D471" s="194"/>
      <x:c r="E471" s="186" t="n">
        <x:v>46252</x:v>
      </x:c>
      <x:c r="F471" s="32" t="n">
        <x:f t="shared" si="7"/>
        <x:v>3</x:v>
      </x:c>
      <x:c r="G471" s="32" t="str">
        <x:v>Country</x:v>
      </x:c>
      <x:c r="H471" s="32" t="str">
        <x:v>Country/economy shareholder</x:v>
      </x:c>
      <x:c r="I471" s="35" t="str">
        <x:v>Regional</x:v>
      </x:c>
      <x:c r="J471" s="151" t="str">
        <x:v>No comparable voting measure in source</x:v>
      </x:c>
      <x:c r="K471" s="196"/>
      <x:c r="L471" s="196"/>
    </x:row>
    <x:row r="472">
      <x:c r="A472" s="26" t="str">
        <x:v>Senegal</x:v>
      </x:c>
      <x:c r="B472" s="27" t="str">
        <x:v>ebrd</x:v>
      </x:c>
      <x:c r="C472" s="193" t="n">
        <x:v>0.006508650734259165</x:v>
      </x:c>
      <x:c r="D472" s="193"/>
      <x:c r="E472" s="185" t="n">
        <x:v>46252</x:v>
      </x:c>
      <x:c r="F472" s="27" t="n">
        <x:f t="shared" si="7"/>
        <x:v>5</x:v>
      </x:c>
      <x:c r="G472" s="27" t="str">
        <x:v>Country</x:v>
      </x:c>
      <x:c r="H472" s="27" t="str">
        <x:v>Country/economy shareholder</x:v>
      </x:c>
      <x:c r="I472" s="30" t="str">
        <x:v>Regional</x:v>
      </x:c>
      <x:c r="J472" s="151" t="str">
        <x:v>No comparable voting measure in source</x:v>
      </x:c>
      <x:c r="K472" s="196"/>
      <x:c r="L472" s="196"/>
    </x:row>
    <x:row r="473">
      <x:c r="A473" s="31" t="str">
        <x:v>Serbia</x:v>
      </x:c>
      <x:c r="B473" s="32" t="str">
        <x:v>ebrd</x:v>
      </x:c>
      <x:c r="C473" s="194" t="n">
        <x:v>0.44986639631719383</x:v>
      </x:c>
      <x:c r="D473" s="194"/>
      <x:c r="E473" s="186" t="n">
        <x:v>46252</x:v>
      </x:c>
      <x:c r="F473" s="32" t="n">
        <x:f t="shared" si="7"/>
        <x:v>4</x:v>
      </x:c>
      <x:c r="G473" s="32" t="str">
        <x:v>Country</x:v>
      </x:c>
      <x:c r="H473" s="32" t="str">
        <x:v>Country/economy shareholder</x:v>
      </x:c>
      <x:c r="I473" s="35" t="str">
        <x:v>Regional</x:v>
      </x:c>
      <x:c r="J473" s="151" t="str">
        <x:v>No comparable voting measure in source</x:v>
      </x:c>
      <x:c r="K473" s="196"/>
      <x:c r="L473" s="196"/>
    </x:row>
    <x:row r="474">
      <x:c r="A474" s="26" t="str">
        <x:v>Slovak Republic</x:v>
      </x:c>
      <x:c r="B474" s="27" t="str">
        <x:v>ebrd</x:v>
      </x:c>
      <x:c r="C474" s="193" t="n">
        <x:v>0.465801368804518</x:v>
      </x:c>
      <x:c r="D474" s="193"/>
      <x:c r="E474" s="185" t="n">
        <x:v>46252</x:v>
      </x:c>
      <x:c r="F474" s="27" t="n">
        <x:f t="shared" si="7"/>
        <x:v>3</x:v>
      </x:c>
      <x:c r="G474" s="27" t="str">
        <x:v>Country</x:v>
      </x:c>
      <x:c r="H474" s="27" t="str">
        <x:v>Country/economy shareholder</x:v>
      </x:c>
      <x:c r="I474" s="30" t="str">
        <x:v>Regional</x:v>
      </x:c>
      <x:c r="J474" s="151" t="str">
        <x:v>No comparable voting measure in source</x:v>
      </x:c>
      <x:c r="K474" s="196"/>
      <x:c r="L474" s="196"/>
    </x:row>
    <x:row r="475">
      <x:c r="A475" s="31" t="str">
        <x:v>Slovenia</x:v>
      </x:c>
      <x:c r="B475" s="32" t="str">
        <x:v>ebrd</x:v>
      </x:c>
      <x:c r="C475" s="194" t="n">
        <x:v>0.2289570191790379</x:v>
      </x:c>
      <x:c r="D475" s="194"/>
      <x:c r="E475" s="186" t="n">
        <x:v>46252</x:v>
      </x:c>
      <x:c r="F475" s="32" t="n">
        <x:f t="shared" si="7"/>
        <x:v>5</x:v>
      </x:c>
      <x:c r="G475" s="32" t="str">
        <x:v>Country</x:v>
      </x:c>
      <x:c r="H475" s="32" t="str">
        <x:v>Country/economy shareholder</x:v>
      </x:c>
      <x:c r="I475" s="35" t="str">
        <x:v>Regional</x:v>
      </x:c>
      <x:c r="J475" s="151" t="str">
        <x:v>No comparable voting measure in source</x:v>
      </x:c>
      <x:c r="K475" s="196"/>
      <x:c r="L475" s="196"/>
    </x:row>
    <x:row r="476">
      <x:c r="A476" s="26" t="str">
        <x:v>Spain</x:v>
      </x:c>
      <x:c r="B476" s="27" t="str">
        <x:v>ebrd</x:v>
      </x:c>
      <x:c r="C476" s="193" t="n">
        <x:v>3.2719275801990815</x:v>
      </x:c>
      <x:c r="D476" s="193"/>
      <x:c r="E476" s="185" t="n">
        <x:v>46252</x:v>
      </x:c>
      <x:c r="F476" s="27" t="n">
        <x:f t="shared" si="7"/>
        <x:v>10</x:v>
      </x:c>
      <x:c r="G476" s="27" t="str">
        <x:v>Country</x:v>
      </x:c>
      <x:c r="H476" s="27" t="str">
        <x:v>Country/economy shareholder</x:v>
      </x:c>
      <x:c r="I476" s="30" t="str">
        <x:v>Regional</x:v>
      </x:c>
      <x:c r="J476" s="151" t="str">
        <x:v>No comparable voting measure in source</x:v>
      </x:c>
      <x:c r="K476" s="196"/>
      <x:c r="L476" s="196"/>
    </x:row>
    <x:row r="477">
      <x:c r="A477" s="31" t="str">
        <x:v>Sweden</x:v>
      </x:c>
      <x:c r="B477" s="32" t="str">
        <x:v>ebrd</x:v>
      </x:c>
      <x:c r="C477" s="194" t="n">
        <x:v>2.194088606141986</x:v>
      </x:c>
      <x:c r="D477" s="194"/>
      <x:c r="E477" s="186" t="n">
        <x:v>46252</x:v>
      </x:c>
      <x:c r="F477" s="32" t="n">
        <x:f t="shared" si="7"/>
        <x:v>8</x:v>
      </x:c>
      <x:c r="G477" s="32" t="str">
        <x:v>Country</x:v>
      </x:c>
      <x:c r="H477" s="32" t="str">
        <x:v>Country/economy shareholder</x:v>
      </x:c>
      <x:c r="I477" s="35" t="str">
        <x:v>Regional</x:v>
      </x:c>
      <x:c r="J477" s="151" t="str">
        <x:v>No comparable voting measure in source</x:v>
      </x:c>
      <x:c r="K477" s="196"/>
      <x:c r="L477" s="196"/>
    </x:row>
    <x:row r="478">
      <x:c r="A478" s="26" t="str">
        <x:v>Switzerland</x:v>
      </x:c>
      <x:c r="B478" s="27" t="str">
        <x:v>ebrd</x:v>
      </x:c>
      <x:c r="C478" s="193" t="n">
        <x:v>2.194088606141986</x:v>
      </x:c>
      <x:c r="D478" s="193"/>
      <x:c r="E478" s="185" t="n">
        <x:v>46252</x:v>
      </x:c>
      <x:c r="F478" s="27" t="n">
        <x:f t="shared" si="7"/>
        <x:v>7</x:v>
      </x:c>
      <x:c r="G478" s="27" t="str">
        <x:v>Country</x:v>
      </x:c>
      <x:c r="H478" s="27" t="str">
        <x:v>Country/economy shareholder</x:v>
      </x:c>
      <x:c r="I478" s="30" t="str">
        <x:v>Regional</x:v>
      </x:c>
      <x:c r="J478" s="151" t="str">
        <x:v>No comparable voting measure in source</x:v>
      </x:c>
      <x:c r="K478" s="196"/>
      <x:c r="L478" s="196"/>
    </x:row>
    <x:row r="479">
      <x:c r="A479" s="31" t="str">
        <x:v>Tajikistan</x:v>
      </x:c>
      <x:c r="B479" s="32" t="str">
        <x:v>ebrd</x:v>
      </x:c>
      <x:c r="C479" s="194" t="n">
        <x:v>0.06736293198363796</x:v>
      </x:c>
      <x:c r="D479" s="194"/>
      <x:c r="E479" s="186" t="n">
        <x:v>46252</x:v>
      </x:c>
      <x:c r="F479" s="32" t="n">
        <x:f t="shared" si="7"/>
        <x:v>6</x:v>
      </x:c>
      <x:c r="G479" s="32" t="str">
        <x:v>Country</x:v>
      </x:c>
      <x:c r="H479" s="32" t="str">
        <x:v>Country/economy shareholder</x:v>
      </x:c>
      <x:c r="I479" s="35" t="str">
        <x:v>Regional</x:v>
      </x:c>
      <x:c r="J479" s="151" t="str">
        <x:v>No comparable voting measure in source</x:v>
      </x:c>
      <x:c r="K479" s="196"/>
      <x:c r="L479" s="196"/>
    </x:row>
    <x:row r="480">
      <x:c r="A480" s="26" t="str">
        <x:v>Tunisia</x:v>
      </x:c>
      <x:c r="B480" s="27" t="str">
        <x:v>ebrd</x:v>
      </x:c>
      <x:c r="C480" s="193" t="n">
        <x:v>0.031613446423544515</x:v>
      </x:c>
      <x:c r="D480" s="193"/>
      <x:c r="E480" s="185" t="n">
        <x:v>46252</x:v>
      </x:c>
      <x:c r="F480" s="27" t="n">
        <x:f t="shared" si="7"/>
        <x:v>7</x:v>
      </x:c>
      <x:c r="G480" s="27" t="str">
        <x:v>Country</x:v>
      </x:c>
      <x:c r="H480" s="27" t="str">
        <x:v>Country/economy shareholder</x:v>
      </x:c>
      <x:c r="I480" s="30" t="str">
        <x:v>Regional</x:v>
      </x:c>
      <x:c r="J480" s="151" t="str">
        <x:v>No comparable voting measure in source</x:v>
      </x:c>
      <x:c r="K480" s="196"/>
      <x:c r="L480" s="196"/>
    </x:row>
    <x:row r="481">
      <x:c r="A481" s="31" t="str">
        <x:v>Türkiye</x:v>
      </x:c>
      <x:c r="B481" s="32" t="str">
        <x:v>ebrd</x:v>
      </x:c>
      <x:c r="C481" s="194" t="n">
        <x:v>1.2553359714209316</x:v>
      </x:c>
      <x:c r="D481" s="194"/>
      <x:c r="E481" s="186" t="n">
        <x:v>46252</x:v>
      </x:c>
      <x:c r="F481" s="32" t="n">
        <x:f t="shared" si="7"/>
        <x:v>5</x:v>
      </x:c>
      <x:c r="G481" s="32" t="str">
        <x:v>Country</x:v>
      </x:c>
      <x:c r="H481" s="32" t="str">
        <x:v>Country/economy shareholder</x:v>
      </x:c>
      <x:c r="I481" s="35" t="str">
        <x:v>Regional</x:v>
      </x:c>
      <x:c r="J481" s="151" t="str">
        <x:v>No comparable voting measure in source</x:v>
      </x:c>
      <x:c r="K481" s="196"/>
      <x:c r="L481" s="196"/>
    </x:row>
    <x:row r="482">
      <x:c r="A482" s="26" t="str">
        <x:v>Turkmenistan</x:v>
      </x:c>
      <x:c r="B482" s="27" t="str">
        <x:v>ebrd</x:v>
      </x:c>
      <x:c r="C482" s="193" t="n">
        <x:v>0.006733086966474998</x:v>
      </x:c>
      <x:c r="D482" s="193"/>
      <x:c r="E482" s="185" t="n">
        <x:v>46252</x:v>
      </x:c>
      <x:c r="F482" s="27" t="n">
        <x:f t="shared" si="7"/>
        <x:v>5</x:v>
      </x:c>
      <x:c r="G482" s="27" t="str">
        <x:v>Country</x:v>
      </x:c>
      <x:c r="H482" s="27" t="str">
        <x:v>Country/economy shareholder</x:v>
      </x:c>
      <x:c r="I482" s="30" t="str">
        <x:v>Regional</x:v>
      </x:c>
      <x:c r="J482" s="151" t="str">
        <x:v>No comparable voting measure in source</x:v>
      </x:c>
      <x:c r="K482" s="196"/>
      <x:c r="L482" s="196"/>
    </x:row>
    <x:row r="483">
      <x:c r="A483" s="31" t="str">
        <x:v>Ukraine</x:v>
      </x:c>
      <x:c r="B483" s="32" t="str">
        <x:v>ebrd</x:v>
      </x:c>
      <x:c r="C483" s="194" t="n">
        <x:v>0.7698483388191961</x:v>
      </x:c>
      <x:c r="D483" s="194"/>
      <x:c r="E483" s="186" t="n">
        <x:v>46252</x:v>
      </x:c>
      <x:c r="F483" s="32" t="n">
        <x:f t="shared" si="7"/>
        <x:v>3</x:v>
      </x:c>
      <x:c r="G483" s="32" t="str">
        <x:v>Country</x:v>
      </x:c>
      <x:c r="H483" s="32" t="str">
        <x:v>Country/economy shareholder</x:v>
      </x:c>
      <x:c r="I483" s="35" t="str">
        <x:v>Regional</x:v>
      </x:c>
      <x:c r="J483" s="151" t="str">
        <x:v>No comparable voting measure in source</x:v>
      </x:c>
      <x:c r="K483" s="196"/>
      <x:c r="L483" s="196"/>
    </x:row>
    <x:row r="484">
      <x:c r="A484" s="26" t="str">
        <x:v>United Arab Emirates</x:v>
      </x:c>
      <x:c r="B484" s="27" t="str">
        <x:v>ebrd</x:v>
      </x:c>
      <x:c r="C484" s="193" t="n">
        <x:v>0.006508650734259165</x:v>
      </x:c>
      <x:c r="D484" s="193"/>
      <x:c r="E484" s="185" t="n">
        <x:v>46252</x:v>
      </x:c>
      <x:c r="F484" s="27" t="n">
        <x:f t="shared" si="7"/>
        <x:v>7</x:v>
      </x:c>
      <x:c r="G484" s="27" t="str">
        <x:v>Country</x:v>
      </x:c>
      <x:c r="H484" s="27" t="str">
        <x:v>Country/economy shareholder</x:v>
      </x:c>
      <x:c r="I484" s="30" t="str">
        <x:v>Regional</x:v>
      </x:c>
      <x:c r="J484" s="151" t="str">
        <x:v>No comparable voting measure in source</x:v>
      </x:c>
      <x:c r="K484" s="196"/>
      <x:c r="L484" s="196"/>
    </x:row>
    <x:row r="485">
      <x:c r="A485" s="31" t="str">
        <x:v>United Kingdom</x:v>
      </x:c>
      <x:c r="B485" s="32" t="str">
        <x:v>ebrd</x:v>
      </x:c>
      <x:c r="C485" s="194" t="n">
        <x:v>9.298425163020859</x:v>
      </x:c>
      <x:c r="D485" s="194"/>
      <x:c r="E485" s="186" t="n">
        <x:v>46252</x:v>
      </x:c>
      <x:c r="F485" s="32" t="n">
        <x:f t="shared" si="7"/>
        <x:v>8</x:v>
      </x:c>
      <x:c r="G485" s="32" t="str">
        <x:v>Country</x:v>
      </x:c>
      <x:c r="H485" s="32" t="str">
        <x:v>Country/economy shareholder</x:v>
      </x:c>
      <x:c r="I485" s="35" t="str">
        <x:v>Regional</x:v>
      </x:c>
      <x:c r="J485" s="151" t="str">
        <x:v>No comparable voting measure in source</x:v>
      </x:c>
      <x:c r="K485" s="196"/>
      <x:c r="L485" s="196"/>
    </x:row>
    <x:row r="486">
      <x:c r="A486" s="26" t="str">
        <x:v>United States of America</x:v>
      </x:c>
      <x:c r="B486" s="27" t="str">
        <x:v>ebrd</x:v>
      </x:c>
      <x:c r="C486" s="193" t="n">
        <x:v>9.623440889588275</x:v>
      </x:c>
      <x:c r="D486" s="193"/>
      <x:c r="E486" s="185" t="n">
        <x:v>46252</x:v>
      </x:c>
      <x:c r="F486" s="27" t="n">
        <x:f t="shared" si="7"/>
        <x:v>1</x:v>
      </x:c>
      <x:c r="G486" s="27" t="str">
        <x:v>Country</x:v>
      </x:c>
      <x:c r="H486" s="27" t="str">
        <x:v>Country/economy shareholder</x:v>
      </x:c>
      <x:c r="I486" s="30" t="str">
        <x:v>Regional</x:v>
      </x:c>
      <x:c r="J486" s="151" t="str">
        <x:v>No comparable voting measure in source</x:v>
      </x:c>
      <x:c r="K486" s="196"/>
      <x:c r="L486" s="196"/>
    </x:row>
    <x:row r="487">
      <x:c r="A487" s="31" t="str">
        <x:v>Uzbekistan</x:v>
      </x:c>
      <x:c r="B487" s="32" t="str">
        <x:v>ebrd</x:v>
      </x:c>
      <x:c r="C487" s="194" t="n">
        <x:v>0.1414589509337509</x:v>
      </x:c>
      <x:c r="D487" s="194"/>
      <x:c r="E487" s="186" t="n">
        <x:v>46252</x:v>
      </x:c>
      <x:c r="F487" s="32" t="n">
        <x:f t="shared" si="7"/>
        <x:v>6</x:v>
      </x:c>
      <x:c r="G487" s="32" t="str">
        <x:v>Country</x:v>
      </x:c>
      <x:c r="H487" s="32" t="str">
        <x:v>Country/economy shareholder</x:v>
      </x:c>
      <x:c r="I487" s="35" t="str">
        <x:v>Regional</x:v>
      </x:c>
      <x:c r="J487" s="151" t="str">
        <x:v>No comparable voting measure in source</x:v>
      </x:c>
      <x:c r="K487" s="196"/>
      <x:c r="L487" s="196"/>
    </x:row>
    <x:row r="488">
      <x:c r="A488" s="26" t="str">
        <x:v>Argentina</x:v>
      </x:c>
      <x:c r="B488" s="27" t="str">
        <x:v>idb</x:v>
      </x:c>
      <x:c r="C488" s="193" t="n">
        <x:v>11.35800799824532</x:v>
      </x:c>
      <x:c r="D488" s="193" t="n">
        <x:v>11.353768621899713</x:v>
      </x:c>
      <x:c r="E488" s="185" t="n">
        <x:v>45657</x:v>
      </x:c>
      <x:c r="F488" s="27" t="n">
        <x:f t="shared" si="7"/>
        <x:v>7</x:v>
      </x:c>
      <x:c r="G488" s="27" t="str">
        <x:v>Country</x:v>
      </x:c>
      <x:c r="H488" s="27" t="str">
        <x:v>Regional developing</x:v>
      </x:c>
      <x:c r="I488" s="30" t="str">
        <x:v>Regional</x:v>
      </x:c>
      <x:c r="J488" s="151" t="str">
        <x:v>Institution-specific published voting measure</x:v>
      </x:c>
      <x:c r="K488" s="196"/>
      <x:c r="L488" s="196"/>
    </x:row>
    <x:row r="489">
      <x:c r="A489" s="31" t="str">
        <x:v>Bahamas</x:v>
      </x:c>
      <x:c r="B489" s="32" t="str">
        <x:v>idb</x:v>
      </x:c>
      <x:c r="C489" s="194" t="n">
        <x:v>0.20852346361792018</x:v>
      </x:c>
      <x:c r="D489" s="194" t="n">
        <x:v>0.20938042355466632</x:v>
      </x:c>
      <x:c r="E489" s="186" t="n">
        <x:v>45657</x:v>
      </x:c>
      <x:c r="F489" s="32" t="n">
        <x:f t="shared" si="7"/>
        <x:v>3</x:v>
      </x:c>
      <x:c r="G489" s="32" t="str">
        <x:v>Country</x:v>
      </x:c>
      <x:c r="H489" s="32" t="str">
        <x:v>Regional developing</x:v>
      </x:c>
      <x:c r="I489" s="35" t="str">
        <x:v>Regional</x:v>
      </x:c>
      <x:c r="J489" s="151" t="str">
        <x:v>Institution-specific published voting measure</x:v>
      </x:c>
      <x:c r="K489" s="196"/>
      <x:c r="L489" s="196"/>
    </x:row>
    <x:row r="490">
      <x:c r="A490" s="26" t="str">
        <x:v>Barbados</x:v>
      </x:c>
      <x:c r="B490" s="27" t="str">
        <x:v>idb</x:v>
      </x:c>
      <x:c r="C490" s="193" t="n">
        <x:v>0.1362445508531057</x:v>
      </x:c>
      <x:c r="D490" s="193" t="n">
        <x:v>0.13713454887734622</x:v>
      </x:c>
      <x:c r="E490" s="185" t="n">
        <x:v>45657</x:v>
      </x:c>
      <x:c r="F490" s="27" t="n">
        <x:f t="shared" si="7"/>
        <x:v>5</x:v>
      </x:c>
      <x:c r="G490" s="27" t="str">
        <x:v>Country</x:v>
      </x:c>
      <x:c r="H490" s="27" t="str">
        <x:v>Regional developing</x:v>
      </x:c>
      <x:c r="I490" s="30" t="str">
        <x:v>Regional</x:v>
      </x:c>
      <x:c r="J490" s="151" t="str">
        <x:v>Institution-specific published voting measure</x:v>
      </x:c>
      <x:c r="K490" s="196"/>
      <x:c r="L490" s="196"/>
    </x:row>
    <x:row r="491">
      <x:c r="A491" s="31" t="str">
        <x:v>Belize</x:v>
      </x:c>
      <x:c r="B491" s="32" t="str">
        <x:v>idb</x:v>
      </x:c>
      <x:c r="C491" s="194" t="n">
        <x:v>0.11655521609291897</x:v>
      </x:c>
      <x:c r="D491" s="194" t="n">
        <x:v>0.11745421394767203</x:v>
      </x:c>
      <x:c r="E491" s="186" t="n">
        <x:v>45657</x:v>
      </x:c>
      <x:c r="F491" s="32" t="n">
        <x:f t="shared" si="7"/>
        <x:v>5</x:v>
      </x:c>
      <x:c r="G491" s="32" t="str">
        <x:v>Country</x:v>
      </x:c>
      <x:c r="H491" s="32" t="str">
        <x:v>Regional developing</x:v>
      </x:c>
      <x:c r="I491" s="35" t="str">
        <x:v>Regional</x:v>
      </x:c>
      <x:c r="J491" s="151" t="str">
        <x:v>Institution-specific published voting measure</x:v>
      </x:c>
      <x:c r="K491" s="196"/>
      <x:c r="L491" s="196"/>
    </x:row>
    <x:row r="492">
      <x:c r="A492" s="26" t="str">
        <x:v>Bolivia</x:v>
      </x:c>
      <x:c r="B492" s="27" t="str">
        <x:v>idb</x:v>
      </x:c>
      <x:c r="C492" s="193" t="n">
        <x:v>0.9124348240676783</x:v>
      </x:c>
      <x:c r="D492" s="193" t="n">
        <x:v>0.9129700319992371</x:v>
      </x:c>
      <x:c r="E492" s="185" t="n">
        <x:v>45657</x:v>
      </x:c>
      <x:c r="F492" s="27" t="n">
        <x:f t="shared" si="7"/>
        <x:v>4</x:v>
      </x:c>
      <x:c r="G492" s="27" t="str">
        <x:v>Country</x:v>
      </x:c>
      <x:c r="H492" s="27" t="str">
        <x:v>Regional developing</x:v>
      </x:c>
      <x:c r="I492" s="30" t="str">
        <x:v>Regional</x:v>
      </x:c>
      <x:c r="J492" s="151" t="str">
        <x:v>Institution-specific published voting measure</x:v>
      </x:c>
      <x:c r="K492" s="196"/>
      <x:c r="L492" s="196"/>
    </x:row>
    <x:row r="493">
      <x:c r="A493" s="31" t="str">
        <x:v>Brazil</x:v>
      </x:c>
      <x:c r="B493" s="32" t="str">
        <x:v>idb</x:v>
      </x:c>
      <x:c r="C493" s="194" t="n">
        <x:v>11.35800799824532</x:v>
      </x:c>
      <x:c r="D493" s="194" t="n">
        <x:v>11.353768621899713</x:v>
      </x:c>
      <x:c r="E493" s="186" t="n">
        <x:v>45657</x:v>
      </x:c>
      <x:c r="F493" s="32" t="n">
        <x:f t="shared" si="7"/>
        <x:v>8</x:v>
      </x:c>
      <x:c r="G493" s="32" t="str">
        <x:v>Country</x:v>
      </x:c>
      <x:c r="H493" s="32" t="str">
        <x:v>Regional developing</x:v>
      </x:c>
      <x:c r="I493" s="35" t="str">
        <x:v>Regional</x:v>
      </x:c>
      <x:c r="J493" s="151" t="str">
        <x:v>Institution-specific published voting measure</x:v>
      </x:c>
      <x:c r="K493" s="196"/>
      <x:c r="L493" s="196"/>
    </x:row>
    <x:row r="494">
      <x:c r="A494" s="26" t="str">
        <x:v>Chile</x:v>
      </x:c>
      <x:c r="B494" s="27" t="str">
        <x:v>idb</x:v>
      </x:c>
      <x:c r="C494" s="193" t="n">
        <x:v>3.119206995458327</x:v>
      </x:c>
      <x:c r="D494" s="193" t="n">
        <x:v>3.1187335062569357</x:v>
      </x:c>
      <x:c r="E494" s="185" t="n">
        <x:v>45657</x:v>
      </x:c>
      <x:c r="F494" s="27" t="n">
        <x:f t="shared" si="7"/>
        <x:v>5</x:v>
      </x:c>
      <x:c r="G494" s="27" t="str">
        <x:v>Country</x:v>
      </x:c>
      <x:c r="H494" s="27" t="str">
        <x:v>Regional developing</x:v>
      </x:c>
      <x:c r="I494" s="30" t="str">
        <x:v>Regional</x:v>
      </x:c>
      <x:c r="J494" s="151" t="str">
        <x:v>Institution-specific published voting measure</x:v>
      </x:c>
      <x:c r="K494" s="196"/>
      <x:c r="L494" s="196"/>
    </x:row>
    <x:row r="495">
      <x:c r="A495" s="31" t="str">
        <x:v>Colombia</x:v>
      </x:c>
      <x:c r="B495" s="32" t="str">
        <x:v>idb</x:v>
      </x:c>
      <x:c r="C495" s="194" t="n">
        <x:v>3.119206995458327</x:v>
      </x:c>
      <x:c r="D495" s="194" t="n">
        <x:v>3.1187335062569357</x:v>
      </x:c>
      <x:c r="E495" s="186" t="n">
        <x:v>45657</x:v>
      </x:c>
      <x:c r="F495" s="32" t="n">
        <x:f t="shared" si="7"/>
        <x:v>6</x:v>
      </x:c>
      <x:c r="G495" s="32" t="str">
        <x:v>Country</x:v>
      </x:c>
      <x:c r="H495" s="32" t="str">
        <x:v>Regional developing</x:v>
      </x:c>
      <x:c r="I495" s="35" t="str">
        <x:v>Regional</x:v>
      </x:c>
      <x:c r="J495" s="151" t="str">
        <x:v>Institution-specific published voting measure</x:v>
      </x:c>
      <x:c r="K495" s="196"/>
      <x:c r="L495" s="196"/>
    </x:row>
    <x:row r="496">
      <x:c r="A496" s="26" t="str">
        <x:v>Costa Rica</x:v>
      </x:c>
      <x:c r="B496" s="27" t="str">
        <x:v>idb</x:v>
      </x:c>
      <x:c r="C496" s="193" t="n">
        <x:v>0.4564820536300782</x:v>
      </x:c>
      <x:c r="D496" s="193" t="n">
        <x:v>0.4572256737657891</x:v>
      </x:c>
      <x:c r="E496" s="185" t="n">
        <x:v>45657</x:v>
      </x:c>
      <x:c r="F496" s="27" t="n">
        <x:f t="shared" si="7"/>
        <x:v>5</x:v>
      </x:c>
      <x:c r="G496" s="27" t="str">
        <x:v>Country</x:v>
      </x:c>
      <x:c r="H496" s="27" t="str">
        <x:v>Regional developing</x:v>
      </x:c>
      <x:c r="I496" s="30" t="str">
        <x:v>Regional</x:v>
      </x:c>
      <x:c r="J496" s="151" t="str">
        <x:v>Institution-specific published voting measure</x:v>
      </x:c>
      <x:c r="K496" s="196"/>
      <x:c r="L496" s="196"/>
    </x:row>
    <x:row r="497">
      <x:c r="A497" s="31" t="str">
        <x:v>Dominican Republic</x:v>
      </x:c>
      <x:c r="B497" s="32" t="str">
        <x:v>idb</x:v>
      </x:c>
      <x:c r="C497" s="194" t="n">
        <x:v>0.6091484976684722</x:v>
      </x:c>
      <x:c r="D497" s="194" t="n">
        <x:v>0.6098223352473812</x:v>
      </x:c>
      <x:c r="E497" s="186" t="n">
        <x:v>45657</x:v>
      </x:c>
      <x:c r="F497" s="32" t="n">
        <x:f t="shared" si="7"/>
        <x:v>5</x:v>
      </x:c>
      <x:c r="G497" s="32" t="str">
        <x:v>Country</x:v>
      </x:c>
      <x:c r="H497" s="32" t="str">
        <x:v>Regional developing</x:v>
      </x:c>
      <x:c r="I497" s="35" t="str">
        <x:v>Regional</x:v>
      </x:c>
      <x:c r="J497" s="151" t="str">
        <x:v>Institution-specific published voting measure</x:v>
      </x:c>
      <x:c r="K497" s="196"/>
      <x:c r="L497" s="196"/>
    </x:row>
    <x:row r="498">
      <x:c r="A498" s="26" t="str">
        <x:v>Ecuador</x:v>
      </x:c>
      <x:c r="B498" s="27" t="str">
        <x:v>idb</x:v>
      </x:c>
      <x:c r="C498" s="193" t="n">
        <x:v>0.6075465338725717</x:v>
      </x:c>
      <x:c r="D498" s="193" t="n">
        <x:v>0.6082211036957553</x:v>
      </x:c>
      <x:c r="E498" s="185" t="n">
        <x:v>45657</x:v>
      </x:c>
      <x:c r="F498" s="27" t="n">
        <x:f t="shared" si="7"/>
        <x:v>5</x:v>
      </x:c>
      <x:c r="G498" s="27" t="str">
        <x:v>Country</x:v>
      </x:c>
      <x:c r="H498" s="27" t="str">
        <x:v>Regional developing</x:v>
      </x:c>
      <x:c r="I498" s="30" t="str">
        <x:v>Regional</x:v>
      </x:c>
      <x:c r="J498" s="151" t="str">
        <x:v>Institution-specific published voting measure</x:v>
      </x:c>
      <x:c r="K498" s="196"/>
      <x:c r="L498" s="196"/>
    </x:row>
    <x:row r="499">
      <x:c r="A499" s="31" t="str">
        <x:v>El Salvador</x:v>
      </x:c>
      <x:c r="B499" s="32" t="str">
        <x:v>idb</x:v>
      </x:c>
      <x:c r="C499" s="194" t="n">
        <x:v>0.4552823450604611</x:v>
      </x:c>
      <x:c r="D499" s="194" t="n">
        <x:v>0.45602651357294155</x:v>
      </x:c>
      <x:c r="E499" s="186" t="n">
        <x:v>45657</x:v>
      </x:c>
      <x:c r="F499" s="32" t="n">
        <x:f t="shared" si="7"/>
        <x:v>5</x:v>
      </x:c>
      <x:c r="G499" s="32" t="str">
        <x:v>Country</x:v>
      </x:c>
      <x:c r="H499" s="32" t="str">
        <x:v>Regional developing</x:v>
      </x:c>
      <x:c r="I499" s="35" t="str">
        <x:v>Regional</x:v>
      </x:c>
      <x:c r="J499" s="151" t="str">
        <x:v>Institution-specific published voting measure</x:v>
      </x:c>
      <x:c r="K499" s="196"/>
      <x:c r="L499" s="196"/>
    </x:row>
    <x:row r="500">
      <x:c r="A500" s="26" t="str">
        <x:v>Guatemala</x:v>
      </x:c>
      <x:c r="B500" s="27" t="str">
        <x:v>idb</x:v>
      </x:c>
      <x:c r="C500" s="193" t="n">
        <x:v>0.5767634233980433</x:v>
      </x:c>
      <x:c r="D500" s="193" t="n">
        <x:v>0.5774520639239851</x:v>
      </x:c>
      <x:c r="E500" s="185" t="n">
        <x:v>45657</x:v>
      </x:c>
      <x:c r="F500" s="27" t="n">
        <x:f t="shared" si="7"/>
        <x:v>4</x:v>
      </x:c>
      <x:c r="G500" s="27" t="str">
        <x:v>Country</x:v>
      </x:c>
      <x:c r="H500" s="27" t="str">
        <x:v>Regional developing</x:v>
      </x:c>
      <x:c r="I500" s="30" t="str">
        <x:v>Regional</x:v>
      </x:c>
      <x:c r="J500" s="151" t="str">
        <x:v>Institution-specific published voting measure</x:v>
      </x:c>
      <x:c r="K500" s="196"/>
      <x:c r="L500" s="196"/>
    </x:row>
    <x:row r="501">
      <x:c r="A501" s="31" t="str">
        <x:v>Guyana</x:v>
      </x:c>
      <x:c r="B501" s="32" t="str">
        <x:v>idb</x:v>
      </x:c>
      <x:c r="C501" s="194" t="n">
        <x:v>0.16067626301789656</x:v>
      </x:c>
      <x:c r="D501" s="194" t="n">
        <x:v>0.16155509351051184</x:v>
      </x:c>
      <x:c r="E501" s="186" t="n">
        <x:v>45657</x:v>
      </x:c>
      <x:c r="F501" s="32" t="n">
        <x:f t="shared" si="7"/>
        <x:v>5</x:v>
      </x:c>
      <x:c r="G501" s="32" t="str">
        <x:v>Country</x:v>
      </x:c>
      <x:c r="H501" s="32" t="str">
        <x:v>Regional developing</x:v>
      </x:c>
      <x:c r="I501" s="35" t="str">
        <x:v>Regional</x:v>
      </x:c>
      <x:c r="J501" s="151" t="str">
        <x:v>Institution-specific published voting measure</x:v>
      </x:c>
      <x:c r="K501" s="196"/>
      <x:c r="L501" s="196"/>
    </x:row>
    <x:row r="502">
      <x:c r="A502" s="26" t="str">
        <x:v>Haiti</x:v>
      </x:c>
      <x:c r="B502" s="27" t="str">
        <x:v>idb</x:v>
      </x:c>
      <x:c r="C502" s="193" t="n">
        <x:v>0.4552823450604611</x:v>
      </x:c>
      <x:c r="D502" s="193" t="n">
        <x:v>0.45602651357294155</x:v>
      </x:c>
      <x:c r="E502" s="185" t="n">
        <x:v>45657</x:v>
      </x:c>
      <x:c r="F502" s="27" t="n">
        <x:f t="shared" si="7"/>
        <x:v>4</x:v>
      </x:c>
      <x:c r="G502" s="27" t="str">
        <x:v>Country</x:v>
      </x:c>
      <x:c r="H502" s="27" t="str">
        <x:v>Regional developing</x:v>
      </x:c>
      <x:c r="I502" s="30" t="str">
        <x:v>Regional</x:v>
      </x:c>
      <x:c r="J502" s="151" t="str">
        <x:v>Institution-specific published voting measure</x:v>
      </x:c>
      <x:c r="K502" s="196"/>
      <x:c r="L502" s="196"/>
    </x:row>
    <x:row r="503">
      <x:c r="A503" s="31" t="str">
        <x:v>Honduras</x:v>
      </x:c>
      <x:c r="B503" s="32" t="str">
        <x:v>idb</x:v>
      </x:c>
      <x:c r="C503" s="194" t="n">
        <x:v>0.4564820536300782</x:v>
      </x:c>
      <x:c r="D503" s="194" t="n">
        <x:v>0.4572256737657891</x:v>
      </x:c>
      <x:c r="E503" s="186" t="n">
        <x:v>45657</x:v>
      </x:c>
      <x:c r="F503" s="32" t="n">
        <x:f t="shared" si="7"/>
        <x:v>5</x:v>
      </x:c>
      <x:c r="G503" s="32" t="str">
        <x:v>Country</x:v>
      </x:c>
      <x:c r="H503" s="32" t="str">
        <x:v>Regional developing</x:v>
      </x:c>
      <x:c r="I503" s="35" t="str">
        <x:v>Regional</x:v>
      </x:c>
      <x:c r="J503" s="151" t="str">
        <x:v>Institution-specific published voting measure</x:v>
      </x:c>
      <x:c r="K503" s="196"/>
      <x:c r="L503" s="196"/>
    </x:row>
    <x:row r="504">
      <x:c r="A504" s="26" t="str">
        <x:v>Jamaica</x:v>
      </x:c>
      <x:c r="B504" s="27" t="str">
        <x:v>idb</x:v>
      </x:c>
      <x:c r="C504" s="193" t="n">
        <x:v>0.5767634233980433</x:v>
      </x:c>
      <x:c r="D504" s="193" t="n">
        <x:v>0.5774520639239851</x:v>
      </x:c>
      <x:c r="E504" s="185" t="n">
        <x:v>45657</x:v>
      </x:c>
      <x:c r="F504" s="27" t="n">
        <x:f t="shared" si="7"/>
        <x:v>5</x:v>
      </x:c>
      <x:c r="G504" s="27" t="str">
        <x:v>Country</x:v>
      </x:c>
      <x:c r="H504" s="27" t="str">
        <x:v>Regional developing</x:v>
      </x:c>
      <x:c r="I504" s="30" t="str">
        <x:v>Regional</x:v>
      </x:c>
      <x:c r="J504" s="151" t="str">
        <x:v>Institution-specific published voting measure</x:v>
      </x:c>
      <x:c r="K504" s="196"/>
      <x:c r="L504" s="196"/>
    </x:row>
    <x:row r="505">
      <x:c r="A505" s="31" t="str">
        <x:v>Mexico</x:v>
      </x:c>
      <x:c r="B505" s="32" t="str">
        <x:v>idb</x:v>
      </x:c>
      <x:c r="C505" s="194" t="n">
        <x:v>7.3013487264881825</x:v>
      </x:c>
      <x:c r="D505" s="194" t="n">
        <x:v>7.298963615222506</x:v>
      </x:c>
      <x:c r="E505" s="186" t="n">
        <x:v>45657</x:v>
      </x:c>
      <x:c r="F505" s="32" t="n">
        <x:f t="shared" si="7"/>
        <x:v>7</x:v>
      </x:c>
      <x:c r="G505" s="32" t="str">
        <x:v>Country</x:v>
      </x:c>
      <x:c r="H505" s="32" t="str">
        <x:v>Regional developing</x:v>
      </x:c>
      <x:c r="I505" s="35" t="str">
        <x:v>Regional</x:v>
      </x:c>
      <x:c r="J505" s="151" t="str">
        <x:v>Institution-specific published voting measure</x:v>
      </x:c>
      <x:c r="K505" s="196"/>
      <x:c r="L505" s="196"/>
    </x:row>
    <x:row r="506">
      <x:c r="A506" s="26" t="str">
        <x:v>Nicaragua</x:v>
      </x:c>
      <x:c r="B506" s="27" t="str">
        <x:v>idb</x:v>
      </x:c>
      <x:c r="C506" s="193" t="n">
        <x:v>0.4552823450604611</x:v>
      </x:c>
      <x:c r="D506" s="193" t="n">
        <x:v>0.45602651357294155</x:v>
      </x:c>
      <x:c r="E506" s="185" t="n">
        <x:v>45657</x:v>
      </x:c>
      <x:c r="F506" s="27" t="n">
        <x:f t="shared" si="7"/>
        <x:v>4</x:v>
      </x:c>
      <x:c r="G506" s="27" t="str">
        <x:v>Country</x:v>
      </x:c>
      <x:c r="H506" s="27" t="str">
        <x:v>Regional developing</x:v>
      </x:c>
      <x:c r="I506" s="30" t="str">
        <x:v>Regional</x:v>
      </x:c>
      <x:c r="J506" s="151" t="str">
        <x:v>Institution-specific published voting measure</x:v>
      </x:c>
      <x:c r="K506" s="196"/>
      <x:c r="L506" s="196"/>
    </x:row>
    <x:row r="507">
      <x:c r="A507" s="31" t="str">
        <x:v>Panama</x:v>
      </x:c>
      <x:c r="B507" s="32" t="str">
        <x:v>idb</x:v>
      </x:c>
      <x:c r="C507" s="194" t="n">
        <x:v>0.4552823450604611</x:v>
      </x:c>
      <x:c r="D507" s="194" t="n">
        <x:v>0.45602651357294155</x:v>
      </x:c>
      <x:c r="E507" s="186" t="n">
        <x:v>45657</x:v>
      </x:c>
      <x:c r="F507" s="32" t="n">
        <x:f t="shared" si="7"/>
        <x:v>5</x:v>
      </x:c>
      <x:c r="G507" s="32" t="str">
        <x:v>Country</x:v>
      </x:c>
      <x:c r="H507" s="32" t="str">
        <x:v>Regional developing</x:v>
      </x:c>
      <x:c r="I507" s="35" t="str">
        <x:v>Regional</x:v>
      </x:c>
      <x:c r="J507" s="151" t="str">
        <x:v>Institution-specific published voting measure</x:v>
      </x:c>
      <x:c r="K507" s="196"/>
      <x:c r="L507" s="196"/>
    </x:row>
    <x:row r="508">
      <x:c r="A508" s="26" t="str">
        <x:v>Paraguay</x:v>
      </x:c>
      <x:c r="B508" s="27" t="str">
        <x:v>idb</x:v>
      </x:c>
      <x:c r="C508" s="193" t="n">
        <x:v>0.4552823450604611</x:v>
      </x:c>
      <x:c r="D508" s="193" t="n">
        <x:v>0.45602651357294155</x:v>
      </x:c>
      <x:c r="E508" s="185" t="n">
        <x:v>45657</x:v>
      </x:c>
      <x:c r="F508" s="27" t="n">
        <x:f t="shared" si="7"/>
        <x:v>4</x:v>
      </x:c>
      <x:c r="G508" s="27" t="str">
        <x:v>Country</x:v>
      </x:c>
      <x:c r="H508" s="27" t="str">
        <x:v>Regional developing</x:v>
      </x:c>
      <x:c r="I508" s="30" t="str">
        <x:v>Regional</x:v>
      </x:c>
      <x:c r="J508" s="151" t="str">
        <x:v>Institution-specific published voting measure</x:v>
      </x:c>
      <x:c r="K508" s="196"/>
      <x:c r="L508" s="196"/>
    </x:row>
    <x:row r="509">
      <x:c r="A509" s="31" t="str">
        <x:v>Peru</x:v>
      </x:c>
      <x:c r="B509" s="32" t="str">
        <x:v>idb</x:v>
      </x:c>
      <x:c r="C509" s="194" t="n">
        <x:v>1.5204188987126988</x:v>
      </x:c>
      <x:c r="D509" s="194" t="n">
        <x:v>1.5206762022004165</x:v>
      </x:c>
      <x:c r="E509" s="186" t="n">
        <x:v>45657</x:v>
      </x:c>
      <x:c r="F509" s="32" t="n">
        <x:f t="shared" si="7"/>
        <x:v>5</x:v>
      </x:c>
      <x:c r="G509" s="32" t="str">
        <x:v>Country</x:v>
      </x:c>
      <x:c r="H509" s="32" t="str">
        <x:v>Regional developing</x:v>
      </x:c>
      <x:c r="I509" s="35" t="str">
        <x:v>Regional</x:v>
      </x:c>
      <x:c r="J509" s="151" t="str">
        <x:v>Institution-specific published voting measure</x:v>
      </x:c>
      <x:c r="K509" s="196"/>
      <x:c r="L509" s="196"/>
    </x:row>
    <x:row r="510">
      <x:c r="A510" s="26" t="str">
        <x:v>Suriname</x:v>
      </x:c>
      <x:c r="B510" s="27" t="str">
        <x:v>idb</x:v>
      </x:c>
      <x:c r="C510" s="193" t="n">
        <x:v>0.08838323603461597</x:v>
      </x:c>
      <x:c r="D510" s="193" t="n">
        <x:v>0.08929511106621706</x:v>
      </x:c>
      <x:c r="E510" s="185" t="n">
        <x:v>45657</x:v>
      </x:c>
      <x:c r="F510" s="27" t="n">
        <x:f t="shared" si="7"/>
        <x:v>5</x:v>
      </x:c>
      <x:c r="G510" s="27" t="str">
        <x:v>Country</x:v>
      </x:c>
      <x:c r="H510" s="27" t="str">
        <x:v>Regional developing</x:v>
      </x:c>
      <x:c r="I510" s="30" t="str">
        <x:v>Regional</x:v>
      </x:c>
      <x:c r="J510" s="151" t="str">
        <x:v>Institution-specific published voting measure</x:v>
      </x:c>
      <x:c r="K510" s="196"/>
      <x:c r="L510" s="196"/>
    </x:row>
    <x:row r="511">
      <x:c r="A511" s="31" t="str">
        <x:v>Trinidad and Tobago</x:v>
      </x:c>
      <x:c r="B511" s="32" t="str">
        <x:v>idb</x:v>
      </x:c>
      <x:c r="C511" s="194" t="n">
        <x:v>0.4322055978684142</x:v>
      </x:c>
      <x:c r="D511" s="194" t="n">
        <x:v>0.4329603145693449</x:v>
      </x:c>
      <x:c r="E511" s="186" t="n">
        <x:v>45657</x:v>
      </x:c>
      <x:c r="F511" s="32" t="n">
        <x:f t="shared" si="7"/>
        <x:v>5</x:v>
      </x:c>
      <x:c r="G511" s="32" t="str">
        <x:v>Country</x:v>
      </x:c>
      <x:c r="H511" s="32" t="str">
        <x:v>Regional developing</x:v>
      </x:c>
      <x:c r="I511" s="35" t="str">
        <x:v>Regional</x:v>
      </x:c>
      <x:c r="J511" s="151" t="str">
        <x:v>Institution-specific published voting measure</x:v>
      </x:c>
      <x:c r="K511" s="196"/>
      <x:c r="L511" s="196"/>
    </x:row>
    <x:row r="512">
      <x:c r="A512" s="26" t="str">
        <x:v>Uruguay</x:v>
      </x:c>
      <x:c r="B512" s="27" t="str">
        <x:v>idb</x:v>
      </x:c>
      <x:c r="C512" s="193" t="n">
        <x:v>1.218381680647741</x:v>
      </x:c>
      <x:c r="D512" s="193" t="n">
        <x:v>1.2187770428258196</x:v>
      </x:c>
      <x:c r="E512" s="185" t="n">
        <x:v>45657</x:v>
      </x:c>
      <x:c r="F512" s="27" t="n">
        <x:f t="shared" si="7"/>
        <x:v>5</x:v>
      </x:c>
      <x:c r="G512" s="27" t="str">
        <x:v>Country</x:v>
      </x:c>
      <x:c r="H512" s="27" t="str">
        <x:v>Regional developing</x:v>
      </x:c>
      <x:c r="I512" s="30" t="str">
        <x:v>Regional</x:v>
      </x:c>
      <x:c r="J512" s="151" t="str">
        <x:v>Institution-specific published voting measure</x:v>
      </x:c>
      <x:c r="K512" s="196"/>
      <x:c r="L512" s="196"/>
    </x:row>
    <x:row r="513">
      <x:c r="A513" s="31" t="str">
        <x:v>Venezuela</x:v>
      </x:c>
      <x:c r="B513" s="32" t="str">
        <x:v>idb</x:v>
      </x:c>
      <x:c r="C513" s="194" t="n">
        <x:v>3.403410898491387</x:v>
      </x:c>
      <x:c r="D513" s="194" t="n">
        <x:v>3.4028075020590283</x:v>
      </x:c>
      <x:c r="E513" s="186" t="n">
        <x:v>45657</x:v>
      </x:c>
      <x:c r="F513" s="32" t="n">
        <x:f t="shared" si="7"/>
        <x:v>5</x:v>
      </x:c>
      <x:c r="G513" s="32" t="str">
        <x:v>Country</x:v>
      </x:c>
      <x:c r="H513" s="32" t="str">
        <x:v>Regional developing</x:v>
      </x:c>
      <x:c r="I513" s="35" t="str">
        <x:v>Regional</x:v>
      </x:c>
      <x:c r="J513" s="151" t="str">
        <x:v>Institution-specific published voting measure</x:v>
      </x:c>
      <x:c r="K513" s="196"/>
      <x:c r="L513" s="196"/>
    </x:row>
    <x:row r="514">
      <x:c r="A514" s="26" t="str">
        <x:v>Canada</x:v>
      </x:c>
      <x:c r="B514" s="27" t="str">
        <x:v>idb</x:v>
      </x:c>
      <x:c r="C514" s="193" t="n">
        <x:v>4.00165616239481</x:v>
      </x:c>
      <x:c r="D514" s="193" t="n">
        <x:v>4.000779313047681</x:v>
      </x:c>
      <x:c r="E514" s="185" t="n">
        <x:v>45657</x:v>
      </x:c>
      <x:c r="F514" s="27" t="n">
        <x:f t="shared" si="7"/>
        <x:v>8</x:v>
      </x:c>
      <x:c r="G514" s="27" t="str">
        <x:v>Country</x:v>
      </x:c>
      <x:c r="H514" s="27" t="str">
        <x:v>Canada</x:v>
      </x:c>
      <x:c r="I514" s="30" t="str">
        <x:v>Regional</x:v>
      </x:c>
      <x:c r="J514" s="151" t="str">
        <x:v>Institution-specific published voting measure</x:v>
      </x:c>
      <x:c r="K514" s="196"/>
      <x:c r="L514" s="196"/>
    </x:row>
    <x:row r="515">
      <x:c r="A515" s="31" t="str">
        <x:v>United States</x:v>
      </x:c>
      <x:c r="B515" s="32" t="str">
        <x:v>idb</x:v>
      </x:c>
      <x:c r="C515" s="194" t="n">
        <x:v>30.018571488657674</x:v>
      </x:c>
      <x:c r="D515" s="194" t="n">
        <x:v>30.005802524556685</x:v>
      </x:c>
      <x:c r="E515" s="186" t="n">
        <x:v>45657</x:v>
      </x:c>
      <x:c r="F515" s="32" t="n">
        <x:f t="shared" ref="F515:F578" si="8">COUNTIF(A515:A1546,A515)</x:f>
        <x:v>3</x:v>
      </x:c>
      <x:c r="G515" s="32" t="str">
        <x:v>Country</x:v>
      </x:c>
      <x:c r="H515" s="32" t="str">
        <x:v>United States</x:v>
      </x:c>
      <x:c r="I515" s="35" t="str">
        <x:v>Regional</x:v>
      </x:c>
      <x:c r="J515" s="151" t="str">
        <x:v>Institution-specific published voting measure</x:v>
      </x:c>
      <x:c r="K515" s="196"/>
      <x:c r="L515" s="196"/>
    </x:row>
    <x:row r="516">
      <x:c r="A516" s="26" t="str">
        <x:v>Austria</x:v>
      </x:c>
      <x:c r="B516" s="27" t="str">
        <x:v>idb</x:v>
      </x:c>
      <x:c r="C516" s="193" t="n">
        <x:v>0.15970238194373676</x:v>
      </x:c>
      <x:c r="D516" s="193" t="n">
        <x:v>0.16058165758925913</x:v>
      </x:c>
      <x:c r="E516" s="185" t="n">
        <x:v>45657</x:v>
      </x:c>
      <x:c r="F516" s="27" t="n">
        <x:f t="shared" si="8"/>
        <x:v>8</x:v>
      </x:c>
      <x:c r="G516" s="27" t="str">
        <x:v>Country</x:v>
      </x:c>
      <x:c r="H516" s="27" t="str">
        <x:v>Nonregional</x:v>
      </x:c>
      <x:c r="I516" s="30" t="str">
        <x:v>Regional</x:v>
      </x:c>
      <x:c r="J516" s="151" t="str">
        <x:v>Institution-specific published voting measure</x:v>
      </x:c>
      <x:c r="K516" s="196"/>
      <x:c r="L516" s="196"/>
    </x:row>
    <x:row r="517">
      <x:c r="A517" s="31" t="str">
        <x:v>Belgium</x:v>
      </x:c>
      <x:c r="B517" s="32" t="str">
        <x:v>idb</x:v>
      </x:c>
      <x:c r="C517" s="194" t="n">
        <x:v>0.3284731492519323</x:v>
      </x:c>
      <x:c r="D517" s="194" t="n">
        <x:v>0.32927528118895744</x:v>
      </x:c>
      <x:c r="E517" s="186" t="n">
        <x:v>45657</x:v>
      </x:c>
      <x:c r="F517" s="32" t="n">
        <x:f t="shared" si="8"/>
        <x:v>8</x:v>
      </x:c>
      <x:c r="G517" s="32" t="str">
        <x:v>Country</x:v>
      </x:c>
      <x:c r="H517" s="32" t="str">
        <x:v>Nonregional</x:v>
      </x:c>
      <x:c r="I517" s="35" t="str">
        <x:v>Regional</x:v>
      </x:c>
      <x:c r="J517" s="151" t="str">
        <x:v>Institution-specific published voting measure</x:v>
      </x:c>
      <x:c r="K517" s="196"/>
      <x:c r="L517" s="196"/>
    </x:row>
    <x:row r="518">
      <x:c r="A518" s="26" t="str">
        <x:v>China</x:v>
      </x:c>
      <x:c r="B518" s="27" t="str">
        <x:v>idb</x:v>
      </x:c>
      <x:c r="C518" s="193" t="n">
        <x:v>0.002992214314809739</x:v>
      </x:c>
      <x:c r="D518" s="193" t="n">
        <x:v>0.003943120869422177</x:v>
      </x:c>
      <x:c r="E518" s="185" t="n">
        <x:v>45657</x:v>
      </x:c>
      <x:c r="F518" s="27" t="n">
        <x:f t="shared" si="8"/>
        <x:v>8</x:v>
      </x:c>
      <x:c r="G518" s="27" t="str">
        <x:v>Country</x:v>
      </x:c>
      <x:c r="H518" s="27" t="str">
        <x:v>Nonregional</x:v>
      </x:c>
      <x:c r="I518" s="30" t="str">
        <x:v>Regional</x:v>
      </x:c>
      <x:c r="J518" s="151" t="str">
        <x:v>Institution-specific published voting measure</x:v>
      </x:c>
      <x:c r="K518" s="196"/>
      <x:c r="L518" s="196"/>
    </x:row>
    <x:row r="519">
      <x:c r="A519" s="31" t="str">
        <x:v>Croatia</x:v>
      </x:c>
      <x:c r="B519" s="32" t="str">
        <x:v>idb</x:v>
      </x:c>
      <x:c r="C519" s="194" t="n">
        <x:v>0.04865876816182346</x:v>
      </x:c>
      <x:c r="D519" s="194" t="n">
        <x:v>0.04958880091598909</x:v>
      </x:c>
      <x:c r="E519" s="186" t="n">
        <x:v>45657</x:v>
      </x:c>
      <x:c r="F519" s="32" t="n">
        <x:f t="shared" si="8"/>
        <x:v>6</x:v>
      </x:c>
      <x:c r="G519" s="32" t="str">
        <x:v>Country</x:v>
      </x:c>
      <x:c r="H519" s="32" t="str">
        <x:v>Nonregional</x:v>
      </x:c>
      <x:c r="I519" s="35" t="str">
        <x:v>Regional</x:v>
      </x:c>
      <x:c r="J519" s="151" t="str">
        <x:v>Institution-specific published voting measure</x:v>
      </x:c>
      <x:c r="K519" s="196"/>
      <x:c r="L519" s="196"/>
    </x:row>
    <x:row r="520">
      <x:c r="A520" s="26" t="str">
        <x:v>Denmark</x:v>
      </x:c>
      <x:c r="B520" s="27" t="str">
        <x:v>idb</x:v>
      </x:c>
      <x:c r="C520" s="193" t="n">
        <x:v>0.16980110525621964</x:v>
      </x:c>
      <x:c r="D520" s="193" t="n">
        <x:v>0.17067576485964042</x:v>
      </x:c>
      <x:c r="E520" s="185" t="n">
        <x:v>45657</x:v>
      </x:c>
      <x:c r="F520" s="27" t="n">
        <x:f t="shared" si="8"/>
        <x:v>8</x:v>
      </x:c>
      <x:c r="G520" s="27" t="str">
        <x:v>Country</x:v>
      </x:c>
      <x:c r="H520" s="27" t="str">
        <x:v>Nonregional</x:v>
      </x:c>
      <x:c r="I520" s="30" t="str">
        <x:v>Regional</x:v>
      </x:c>
      <x:c r="J520" s="151" t="str">
        <x:v>Institution-specific published voting measure</x:v>
      </x:c>
      <x:c r="K520" s="196"/>
      <x:c r="L520" s="196"/>
    </x:row>
    <x:row r="521">
      <x:c r="A521" s="31" t="str">
        <x:v>Finland</x:v>
      </x:c>
      <x:c r="B521" s="32" t="str">
        <x:v>idb</x:v>
      </x:c>
      <x:c r="C521" s="194" t="n">
        <x:v>0.15970238194373676</x:v>
      </x:c>
      <x:c r="D521" s="194" t="n">
        <x:v>0.16058165758925913</x:v>
      </x:c>
      <x:c r="E521" s="186" t="n">
        <x:v>45657</x:v>
      </x:c>
      <x:c r="F521" s="32" t="n">
        <x:f t="shared" si="8"/>
        <x:v>8</x:v>
      </x:c>
      <x:c r="G521" s="32" t="str">
        <x:v>Country</x:v>
      </x:c>
      <x:c r="H521" s="32" t="str">
        <x:v>Nonregional</x:v>
      </x:c>
      <x:c r="I521" s="35" t="str">
        <x:v>Regional</x:v>
      </x:c>
      <x:c r="J521" s="151" t="str">
        <x:v>Institution-specific published voting measure</x:v>
      </x:c>
      <x:c r="K521" s="196"/>
      <x:c r="L521" s="196"/>
    </x:row>
    <x:row r="522">
      <x:c r="A522" s="26" t="str">
        <x:v>France</x:v>
      </x:c>
      <x:c r="B522" s="27" t="str">
        <x:v>idb</x:v>
      </x:c>
      <x:c r="C522" s="193" t="n">
        <x:v>1.8959559094397869</x:v>
      </x:c>
      <x:c r="D522" s="193" t="n">
        <x:v>1.8960415580956433</x:v>
      </x:c>
      <x:c r="E522" s="185" t="n">
        <x:v>45657</x:v>
      </x:c>
      <x:c r="F522" s="27" t="n">
        <x:f t="shared" si="8"/>
        <x:v>8</x:v>
      </x:c>
      <x:c r="G522" s="27" t="str">
        <x:v>Country</x:v>
      </x:c>
      <x:c r="H522" s="27" t="str">
        <x:v>Nonregional</x:v>
      </x:c>
      <x:c r="I522" s="30" t="str">
        <x:v>Regional</x:v>
      </x:c>
      <x:c r="J522" s="151" t="str">
        <x:v>Institution-specific published voting measure</x:v>
      </x:c>
      <x:c r="K522" s="196"/>
      <x:c r="L522" s="196"/>
    </x:row>
    <x:row r="523">
      <x:c r="A523" s="31" t="str">
        <x:v>Germany</x:v>
      </x:c>
      <x:c r="B523" s="32" t="str">
        <x:v>idb</x:v>
      </x:c>
      <x:c r="C523" s="194" t="n">
        <x:v>1.8959559094397869</x:v>
      </x:c>
      <x:c r="D523" s="194" t="n">
        <x:v>1.8960415580956433</x:v>
      </x:c>
      <x:c r="E523" s="186" t="n">
        <x:v>45657</x:v>
      </x:c>
      <x:c r="F523" s="32" t="n">
        <x:f t="shared" si="8"/>
        <x:v>9</x:v>
      </x:c>
      <x:c r="G523" s="32" t="str">
        <x:v>Country</x:v>
      </x:c>
      <x:c r="H523" s="32" t="str">
        <x:v>Nonregional</x:v>
      </x:c>
      <x:c r="I523" s="35" t="str">
        <x:v>Regional</x:v>
      </x:c>
      <x:c r="J523" s="151" t="str">
        <x:v>Institution-specific published voting measure</x:v>
      </x:c>
      <x:c r="K523" s="196"/>
      <x:c r="L523" s="196"/>
    </x:row>
    <x:row r="524">
      <x:c r="A524" s="26" t="str">
        <x:v>Israel</x:v>
      </x:c>
      <x:c r="B524" s="27" t="str">
        <x:v>idb</x:v>
      </x:c>
      <x:c r="C524" s="193" t="n">
        <x:v>0.15747939253532858</x:v>
      </x:c>
      <x:c r="D524" s="193" t="n">
        <x:v>0.15835968429074754</x:v>
      </x:c>
      <x:c r="E524" s="185" t="n">
        <x:v>45657</x:v>
      </x:c>
      <x:c r="F524" s="27" t="n">
        <x:f t="shared" si="8"/>
        <x:v>5</x:v>
      </x:c>
      <x:c r="G524" s="27" t="str">
        <x:v>Country</x:v>
      </x:c>
      <x:c r="H524" s="27" t="str">
        <x:v>Nonregional</x:v>
      </x:c>
      <x:c r="I524" s="30" t="str">
        <x:v>Regional</x:v>
      </x:c>
      <x:c r="J524" s="151" t="str">
        <x:v>Institution-specific published voting measure</x:v>
      </x:c>
      <x:c r="K524" s="196"/>
      <x:c r="L524" s="196"/>
    </x:row>
    <x:row r="525">
      <x:c r="A525" s="31" t="str">
        <x:v>Italy</x:v>
      </x:c>
      <x:c r="B525" s="32" t="str">
        <x:v>idb</x:v>
      </x:c>
      <x:c r="C525" s="194" t="n">
        <x:v>1.9651155799235969</x:v>
      </x:c>
      <x:c r="D525" s="194" t="n">
        <x:v>1.9651696162715597</x:v>
      </x:c>
      <x:c r="E525" s="186" t="n">
        <x:v>45657</x:v>
      </x:c>
      <x:c r="F525" s="32" t="n">
        <x:f t="shared" si="8"/>
        <x:v>9</x:v>
      </x:c>
      <x:c r="G525" s="32" t="str">
        <x:v>Country</x:v>
      </x:c>
      <x:c r="H525" s="32" t="str">
        <x:v>Nonregional</x:v>
      </x:c>
      <x:c r="I525" s="35" t="str">
        <x:v>Regional</x:v>
      </x:c>
      <x:c r="J525" s="151" t="str">
        <x:v>Institution-specific published voting measure</x:v>
      </x:c>
      <x:c r="K525" s="196"/>
      <x:c r="L525" s="196"/>
    </x:row>
    <x:row r="526">
      <x:c r="A526" s="26" t="str">
        <x:v>Japan</x:v>
      </x:c>
      <x:c r="B526" s="27" t="str">
        <x:v>idb</x:v>
      </x:c>
      <x:c r="C526" s="193" t="n">
        <x:v>5.002297794766278</x:v>
      </x:c>
      <x:c r="D526" s="193" t="n">
        <x:v>5.0009635604843705</x:v>
      </x:c>
      <x:c r="E526" s="185" t="n">
        <x:v>45657</x:v>
      </x:c>
      <x:c r="F526" s="27" t="n">
        <x:f t="shared" si="8"/>
        <x:v>6</x:v>
      </x:c>
      <x:c r="G526" s="27" t="str">
        <x:v>Country</x:v>
      </x:c>
      <x:c r="H526" s="27" t="str">
        <x:v>Nonregional</x:v>
      </x:c>
      <x:c r="I526" s="30" t="str">
        <x:v>Regional</x:v>
      </x:c>
      <x:c r="J526" s="151" t="str">
        <x:v>Institution-specific published voting measure</x:v>
      </x:c>
      <x:c r="K526" s="196"/>
      <x:c r="L526" s="196"/>
    </x:row>
    <x:row r="527">
      <x:c r="A527" s="31" t="str">
        <x:v>Korea, Republic of</x:v>
      </x:c>
      <x:c r="B527" s="32" t="str">
        <x:v>idb</x:v>
      </x:c>
      <x:c r="C527" s="194" t="n">
        <x:v>0.002992214314809739</x:v>
      </x:c>
      <x:c r="D527" s="194" t="n">
        <x:v>0.003943120869422177</x:v>
      </x:c>
      <x:c r="E527" s="186" t="n">
        <x:v>45657</x:v>
      </x:c>
      <x:c r="F527" s="32" t="n">
        <x:f t="shared" si="8"/>
        <x:v>8</x:v>
      </x:c>
      <x:c r="G527" s="32" t="str">
        <x:v>Country</x:v>
      </x:c>
      <x:c r="H527" s="32" t="str">
        <x:v>Nonregional</x:v>
      </x:c>
      <x:c r="I527" s="35" t="str">
        <x:v>Regional</x:v>
      </x:c>
      <x:c r="J527" s="151" t="str">
        <x:v>Institution-specific published voting measure</x:v>
      </x:c>
      <x:c r="K527" s="196"/>
      <x:c r="L527" s="196"/>
    </x:row>
    <x:row r="528">
      <x:c r="A528" s="26" t="str">
        <x:v>Netherlands</x:v>
      </x:c>
      <x:c r="B528" s="27" t="str">
        <x:v>idb</x:v>
      </x:c>
      <x:c r="C528" s="193" t="n">
        <x:v>0.1990598801364111</x:v>
      </x:c>
      <x:c r="D528" s="193" t="n">
        <x:v>0.19992116579814553</x:v>
      </x:c>
      <x:c r="E528" s="185" t="n">
        <x:v>45657</x:v>
      </x:c>
      <x:c r="F528" s="27" t="n">
        <x:f t="shared" si="8"/>
        <x:v>8</x:v>
      </x:c>
      <x:c r="G528" s="27" t="str">
        <x:v>Country</x:v>
      </x:c>
      <x:c r="H528" s="27" t="str">
        <x:v>Nonregional</x:v>
      </x:c>
      <x:c r="I528" s="30" t="str">
        <x:v>Regional</x:v>
      </x:c>
      <x:c r="J528" s="151" t="str">
        <x:v>Institution-specific published voting measure</x:v>
      </x:c>
      <x:c r="K528" s="196"/>
      <x:c r="L528" s="196"/>
    </x:row>
    <x:row r="529">
      <x:c r="A529" s="31" t="str">
        <x:v>Norway</x:v>
      </x:c>
      <x:c r="B529" s="32" t="str">
        <x:v>idb</x:v>
      </x:c>
      <x:c r="C529" s="194" t="n">
        <x:v>0.16980110525621964</x:v>
      </x:c>
      <x:c r="D529" s="194" t="n">
        <x:v>0.17067576485964042</x:v>
      </x:c>
      <x:c r="E529" s="186" t="n">
        <x:v>45657</x:v>
      </x:c>
      <x:c r="F529" s="32" t="n">
        <x:f t="shared" si="8"/>
        <x:v>7</x:v>
      </x:c>
      <x:c r="G529" s="32" t="str">
        <x:v>Country</x:v>
      </x:c>
      <x:c r="H529" s="32" t="str">
        <x:v>Nonregional</x:v>
      </x:c>
      <x:c r="I529" s="35" t="str">
        <x:v>Regional</x:v>
      </x:c>
      <x:c r="J529" s="151" t="str">
        <x:v>Institution-specific published voting measure</x:v>
      </x:c>
      <x:c r="K529" s="196"/>
      <x:c r="L529" s="196"/>
    </x:row>
    <x:row r="530">
      <x:c r="A530" s="26" t="str">
        <x:v>Portugal</x:v>
      </x:c>
      <x:c r="B530" s="27" t="str">
        <x:v>idb</x:v>
      </x:c>
      <x:c r="C530" s="193" t="n">
        <x:v>0.054106856489731764</x:v>
      </x:c>
      <x:c r="D530" s="193" t="n">
        <x:v>0.055034398968214354</x:v>
      </x:c>
      <x:c r="E530" s="185" t="n">
        <x:v>45657</x:v>
      </x:c>
      <x:c r="F530" s="27" t="n">
        <x:f t="shared" si="8"/>
        <x:v>9</x:v>
      </x:c>
      <x:c r="G530" s="27" t="str">
        <x:v>Country</x:v>
      </x:c>
      <x:c r="H530" s="27" t="str">
        <x:v>Nonregional</x:v>
      </x:c>
      <x:c r="I530" s="30" t="str">
        <x:v>Regional</x:v>
      </x:c>
      <x:c r="J530" s="151" t="str">
        <x:v>Institution-specific published voting measure</x:v>
      </x:c>
      <x:c r="K530" s="196"/>
      <x:c r="L530" s="196"/>
    </x:row>
    <x:row r="531">
      <x:c r="A531" s="31" t="str">
        <x:v>Slovenia</x:v>
      </x:c>
      <x:c r="B531" s="32" t="str">
        <x:v>idb</x:v>
      </x:c>
      <x:c r="C531" s="194" t="n">
        <x:v>0.029738658308038304</x:v>
      </x:c>
      <x:c r="D531" s="194" t="n">
        <x:v>0.03067733928643479</x:v>
      </x:c>
      <x:c r="E531" s="186" t="n">
        <x:v>45657</x:v>
      </x:c>
      <x:c r="F531" s="32" t="n">
        <x:f t="shared" si="8"/>
        <x:v>5</x:v>
      </x:c>
      <x:c r="G531" s="32" t="str">
        <x:v>Country</x:v>
      </x:c>
      <x:c r="H531" s="32" t="str">
        <x:v>Nonregional</x:v>
      </x:c>
      <x:c r="I531" s="35" t="str">
        <x:v>Regional</x:v>
      </x:c>
      <x:c r="J531" s="151" t="str">
        <x:v>Institution-specific published voting measure</x:v>
      </x:c>
      <x:c r="K531" s="196"/>
      <x:c r="L531" s="196"/>
    </x:row>
    <x:row r="532">
      <x:c r="A532" s="26" t="str">
        <x:v>Spain</x:v>
      </x:c>
      <x:c r="B532" s="27" t="str">
        <x:v>idb</x:v>
      </x:c>
      <x:c r="C532" s="193" t="n">
        <x:v>1.96512263703283</x:v>
      </x:c>
      <x:c r="D532" s="193" t="n">
        <x:v>1.965176670155047</x:v>
      </x:c>
      <x:c r="E532" s="185" t="n">
        <x:v>45657</x:v>
      </x:c>
      <x:c r="F532" s="27" t="n">
        <x:f t="shared" si="8"/>
        <x:v>10</x:v>
      </x:c>
      <x:c r="G532" s="27" t="str">
        <x:v>Country</x:v>
      </x:c>
      <x:c r="H532" s="27" t="str">
        <x:v>Nonregional</x:v>
      </x:c>
      <x:c r="I532" s="30" t="str">
        <x:v>Regional</x:v>
      </x:c>
      <x:c r="J532" s="151" t="str">
        <x:v>Institution-specific published voting measure</x:v>
      </x:c>
      <x:c r="K532" s="196"/>
      <x:c r="L532" s="196"/>
    </x:row>
    <x:row r="533">
      <x:c r="A533" s="31" t="str">
        <x:v>Sweden</x:v>
      </x:c>
      <x:c r="B533" s="32" t="str">
        <x:v>idb</x:v>
      </x:c>
      <x:c r="C533" s="194" t="n">
        <x:v>0.32644070179281626</x:v>
      </x:c>
      <x:c r="D533" s="194" t="n">
        <x:v>0.327243762744604</x:v>
      </x:c>
      <x:c r="E533" s="186" t="n">
        <x:v>45657</x:v>
      </x:c>
      <x:c r="F533" s="32" t="n">
        <x:f t="shared" si="8"/>
        <x:v>8</x:v>
      </x:c>
      <x:c r="G533" s="32" t="str">
        <x:v>Country</x:v>
      </x:c>
      <x:c r="H533" s="32" t="str">
        <x:v>Nonregional</x:v>
      </x:c>
      <x:c r="I533" s="35" t="str">
        <x:v>Regional</x:v>
      </x:c>
      <x:c r="J533" s="151" t="str">
        <x:v>Institution-specific published voting measure</x:v>
      </x:c>
      <x:c r="K533" s="196"/>
      <x:c r="L533" s="196"/>
    </x:row>
    <x:row r="534">
      <x:c r="A534" s="26" t="str">
        <x:v>Switzerland</x:v>
      </x:c>
      <x:c r="B534" s="27" t="str">
        <x:v>idb</x:v>
      </x:c>
      <x:c r="C534" s="193" t="n">
        <x:v>0.47074447139005576</x:v>
      </x:c>
      <x:c r="D534" s="193" t="n">
        <x:v>0.4714815722937</x:v>
      </x:c>
      <x:c r="E534" s="185" t="n">
        <x:v>45657</x:v>
      </x:c>
      <x:c r="F534" s="27" t="n">
        <x:f t="shared" si="8"/>
        <x:v>7</x:v>
      </x:c>
      <x:c r="G534" s="27" t="str">
        <x:v>Country</x:v>
      </x:c>
      <x:c r="H534" s="27" t="str">
        <x:v>Nonregional</x:v>
      </x:c>
      <x:c r="I534" s="30" t="str">
        <x:v>Regional</x:v>
      </x:c>
      <x:c r="J534" s="151" t="str">
        <x:v>Institution-specific published voting measure</x:v>
      </x:c>
      <x:c r="K534" s="196"/>
      <x:c r="L534" s="196"/>
    </x:row>
    <x:row r="535">
      <x:c r="A535" s="31" t="str">
        <x:v>United Kingdom</x:v>
      </x:c>
      <x:c r="B535" s="32" t="str">
        <x:v>idb</x:v>
      </x:c>
      <x:c r="C535" s="194" t="n">
        <x:v>0.9630201830501222</x:v>
      </x:c>
      <x:c r="D535" s="194" t="n">
        <x:v>0.9635322688364789</x:v>
      </x:c>
      <x:c r="E535" s="186" t="n">
        <x:v>45657</x:v>
      </x:c>
      <x:c r="F535" s="32" t="n">
        <x:f t="shared" si="8"/>
        <x:v>8</x:v>
      </x:c>
      <x:c r="G535" s="32" t="str">
        <x:v>Country</x:v>
      </x:c>
      <x:c r="H535" s="32" t="str">
        <x:v>Nonregional</x:v>
      </x:c>
      <x:c r="I535" s="35" t="str">
        <x:v>Regional</x:v>
      </x:c>
      <x:c r="J535" s="151" t="str">
        <x:v>Institution-specific published voting measure</x:v>
      </x:c>
      <x:c r="K535" s="196"/>
      <x:c r="L535" s="196"/>
    </x:row>
    <x:row r="536">
      <x:c r="A536" s="26" t="str">
        <x:v>Saudi Arabia</x:v>
      </x:c>
      <x:c r="B536" s="27" t="str">
        <x:v>isdb</x:v>
      </x:c>
      <x:c r="C536" s="193" t="n">
        <x:v>23.51</x:v>
      </x:c>
      <x:c r="D536" s="193"/>
      <x:c r="E536" s="185" t="n">
        <x:v>46252</x:v>
      </x:c>
      <x:c r="F536" s="27" t="n">
        <x:f t="shared" si="8"/>
        <x:v>6</x:v>
      </x:c>
      <x:c r="G536" s="27" t="str">
        <x:v>Country</x:v>
      </x:c>
      <x:c r="H536" s="27" t="str">
        <x:v>Member</x:v>
      </x:c>
      <x:c r="I536" s="30" t="str">
        <x:v>Regional</x:v>
      </x:c>
      <x:c r="J536" s="151" t="str">
        <x:v>No comparable voting measure in source</x:v>
      </x:c>
      <x:c r="K536" s="196"/>
      <x:c r="L536" s="196"/>
    </x:row>
    <x:row r="537">
      <x:c r="A537" s="31" t="str">
        <x:v>Iran</x:v>
      </x:c>
      <x:c r="B537" s="32" t="str">
        <x:v>isdb</x:v>
      </x:c>
      <x:c r="C537" s="194" t="n">
        <x:v>8.25</x:v>
      </x:c>
      <x:c r="D537" s="194"/>
      <x:c r="E537" s="186" t="n">
        <x:v>46252</x:v>
      </x:c>
      <x:c r="F537" s="32" t="n">
        <x:f t="shared" si="8"/>
        <x:v>2</x:v>
      </x:c>
      <x:c r="G537" s="32" t="str">
        <x:v>Country</x:v>
      </x:c>
      <x:c r="H537" s="32" t="str">
        <x:v>Member</x:v>
      </x:c>
      <x:c r="I537" s="35" t="str">
        <x:v>Regional</x:v>
      </x:c>
      <x:c r="J537" s="151" t="str">
        <x:v>No comparable voting measure in source</x:v>
      </x:c>
      <x:c r="K537" s="196"/>
      <x:c r="L537" s="196"/>
    </x:row>
    <x:row r="538">
      <x:c r="A538" s="26" t="str">
        <x:v>Libya</x:v>
      </x:c>
      <x:c r="B538" s="27" t="str">
        <x:v>isdb</x:v>
      </x:c>
      <x:c r="C538" s="193" t="n">
        <x:v>7.870000000000001</x:v>
      </x:c>
      <x:c r="D538" s="193"/>
      <x:c r="E538" s="185" t="n">
        <x:v>46252</x:v>
      </x:c>
      <x:c r="F538" s="27" t="n">
        <x:f t="shared" si="8"/>
        <x:v>7</x:v>
      </x:c>
      <x:c r="G538" s="27" t="str">
        <x:v>Country</x:v>
      </x:c>
      <x:c r="H538" s="27" t="str">
        <x:v>Member</x:v>
      </x:c>
      <x:c r="I538" s="30" t="str">
        <x:v>Regional</x:v>
      </x:c>
      <x:c r="J538" s="151" t="str">
        <x:v>No comparable voting measure in source</x:v>
      </x:c>
      <x:c r="K538" s="196"/>
      <x:c r="L538" s="196"/>
    </x:row>
    <x:row r="539">
      <x:c r="A539" s="31" t="str">
        <x:v>Qatar</x:v>
      </x:c>
      <x:c r="B539" s="32" t="str">
        <x:v>isdb</x:v>
      </x:c>
      <x:c r="C539" s="194" t="n">
        <x:v>7.180000000000001</x:v>
      </x:c>
      <x:c r="D539" s="194"/>
      <x:c r="E539" s="186" t="n">
        <x:v>46252</x:v>
      </x:c>
      <x:c r="F539" s="32" t="n">
        <x:f t="shared" si="8"/>
        <x:v>5</x:v>
      </x:c>
      <x:c r="G539" s="32" t="str">
        <x:v>Country</x:v>
      </x:c>
      <x:c r="H539" s="32" t="str">
        <x:v>Member</x:v>
      </x:c>
      <x:c r="I539" s="35" t="str">
        <x:v>Regional</x:v>
      </x:c>
      <x:c r="J539" s="151" t="str">
        <x:v>No comparable voting measure in source</x:v>
      </x:c>
      <x:c r="K539" s="196"/>
      <x:c r="L539" s="196"/>
    </x:row>
    <x:row r="540">
      <x:c r="A540" s="26" t="str">
        <x:v>Indonesia</x:v>
      </x:c>
      <x:c r="B540" s="27" t="str">
        <x:v>isdb</x:v>
      </x:c>
      <x:c r="C540" s="193" t="n">
        <x:v>7.090000000000001</x:v>
      </x:c>
      <x:c r="D540" s="193"/>
      <x:c r="E540" s="185" t="n">
        <x:v>46252</x:v>
      </x:c>
      <x:c r="F540" s="27" t="n">
        <x:f t="shared" si="8"/>
        <x:v>5</x:v>
      </x:c>
      <x:c r="G540" s="27" t="str">
        <x:v>Country</x:v>
      </x:c>
      <x:c r="H540" s="27" t="str">
        <x:v>Member</x:v>
      </x:c>
      <x:c r="I540" s="30" t="str">
        <x:v>Regional</x:v>
      </x:c>
      <x:c r="J540" s="151" t="str">
        <x:v>No comparable voting measure in source</x:v>
      </x:c>
      <x:c r="K540" s="196"/>
      <x:c r="L540" s="196"/>
    </x:row>
    <x:row r="541">
      <x:c r="A541" s="31" t="str">
        <x:v>Egypt</x:v>
      </x:c>
      <x:c r="B541" s="32" t="str">
        <x:v>isdb</x:v>
      </x:c>
      <x:c r="C541" s="194" t="n">
        <x:v>7.07</x:v>
      </x:c>
      <x:c r="D541" s="194"/>
      <x:c r="E541" s="186" t="n">
        <x:v>46252</x:v>
      </x:c>
      <x:c r="F541" s="32" t="n">
        <x:f t="shared" si="8"/>
        <x:v>6</x:v>
      </x:c>
      <x:c r="G541" s="32" t="str">
        <x:v>Country</x:v>
      </x:c>
      <x:c r="H541" s="32" t="str">
        <x:v>Member</x:v>
      </x:c>
      <x:c r="I541" s="35" t="str">
        <x:v>Regional</x:v>
      </x:c>
      <x:c r="J541" s="151" t="str">
        <x:v>No comparable voting measure in source</x:v>
      </x:c>
      <x:c r="K541" s="196"/>
      <x:c r="L541" s="196"/>
    </x:row>
    <x:row r="542">
      <x:c r="A542" s="26" t="str">
        <x:v>Kuwait</x:v>
      </x:c>
      <x:c r="B542" s="27" t="str">
        <x:v>isdb</x:v>
      </x:c>
      <x:c r="C542" s="193" t="n">
        <x:v>6.92</x:v>
      </x:c>
      <x:c r="D542" s="193"/>
      <x:c r="E542" s="185" t="n">
        <x:v>46252</x:v>
      </x:c>
      <x:c r="F542" s="27" t="n">
        <x:f t="shared" si="8"/>
        <x:v>5</x:v>
      </x:c>
      <x:c r="G542" s="27" t="str">
        <x:v>Country</x:v>
      </x:c>
      <x:c r="H542" s="27" t="str">
        <x:v>Member</x:v>
      </x:c>
      <x:c r="I542" s="30" t="str">
        <x:v>Regional</x:v>
      </x:c>
      <x:c r="J542" s="151" t="str">
        <x:v>No comparable voting measure in source</x:v>
      </x:c>
      <x:c r="K542" s="196"/>
      <x:c r="L542" s="196"/>
    </x:row>
    <x:row r="543">
      <x:c r="A543" s="31" t="str">
        <x:v>Nigeria</x:v>
      </x:c>
      <x:c r="B543" s="32" t="str">
        <x:v>isdb</x:v>
      </x:c>
      <x:c r="C543" s="194" t="n">
        <x:v>6.550000000000001</x:v>
      </x:c>
      <x:c r="D543" s="194"/>
      <x:c r="E543" s="186" t="n">
        <x:v>46252</x:v>
      </x:c>
      <x:c r="F543" s="32" t="n">
        <x:f t="shared" si="8"/>
        <x:v>5</x:v>
      </x:c>
      <x:c r="G543" s="32" t="str">
        <x:v>Country</x:v>
      </x:c>
      <x:c r="H543" s="32" t="str">
        <x:v>Member</x:v>
      </x:c>
      <x:c r="I543" s="35" t="str">
        <x:v>Regional</x:v>
      </x:c>
      <x:c r="J543" s="151" t="str">
        <x:v>No comparable voting measure in source</x:v>
      </x:c>
      <x:c r="K543" s="196"/>
      <x:c r="L543" s="196"/>
    </x:row>
    <x:row r="544">
      <x:c r="A544" s="26" t="str">
        <x:v>United Arab Emirates</x:v>
      </x:c>
      <x:c r="B544" s="27" t="str">
        <x:v>isdb</x:v>
      </x:c>
      <x:c r="C544" s="193" t="n">
        <x:v>6</x:v>
      </x:c>
      <x:c r="D544" s="193"/>
      <x:c r="E544" s="185" t="n">
        <x:v>46252</x:v>
      </x:c>
      <x:c r="F544" s="27" t="n">
        <x:f t="shared" si="8"/>
        <x:v>7</x:v>
      </x:c>
      <x:c r="G544" s="27" t="str">
        <x:v>Country</x:v>
      </x:c>
      <x:c r="H544" s="27" t="str">
        <x:v>Member</x:v>
      </x:c>
      <x:c r="I544" s="30" t="str">
        <x:v>Regional</x:v>
      </x:c>
      <x:c r="J544" s="151" t="str">
        <x:v>No comparable voting measure in source</x:v>
      </x:c>
      <x:c r="K544" s="196"/>
      <x:c r="L544" s="196"/>
    </x:row>
    <x:row r="545">
      <x:c r="A545" s="31" t="str">
        <x:v>Türkiye</x:v>
      </x:c>
      <x:c r="B545" s="32" t="str">
        <x:v>isdb</x:v>
      </x:c>
      <x:c r="C545" s="194" t="n">
        <x:v>6</x:v>
      </x:c>
      <x:c r="D545" s="194"/>
      <x:c r="E545" s="186" t="n">
        <x:v>46252</x:v>
      </x:c>
      <x:c r="F545" s="32" t="n">
        <x:f t="shared" si="8"/>
        <x:v>5</x:v>
      </x:c>
      <x:c r="G545" s="32" t="str">
        <x:v>Country</x:v>
      </x:c>
      <x:c r="H545" s="32" t="str">
        <x:v>Member</x:v>
      </x:c>
      <x:c r="I545" s="35" t="str">
        <x:v>Regional</x:v>
      </x:c>
      <x:c r="J545" s="151" t="str">
        <x:v>No comparable voting measure in source</x:v>
      </x:c>
      <x:c r="K545" s="196"/>
      <x:c r="L545" s="196"/>
    </x:row>
    <x:row r="546">
      <x:c r="A546" s="26" t="str">
        <x:v>Pakistan</x:v>
      </x:c>
      <x:c r="B546" s="27" t="str">
        <x:v>isdb</x:v>
      </x:c>
      <x:c r="C546" s="193" t="n">
        <x:v>2.54</x:v>
      </x:c>
      <x:c r="D546" s="193"/>
      <x:c r="E546" s="185" t="n">
        <x:v>46252</x:v>
      </x:c>
      <x:c r="F546" s="27" t="n">
        <x:f t="shared" si="8"/>
        <x:v>5</x:v>
      </x:c>
      <x:c r="G546" s="27" t="str">
        <x:v>Country</x:v>
      </x:c>
      <x:c r="H546" s="27" t="str">
        <x:v>Member</x:v>
      </x:c>
      <x:c r="I546" s="30" t="str">
        <x:v>Regional</x:v>
      </x:c>
      <x:c r="J546" s="151" t="str">
        <x:v>No comparable voting measure in source</x:v>
      </x:c>
      <x:c r="K546" s="196"/>
      <x:c r="L546" s="196"/>
    </x:row>
    <x:row r="547">
      <x:c r="A547" s="31" t="str">
        <x:v>Algeria</x:v>
      </x:c>
      <x:c r="B547" s="32" t="str">
        <x:v>isdb</x:v>
      </x:c>
      <x:c r="C547" s="194" t="n">
        <x:v>2.17</x:v>
      </x:c>
      <x:c r="D547" s="194"/>
      <x:c r="E547" s="186" t="n">
        <x:v>46252</x:v>
      </x:c>
      <x:c r="F547" s="32" t="n">
        <x:f t="shared" si="8"/>
        <x:v>8</x:v>
      </x:c>
      <x:c r="G547" s="32" t="str">
        <x:v>Country</x:v>
      </x:c>
      <x:c r="H547" s="32" t="str">
        <x:v>Member</x:v>
      </x:c>
      <x:c r="I547" s="35" t="str">
        <x:v>Regional</x:v>
      </x:c>
      <x:c r="J547" s="151" t="str">
        <x:v>No comparable voting measure in source</x:v>
      </x:c>
      <x:c r="K547" s="196"/>
      <x:c r="L547" s="196"/>
    </x:row>
    <x:row r="548">
      <x:c r="A548" s="26" t="str">
        <x:v>Malaysia</x:v>
      </x:c>
      <x:c r="B548" s="27" t="str">
        <x:v>isdb</x:v>
      </x:c>
      <x:c r="C548" s="193" t="n">
        <x:v>1.32</x:v>
      </x:c>
      <x:c r="D548" s="193"/>
      <x:c r="E548" s="185" t="n">
        <x:v>46252</x:v>
      </x:c>
      <x:c r="F548" s="27" t="n">
        <x:f t="shared" si="8"/>
        <x:v>5</x:v>
      </x:c>
      <x:c r="G548" s="27" t="str">
        <x:v>Country</x:v>
      </x:c>
      <x:c r="H548" s="27" t="str">
        <x:v>Member</x:v>
      </x:c>
      <x:c r="I548" s="30" t="str">
        <x:v>Regional</x:v>
      </x:c>
      <x:c r="J548" s="151" t="str">
        <x:v>No comparable voting measure in source</x:v>
      </x:c>
      <x:c r="K548" s="196"/>
      <x:c r="L548" s="196"/>
    </x:row>
    <x:row r="549">
      <x:c r="A549" s="31" t="str">
        <x:v>Morocco</x:v>
      </x:c>
      <x:c r="B549" s="32" t="str">
        <x:v>isdb</x:v>
      </x:c>
      <x:c r="C549" s="194" t="n">
        <x:v>1.07</x:v>
      </x:c>
      <x:c r="D549" s="194"/>
      <x:c r="E549" s="186" t="n">
        <x:v>46252</x:v>
      </x:c>
      <x:c r="F549" s="32" t="n">
        <x:f t="shared" si="8"/>
        <x:v>7</x:v>
      </x:c>
      <x:c r="G549" s="32" t="str">
        <x:v>Country</x:v>
      </x:c>
      <x:c r="H549" s="32" t="str">
        <x:v>Member</x:v>
      </x:c>
      <x:c r="I549" s="35" t="str">
        <x:v>Regional</x:v>
      </x:c>
      <x:c r="J549" s="151" t="str">
        <x:v>No comparable voting measure in source</x:v>
      </x:c>
      <x:c r="K549" s="196"/>
      <x:c r="L549" s="196"/>
    </x:row>
    <x:row r="550">
      <x:c r="A550" s="26" t="str">
        <x:v>Bangladesh</x:v>
      </x:c>
      <x:c r="B550" s="27" t="str">
        <x:v>isdb</x:v>
      </x:c>
      <x:c r="C550" s="193" t="n">
        <x:v>1.01</x:v>
      </x:c>
      <x:c r="D550" s="193"/>
      <x:c r="E550" s="185" t="n">
        <x:v>46252</x:v>
      </x:c>
      <x:c r="F550" s="27" t="n">
        <x:f t="shared" si="8"/>
        <x:v>6</x:v>
      </x:c>
      <x:c r="G550" s="27" t="str">
        <x:v>Country</x:v>
      </x:c>
      <x:c r="H550" s="27" t="str">
        <x:v>Member</x:v>
      </x:c>
      <x:c r="I550" s="30" t="str">
        <x:v>Regional</x:v>
      </x:c>
      <x:c r="J550" s="151" t="str">
        <x:v>No comparable voting measure in source</x:v>
      </x:c>
      <x:c r="K550" s="196"/>
      <x:c r="L550" s="196"/>
    </x:row>
    <x:row r="551">
      <x:c r="A551" s="31" t="str">
        <x:v>Azerbaijan</x:v>
      </x:c>
      <x:c r="B551" s="32" t="str">
        <x:v>isdb</x:v>
      </x:c>
      <x:c r="C551" s="194" t="n">
        <x:v>1</x:v>
      </x:c>
      <x:c r="D551" s="194"/>
      <x:c r="E551" s="186" t="n">
        <x:v>46252</x:v>
      </x:c>
      <x:c r="F551" s="32" t="n">
        <x:f t="shared" si="8"/>
        <x:v>6</x:v>
      </x:c>
      <x:c r="G551" s="32" t="str">
        <x:v>Country</x:v>
      </x:c>
      <x:c r="H551" s="32" t="str">
        <x:v>Member</x:v>
      </x:c>
      <x:c r="I551" s="35" t="str">
        <x:v>Regional</x:v>
      </x:c>
      <x:c r="J551" s="151" t="str">
        <x:v>No comparable voting measure in source</x:v>
      </x:c>
      <x:c r="K551" s="196"/>
      <x:c r="L551" s="196"/>
    </x:row>
    <x:row r="552">
      <x:c r="A552" s="26" t="str">
        <x:v>Sudan</x:v>
      </x:c>
      <x:c r="B552" s="27" t="str">
        <x:v>isdb</x:v>
      </x:c>
      <x:c r="C552" s="193" t="n">
        <x:v>0.45999999999999996</x:v>
      </x:c>
      <x:c r="D552" s="193"/>
      <x:c r="E552" s="185" t="n">
        <x:v>46252</x:v>
      </x:c>
      <x:c r="F552" s="27" t="n">
        <x:f t="shared" si="8"/>
        <x:v>6</x:v>
      </x:c>
      <x:c r="G552" s="27" t="str">
        <x:v>Country</x:v>
      </x:c>
      <x:c r="H552" s="27" t="str">
        <x:v>Member</x:v>
      </x:c>
      <x:c r="I552" s="30" t="str">
        <x:v>Regional</x:v>
      </x:c>
      <x:c r="J552" s="151" t="str">
        <x:v>No comparable voting measure in source</x:v>
      </x:c>
      <x:c r="K552" s="196"/>
      <x:c r="L552" s="196"/>
    </x:row>
    <x:row r="553">
      <x:c r="A553" s="31" t="str">
        <x:v>Jordan</x:v>
      </x:c>
      <x:c r="B553" s="32" t="str">
        <x:v>isdb</x:v>
      </x:c>
      <x:c r="C553" s="194" t="n">
        <x:v>0.43</x:v>
      </x:c>
      <x:c r="D553" s="194"/>
      <x:c r="E553" s="186" t="n">
        <x:v>46252</x:v>
      </x:c>
      <x:c r="F553" s="32" t="n">
        <x:f t="shared" si="8"/>
        <x:v>6</x:v>
      </x:c>
      <x:c r="G553" s="32" t="str">
        <x:v>Country</x:v>
      </x:c>
      <x:c r="H553" s="32" t="str">
        <x:v>Member</x:v>
      </x:c>
      <x:c r="I553" s="35" t="str">
        <x:v>Regional</x:v>
      </x:c>
      <x:c r="J553" s="151" t="str">
        <x:v>No comparable voting measure in source</x:v>
      </x:c>
      <x:c r="K553" s="196"/>
      <x:c r="L553" s="196"/>
    </x:row>
    <x:row r="554">
      <x:c r="A554" s="26" t="str">
        <x:v>Yemen</x:v>
      </x:c>
      <x:c r="B554" s="27" t="str">
        <x:v>isdb</x:v>
      </x:c>
      <x:c r="C554" s="193" t="n">
        <x:v>0.39</x:v>
      </x:c>
      <x:c r="D554" s="193"/>
      <x:c r="E554" s="185" t="n">
        <x:v>46252</x:v>
      </x:c>
      <x:c r="F554" s="27" t="n">
        <x:f t="shared" si="8"/>
        <x:v>1</x:v>
      </x:c>
      <x:c r="G554" s="27" t="str">
        <x:v>Country</x:v>
      </x:c>
      <x:c r="H554" s="27" t="str">
        <x:v>Member</x:v>
      </x:c>
      <x:c r="I554" s="30" t="str">
        <x:v>Regional</x:v>
      </x:c>
      <x:c r="J554" s="151" t="str">
        <x:v>No comparable voting measure in source</x:v>
      </x:c>
      <x:c r="K554" s="196"/>
      <x:c r="L554" s="196"/>
    </x:row>
    <x:row r="555">
      <x:c r="A555" s="31" t="str">
        <x:v>Oman</x:v>
      </x:c>
      <x:c r="B555" s="32" t="str">
        <x:v>isdb</x:v>
      </x:c>
      <x:c r="C555" s="194" t="n">
        <x:v>0.28</x:v>
      </x:c>
      <x:c r="D555" s="194"/>
      <x:c r="E555" s="186" t="n">
        <x:v>46252</x:v>
      </x:c>
      <x:c r="F555" s="32" t="n">
        <x:f t="shared" si="8"/>
        <x:v>5</x:v>
      </x:c>
      <x:c r="G555" s="32" t="str">
        <x:v>Country</x:v>
      </x:c>
      <x:c r="H555" s="32" t="str">
        <x:v>Member</x:v>
      </x:c>
      <x:c r="I555" s="35" t="str">
        <x:v>Regional</x:v>
      </x:c>
      <x:c r="J555" s="151" t="str">
        <x:v>No comparable voting measure in source</x:v>
      </x:c>
      <x:c r="K555" s="196"/>
      <x:c r="L555" s="196"/>
    </x:row>
    <x:row r="556">
      <x:c r="A556" s="26" t="str">
        <x:v>Cameroon</x:v>
      </x:c>
      <x:c r="B556" s="27" t="str">
        <x:v>isdb</x:v>
      </x:c>
      <x:c r="C556" s="193" t="n">
        <x:v>0.25</x:v>
      </x:c>
      <x:c r="D556" s="193"/>
      <x:c r="E556" s="185" t="n">
        <x:v>46252</x:v>
      </x:c>
      <x:c r="F556" s="27" t="n">
        <x:f t="shared" si="8"/>
        <x:v>4</x:v>
      </x:c>
      <x:c r="G556" s="27" t="str">
        <x:v>Country</x:v>
      </x:c>
      <x:c r="H556" s="27" t="str">
        <x:v>Member</x:v>
      </x:c>
      <x:c r="I556" s="30" t="str">
        <x:v>Regional</x:v>
      </x:c>
      <x:c r="J556" s="151" t="str">
        <x:v>No comparable voting measure in source</x:v>
      </x:c>
      <x:c r="K556" s="196"/>
      <x:c r="L556" s="196"/>
    </x:row>
    <x:row r="557">
      <x:c r="A557" s="31" t="str">
        <x:v>Senegal</x:v>
      </x:c>
      <x:c r="B557" s="32" t="str">
        <x:v>isdb</x:v>
      </x:c>
      <x:c r="C557" s="194" t="n">
        <x:v>0.25</x:v>
      </x:c>
      <x:c r="D557" s="194"/>
      <x:c r="E557" s="186" t="n">
        <x:v>46252</x:v>
      </x:c>
      <x:c r="F557" s="32" t="n">
        <x:f t="shared" si="8"/>
        <x:v>5</x:v>
      </x:c>
      <x:c r="G557" s="32" t="str">
        <x:v>Country</x:v>
      </x:c>
      <x:c r="H557" s="32" t="str">
        <x:v>Member</x:v>
      </x:c>
      <x:c r="I557" s="35" t="str">
        <x:v>Regional</x:v>
      </x:c>
      <x:c r="J557" s="151" t="str">
        <x:v>No comparable voting measure in source</x:v>
      </x:c>
      <x:c r="K557" s="196"/>
      <x:c r="L557" s="196"/>
    </x:row>
    <x:row r="558">
      <x:c r="A558" s="26" t="str">
        <x:v>Tunisia</x:v>
      </x:c>
      <x:c r="B558" s="27" t="str">
        <x:v>isdb</x:v>
      </x:c>
      <x:c r="C558" s="193" t="n">
        <x:v>0.24</x:v>
      </x:c>
      <x:c r="D558" s="193"/>
      <x:c r="E558" s="185" t="n">
        <x:v>46252</x:v>
      </x:c>
      <x:c r="F558" s="27" t="n">
        <x:f t="shared" si="8"/>
        <x:v>7</x:v>
      </x:c>
      <x:c r="G558" s="27" t="str">
        <x:v>Country</x:v>
      </x:c>
      <x:c r="H558" s="27" t="str">
        <x:v>Member</x:v>
      </x:c>
      <x:c r="I558" s="30" t="str">
        <x:v>Regional</x:v>
      </x:c>
      <x:c r="J558" s="151" t="str">
        <x:v>No comparable voting measure in source</x:v>
      </x:c>
      <x:c r="K558" s="196"/>
      <x:c r="L558" s="196"/>
    </x:row>
    <x:row r="559">
      <x:c r="A559" s="31" t="str">
        <x:v>Iraq</x:v>
      </x:c>
      <x:c r="B559" s="32" t="str">
        <x:v>isdb</x:v>
      </x:c>
      <x:c r="C559" s="194" t="n">
        <x:v>0.22999999999999998</x:v>
      </x:c>
      <x:c r="D559" s="194"/>
      <x:c r="E559" s="186" t="n">
        <x:v>46252</x:v>
      </x:c>
      <x:c r="F559" s="32" t="n">
        <x:f t="shared" si="8"/>
        <x:v>6</x:v>
      </x:c>
      <x:c r="G559" s="32" t="str">
        <x:v>Country</x:v>
      </x:c>
      <x:c r="H559" s="32" t="str">
        <x:v>Member</x:v>
      </x:c>
      <x:c r="I559" s="35" t="str">
        <x:v>Regional</x:v>
      </x:c>
      <x:c r="J559" s="151" t="str">
        <x:v>No comparable voting measure in source</x:v>
      </x:c>
      <x:c r="K559" s="196"/>
      <x:c r="L559" s="196"/>
    </x:row>
    <x:row r="560">
      <x:c r="A560" s="26" t="str">
        <x:v>Brunei Darussalam</x:v>
      </x:c>
      <x:c r="B560" s="27" t="str">
        <x:v>isdb</x:v>
      </x:c>
      <x:c r="C560" s="193" t="n">
        <x:v>0.2</x:v>
      </x:c>
      <x:c r="D560" s="193"/>
      <x:c r="E560" s="185" t="n">
        <x:v>46252</x:v>
      </x:c>
      <x:c r="F560" s="27" t="n">
        <x:f t="shared" si="8"/>
        <x:v>5</x:v>
      </x:c>
      <x:c r="G560" s="27" t="str">
        <x:v>Country</x:v>
      </x:c>
      <x:c r="H560" s="27" t="str">
        <x:v>Member</x:v>
      </x:c>
      <x:c r="I560" s="30" t="str">
        <x:v>Regional</x:v>
      </x:c>
      <x:c r="J560" s="151" t="str">
        <x:v>No comparable voting measure in source</x:v>
      </x:c>
      <x:c r="K560" s="196"/>
      <x:c r="L560" s="196"/>
    </x:row>
    <x:row r="561">
      <x:c r="A561" s="31" t="str">
        <x:v>Niger</x:v>
      </x:c>
      <x:c r="B561" s="32" t="str">
        <x:v>isdb</x:v>
      </x:c>
      <x:c r="C561" s="194" t="n">
        <x:v>0.18</x:v>
      </x:c>
      <x:c r="D561" s="194"/>
      <x:c r="E561" s="186" t="n">
        <x:v>46252</x:v>
      </x:c>
      <x:c r="F561" s="32" t="n">
        <x:f t="shared" si="8"/>
        <x:v>4</x:v>
      </x:c>
      <x:c r="G561" s="32" t="str">
        <x:v>Country</x:v>
      </x:c>
      <x:c r="H561" s="32" t="str">
        <x:v>Member</x:v>
      </x:c>
      <x:c r="I561" s="35" t="str">
        <x:v>Regional</x:v>
      </x:c>
      <x:c r="J561" s="151" t="str">
        <x:v>No comparable voting measure in source</x:v>
      </x:c>
      <x:c r="K561" s="196"/>
      <x:c r="L561" s="196"/>
    </x:row>
    <x:row r="562">
      <x:c r="A562" s="26" t="str">
        <x:v>Burkina Faso</x:v>
      </x:c>
      <x:c r="B562" s="27" t="str">
        <x:v>isdb</x:v>
      </x:c>
      <x:c r="C562" s="193" t="n">
        <x:v>0.18</x:v>
      </x:c>
      <x:c r="D562" s="193"/>
      <x:c r="E562" s="185" t="n">
        <x:v>46252</x:v>
      </x:c>
      <x:c r="F562" s="27" t="n">
        <x:f t="shared" si="8"/>
        <x:v>4</x:v>
      </x:c>
      <x:c r="G562" s="27" t="str">
        <x:v>Country</x:v>
      </x:c>
      <x:c r="H562" s="27" t="str">
        <x:v>Member</x:v>
      </x:c>
      <x:c r="I562" s="30" t="str">
        <x:v>Regional</x:v>
      </x:c>
      <x:c r="J562" s="151" t="str">
        <x:v>No comparable voting measure in source</x:v>
      </x:c>
      <x:c r="K562" s="196"/>
      <x:c r="L562" s="196"/>
    </x:row>
    <x:row r="563">
      <x:c r="A563" s="31" t="str">
        <x:v>Uganda</x:v>
      </x:c>
      <x:c r="B563" s="32" t="str">
        <x:v>isdb</x:v>
      </x:c>
      <x:c r="C563" s="194" t="n">
        <x:v>0.15</x:v>
      </x:c>
      <x:c r="D563" s="194"/>
      <x:c r="E563" s="186" t="n">
        <x:v>46252</x:v>
      </x:c>
      <x:c r="F563" s="32" t="n">
        <x:f t="shared" si="8"/>
        <x:v>4</x:v>
      </x:c>
      <x:c r="G563" s="32" t="str">
        <x:v>Country</x:v>
      </x:c>
      <x:c r="H563" s="32" t="str">
        <x:v>Member</x:v>
      </x:c>
      <x:c r="I563" s="35" t="str">
        <x:v>Regional</x:v>
      </x:c>
      <x:c r="J563" s="151" t="str">
        <x:v>No comparable voting measure in source</x:v>
      </x:c>
      <x:c r="K563" s="196"/>
      <x:c r="L563" s="196"/>
    </x:row>
    <x:row r="564">
      <x:c r="A564" s="26" t="str">
        <x:v>Bahrain</x:v>
      </x:c>
      <x:c r="B564" s="27" t="str">
        <x:v>isdb</x:v>
      </x:c>
      <x:c r="C564" s="193" t="n">
        <x:v>0.12</x:v>
      </x:c>
      <x:c r="D564" s="193"/>
      <x:c r="E564" s="185" t="n">
        <x:v>46252</x:v>
      </x:c>
      <x:c r="F564" s="27" t="n">
        <x:f t="shared" si="8"/>
        <x:v>5</x:v>
      </x:c>
      <x:c r="G564" s="27" t="str">
        <x:v>Country</x:v>
      </x:c>
      <x:c r="H564" s="27" t="str">
        <x:v>Member</x:v>
      </x:c>
      <x:c r="I564" s="30" t="str">
        <x:v>Regional</x:v>
      </x:c>
      <x:c r="J564" s="151" t="str">
        <x:v>No comparable voting measure in source</x:v>
      </x:c>
      <x:c r="K564" s="196"/>
      <x:c r="L564" s="196"/>
    </x:row>
    <x:row r="565">
      <x:c r="A565" s="31" t="str">
        <x:v>Benin</x:v>
      </x:c>
      <x:c r="B565" s="32" t="str">
        <x:v>isdb</x:v>
      </x:c>
      <x:c r="C565" s="194" t="n">
        <x:v>0.12</x:v>
      </x:c>
      <x:c r="D565" s="194"/>
      <x:c r="E565" s="186" t="n">
        <x:v>46252</x:v>
      </x:c>
      <x:c r="F565" s="32" t="n">
        <x:f t="shared" si="8"/>
        <x:v>6</x:v>
      </x:c>
      <x:c r="G565" s="32" t="str">
        <x:v>Country</x:v>
      </x:c>
      <x:c r="H565" s="32" t="str">
        <x:v>Member</x:v>
      </x:c>
      <x:c r="I565" s="35" t="str">
        <x:v>Regional</x:v>
      </x:c>
      <x:c r="J565" s="151" t="str">
        <x:v>No comparable voting measure in source</x:v>
      </x:c>
      <x:c r="K565" s="196"/>
      <x:c r="L565" s="196"/>
    </x:row>
    <x:row r="566">
      <x:c r="A566" s="26" t="str">
        <x:v>Gabon</x:v>
      </x:c>
      <x:c r="B566" s="27" t="str">
        <x:v>isdb</x:v>
      </x:c>
      <x:c r="C566" s="193" t="n">
        <x:v>0.1</x:v>
      </x:c>
      <x:c r="D566" s="193"/>
      <x:c r="E566" s="185" t="n">
        <x:v>46252</x:v>
      </x:c>
      <x:c r="F566" s="27" t="n">
        <x:f t="shared" si="8"/>
        <x:v>4</x:v>
      </x:c>
      <x:c r="G566" s="27" t="str">
        <x:v>Country</x:v>
      </x:c>
      <x:c r="H566" s="27" t="str">
        <x:v>Member</x:v>
      </x:c>
      <x:c r="I566" s="30" t="str">
        <x:v>Regional</x:v>
      </x:c>
      <x:c r="J566" s="151" t="str">
        <x:v>No comparable voting measure in source</x:v>
      </x:c>
      <x:c r="K566" s="196"/>
      <x:c r="L566" s="196"/>
    </x:row>
    <x:row r="567">
      <x:c r="A567" s="31" t="str">
        <x:v>Kazakhstan</x:v>
      </x:c>
      <x:c r="B567" s="32" t="str">
        <x:v>isdb</x:v>
      </x:c>
      <x:c r="C567" s="194" t="n">
        <x:v>0.09</x:v>
      </x:c>
      <x:c r="D567" s="194"/>
      <x:c r="E567" s="186" t="n">
        <x:v>46252</x:v>
      </x:c>
      <x:c r="F567" s="32" t="n">
        <x:f t="shared" si="8"/>
        <x:v>6</x:v>
      </x:c>
      <x:c r="G567" s="32" t="str">
        <x:v>Country</x:v>
      </x:c>
      <x:c r="H567" s="32" t="str">
        <x:v>Member</x:v>
      </x:c>
      <x:c r="I567" s="35" t="str">
        <x:v>Regional</x:v>
      </x:c>
      <x:c r="J567" s="151" t="str">
        <x:v>No comparable voting measure in source</x:v>
      </x:c>
      <x:c r="K567" s="196"/>
      <x:c r="L567" s="196"/>
    </x:row>
    <x:row r="568">
      <x:c r="A568" s="26" t="str">
        <x:v>Mali</x:v>
      </x:c>
      <x:c r="B568" s="27" t="str">
        <x:v>isdb</x:v>
      </x:c>
      <x:c r="C568" s="193" t="n">
        <x:v>0.09</x:v>
      </x:c>
      <x:c r="D568" s="193"/>
      <x:c r="E568" s="185" t="n">
        <x:v>46252</x:v>
      </x:c>
      <x:c r="F568" s="27" t="n">
        <x:f t="shared" si="8"/>
        <x:v>4</x:v>
      </x:c>
      <x:c r="G568" s="27" t="str">
        <x:v>Country</x:v>
      </x:c>
      <x:c r="H568" s="27" t="str">
        <x:v>Member</x:v>
      </x:c>
      <x:c r="I568" s="30" t="str">
        <x:v>Regional</x:v>
      </x:c>
      <x:c r="J568" s="151" t="str">
        <x:v>No comparable voting measure in source</x:v>
      </x:c>
      <x:c r="K568" s="196"/>
      <x:c r="L568" s="196"/>
    </x:row>
    <x:row r="569">
      <x:c r="A569" s="31" t="str">
        <x:v>Guinea</x:v>
      </x:c>
      <x:c r="B569" s="32" t="str">
        <x:v>isdb</x:v>
      </x:c>
      <x:c r="C569" s="194" t="n">
        <x:v>0.08</x:v>
      </x:c>
      <x:c r="D569" s="194"/>
      <x:c r="E569" s="186" t="n">
        <x:v>46252</x:v>
      </x:c>
      <x:c r="F569" s="32" t="n">
        <x:f t="shared" si="8"/>
        <x:v>5</x:v>
      </x:c>
      <x:c r="G569" s="32" t="str">
        <x:v>Country</x:v>
      </x:c>
      <x:c r="H569" s="32" t="str">
        <x:v>Member</x:v>
      </x:c>
      <x:c r="I569" s="35" t="str">
        <x:v>Regional</x:v>
      </x:c>
      <x:c r="J569" s="151" t="str">
        <x:v>No comparable voting measure in source</x:v>
      </x:c>
      <x:c r="K569" s="196"/>
      <x:c r="L569" s="196"/>
    </x:row>
    <x:row r="570">
      <x:c r="A570" s="26" t="str">
        <x:v>Mauritania</x:v>
      </x:c>
      <x:c r="B570" s="27" t="str">
        <x:v>isdb</x:v>
      </x:c>
      <x:c r="C570" s="193" t="n">
        <x:v>0.06</x:v>
      </x:c>
      <x:c r="D570" s="193"/>
      <x:c r="E570" s="185" t="n">
        <x:v>46252</x:v>
      </x:c>
      <x:c r="F570" s="27" t="n">
        <x:f t="shared" si="8"/>
        <x:v>5</x:v>
      </x:c>
      <x:c r="G570" s="27" t="str">
        <x:v>Country</x:v>
      </x:c>
      <x:c r="H570" s="27" t="str">
        <x:v>Member</x:v>
      </x:c>
      <x:c r="I570" s="30" t="str">
        <x:v>Regional</x:v>
      </x:c>
      <x:c r="J570" s="151" t="str">
        <x:v>No comparable voting measure in source</x:v>
      </x:c>
      <x:c r="K570" s="196"/>
      <x:c r="L570" s="196"/>
    </x:row>
    <x:row r="571">
      <x:c r="A571" s="31" t="str">
        <x:v>Lebanon</x:v>
      </x:c>
      <x:c r="B571" s="32" t="str">
        <x:v>isdb</x:v>
      </x:c>
      <x:c r="C571" s="194" t="n">
        <x:v>0.05</x:v>
      </x:c>
      <x:c r="D571" s="194"/>
      <x:c r="E571" s="186" t="n">
        <x:v>46252</x:v>
      </x:c>
      <x:c r="F571" s="32" t="n">
        <x:f t="shared" si="8"/>
        <x:v>5</x:v>
      </x:c>
      <x:c r="G571" s="32" t="str">
        <x:v>Country</x:v>
      </x:c>
      <x:c r="H571" s="32" t="str">
        <x:v>Member</x:v>
      </x:c>
      <x:c r="I571" s="35" t="str">
        <x:v>Regional</x:v>
      </x:c>
      <x:c r="J571" s="151" t="str">
        <x:v>No comparable voting measure in source</x:v>
      </x:c>
      <x:c r="K571" s="196"/>
      <x:c r="L571" s="196"/>
    </x:row>
    <x:row r="572">
      <x:c r="A572" s="26" t="str">
        <x:v>Gambia</x:v>
      </x:c>
      <x:c r="B572" s="27" t="str">
        <x:v>isdb</x:v>
      </x:c>
      <x:c r="C572" s="193" t="n">
        <x:v>0.04</x:v>
      </x:c>
      <x:c r="D572" s="193"/>
      <x:c r="E572" s="185" t="n">
        <x:v>46252</x:v>
      </x:c>
      <x:c r="F572" s="27" t="n">
        <x:f t="shared" si="8"/>
        <x:v>2</x:v>
      </x:c>
      <x:c r="G572" s="27" t="str">
        <x:v>Country</x:v>
      </x:c>
      <x:c r="H572" s="27" t="str">
        <x:v>Member</x:v>
      </x:c>
      <x:c r="I572" s="30" t="str">
        <x:v>Regional</x:v>
      </x:c>
      <x:c r="J572" s="151" t="str">
        <x:v>No comparable voting measure in source</x:v>
      </x:c>
      <x:c r="K572" s="196"/>
      <x:c r="L572" s="196"/>
    </x:row>
    <x:row r="573">
      <x:c r="A573" s="31" t="str">
        <x:v>Kyrgyz Republic</x:v>
      </x:c>
      <x:c r="B573" s="32" t="str">
        <x:v>isdb</x:v>
      </x:c>
      <x:c r="C573" s="194" t="n">
        <x:v>0.04</x:v>
      </x:c>
      <x:c r="D573" s="194"/>
      <x:c r="E573" s="186" t="n">
        <x:v>46252</x:v>
      </x:c>
      <x:c r="F573" s="32" t="n">
        <x:f t="shared" si="8"/>
        <x:v>6</x:v>
      </x:c>
      <x:c r="G573" s="32" t="str">
        <x:v>Country</x:v>
      </x:c>
      <x:c r="H573" s="32" t="str">
        <x:v>Member</x:v>
      </x:c>
      <x:c r="I573" s="35" t="str">
        <x:v>Regional</x:v>
      </x:c>
      <x:c r="J573" s="151" t="str">
        <x:v>No comparable voting measure in source</x:v>
      </x:c>
      <x:c r="K573" s="196"/>
      <x:c r="L573" s="196"/>
    </x:row>
    <x:row r="574">
      <x:c r="A574" s="26" t="str">
        <x:v>Mozambique</x:v>
      </x:c>
      <x:c r="B574" s="27" t="str">
        <x:v>isdb</x:v>
      </x:c>
      <x:c r="C574" s="193" t="n">
        <x:v>0.04</x:v>
      </x:c>
      <x:c r="D574" s="193"/>
      <x:c r="E574" s="185" t="n">
        <x:v>46252</x:v>
      </x:c>
      <x:c r="F574" s="27" t="n">
        <x:f t="shared" si="8"/>
        <x:v>4</x:v>
      </x:c>
      <x:c r="G574" s="27" t="str">
        <x:v>Country</x:v>
      </x:c>
      <x:c r="H574" s="27" t="str">
        <x:v>Member</x:v>
      </x:c>
      <x:c r="I574" s="30" t="str">
        <x:v>Regional</x:v>
      </x:c>
      <x:c r="J574" s="151" t="str">
        <x:v>No comparable voting measure in source</x:v>
      </x:c>
      <x:c r="K574" s="196"/>
      <x:c r="L574" s="196"/>
    </x:row>
    <x:row r="575">
      <x:c r="A575" s="31" t="str">
        <x:v>Maldives</x:v>
      </x:c>
      <x:c r="B575" s="32" t="str">
        <x:v>isdb</x:v>
      </x:c>
      <x:c r="C575" s="194" t="n">
        <x:v>0.04</x:v>
      </x:c>
      <x:c r="D575" s="194"/>
      <x:c r="E575" s="186" t="n">
        <x:v>46252</x:v>
      </x:c>
      <x:c r="F575" s="32" t="n">
        <x:f t="shared" si="8"/>
        <x:v>5</x:v>
      </x:c>
      <x:c r="G575" s="32" t="str">
        <x:v>Country</x:v>
      </x:c>
      <x:c r="H575" s="32" t="str">
        <x:v>Member</x:v>
      </x:c>
      <x:c r="I575" s="35" t="str">
        <x:v>Regional</x:v>
      </x:c>
      <x:c r="J575" s="151" t="str">
        <x:v>No comparable voting measure in source</x:v>
      </x:c>
      <x:c r="K575" s="196"/>
      <x:c r="L575" s="196"/>
    </x:row>
    <x:row r="576">
      <x:c r="A576" s="26" t="str">
        <x:v>Sierra Leone</x:v>
      </x:c>
      <x:c r="B576" s="27" t="str">
        <x:v>isdb</x:v>
      </x:c>
      <x:c r="C576" s="193" t="n">
        <x:v>0.03</x:v>
      </x:c>
      <x:c r="D576" s="193"/>
      <x:c r="E576" s="185" t="n">
        <x:v>46252</x:v>
      </x:c>
      <x:c r="F576" s="27" t="n">
        <x:f t="shared" si="8"/>
        <x:v>4</x:v>
      </x:c>
      <x:c r="G576" s="27" t="str">
        <x:v>Country</x:v>
      </x:c>
      <x:c r="H576" s="27" t="str">
        <x:v>Member</x:v>
      </x:c>
      <x:c r="I576" s="30" t="str">
        <x:v>Regional</x:v>
      </x:c>
      <x:c r="J576" s="151" t="str">
        <x:v>No comparable voting measure in source</x:v>
      </x:c>
      <x:c r="K576" s="196"/>
      <x:c r="L576" s="196"/>
    </x:row>
    <x:row r="577">
      <x:c r="A577" s="31" t="str">
        <x:v>Togo</x:v>
      </x:c>
      <x:c r="B577" s="32" t="str">
        <x:v>isdb</x:v>
      </x:c>
      <x:c r="C577" s="194" t="n">
        <x:v>0.03</x:v>
      </x:c>
      <x:c r="D577" s="194"/>
      <x:c r="E577" s="186" t="n">
        <x:v>46252</x:v>
      </x:c>
      <x:c r="F577" s="32" t="n">
        <x:f t="shared" si="8"/>
        <x:v>5</x:v>
      </x:c>
      <x:c r="G577" s="32" t="str">
        <x:v>Country</x:v>
      </x:c>
      <x:c r="H577" s="32" t="str">
        <x:v>Member</x:v>
      </x:c>
      <x:c r="I577" s="35" t="str">
        <x:v>Regional</x:v>
      </x:c>
      <x:c r="J577" s="151" t="str">
        <x:v>No comparable voting measure in source</x:v>
      </x:c>
      <x:c r="K577" s="196"/>
      <x:c r="L577" s="196"/>
    </x:row>
    <x:row r="578">
      <x:c r="A578" s="26" t="str">
        <x:v>Tajikistan</x:v>
      </x:c>
      <x:c r="B578" s="27" t="str">
        <x:v>isdb</x:v>
      </x:c>
      <x:c r="C578" s="193" t="n">
        <x:v>0.03</x:v>
      </x:c>
      <x:c r="D578" s="193"/>
      <x:c r="E578" s="185" t="n">
        <x:v>46252</x:v>
      </x:c>
      <x:c r="F578" s="27" t="n">
        <x:f t="shared" si="8"/>
        <x:v>6</x:v>
      </x:c>
      <x:c r="G578" s="27" t="str">
        <x:v>Country</x:v>
      </x:c>
      <x:c r="H578" s="27" t="str">
        <x:v>Member</x:v>
      </x:c>
      <x:c r="I578" s="30" t="str">
        <x:v>Regional</x:v>
      </x:c>
      <x:c r="J578" s="151" t="str">
        <x:v>No comparable voting measure in source</x:v>
      </x:c>
      <x:c r="K578" s="196"/>
      <x:c r="L578" s="196"/>
    </x:row>
    <x:row r="579">
      <x:c r="A579" s="31" t="str">
        <x:v>Palestine</x:v>
      </x:c>
      <x:c r="B579" s="32" t="str">
        <x:v>isdb</x:v>
      </x:c>
      <x:c r="C579" s="194" t="n">
        <x:v>0.03</x:v>
      </x:c>
      <x:c r="D579" s="194"/>
      <x:c r="E579" s="186" t="n">
        <x:v>46252</x:v>
      </x:c>
      <x:c r="F579" s="32" t="n">
        <x:f t="shared" ref="F579:F642" si="9">COUNTIF(A579:A1610,A579)</x:f>
        <x:v>1</x:v>
      </x:c>
      <x:c r="G579" s="32" t="str">
        <x:v>Country</x:v>
      </x:c>
      <x:c r="H579" s="32" t="str">
        <x:v>Member</x:v>
      </x:c>
      <x:c r="I579" s="35" t="str">
        <x:v>Regional</x:v>
      </x:c>
      <x:c r="J579" s="151" t="str">
        <x:v>No comparable voting measure in source</x:v>
      </x:c>
      <x:c r="K579" s="196"/>
      <x:c r="L579" s="196"/>
    </x:row>
    <x:row r="580">
      <x:c r="A580" s="26" t="str">
        <x:v>Syria</x:v>
      </x:c>
      <x:c r="B580" s="27" t="str">
        <x:v>isdb</x:v>
      </x:c>
      <x:c r="C580" s="193" t="n">
        <x:v>0.03</x:v>
      </x:c>
      <x:c r="D580" s="193"/>
      <x:c r="E580" s="185" t="n">
        <x:v>46252</x:v>
      </x:c>
      <x:c r="F580" s="27" t="n">
        <x:f t="shared" si="9"/>
        <x:v>2</x:v>
      </x:c>
      <x:c r="G580" s="27" t="str">
        <x:v>Country</x:v>
      </x:c>
      <x:c r="H580" s="27" t="str">
        <x:v>Member</x:v>
      </x:c>
      <x:c r="I580" s="30" t="str">
        <x:v>Regional</x:v>
      </x:c>
      <x:c r="J580" s="151" t="str">
        <x:v>No comparable voting measure in source</x:v>
      </x:c>
      <x:c r="K580" s="196"/>
      <x:c r="L580" s="196"/>
    </x:row>
    <x:row r="581">
      <x:c r="A581" s="31" t="str">
        <x:v>Uzbekistan</x:v>
      </x:c>
      <x:c r="B581" s="32" t="str">
        <x:v>isdb</x:v>
      </x:c>
      <x:c r="C581" s="194" t="n">
        <x:v>0.02</x:v>
      </x:c>
      <x:c r="D581" s="194"/>
      <x:c r="E581" s="186" t="n">
        <x:v>46252</x:v>
      </x:c>
      <x:c r="F581" s="32" t="n">
        <x:f t="shared" si="9"/>
        <x:v>6</x:v>
      </x:c>
      <x:c r="G581" s="32" t="str">
        <x:v>Country</x:v>
      </x:c>
      <x:c r="H581" s="32" t="str">
        <x:v>Member</x:v>
      </x:c>
      <x:c r="I581" s="35" t="str">
        <x:v>Regional</x:v>
      </x:c>
      <x:c r="J581" s="151" t="str">
        <x:v>No comparable voting measure in source</x:v>
      </x:c>
      <x:c r="K581" s="196"/>
      <x:c r="L581" s="196"/>
    </x:row>
    <x:row r="582">
      <x:c r="A582" s="26" t="str">
        <x:v>Côte d’Ivoire</x:v>
      </x:c>
      <x:c r="B582" s="27" t="str">
        <x:v>isdb</x:v>
      </x:c>
      <x:c r="C582" s="193" t="n">
        <x:v>0.02</x:v>
      </x:c>
      <x:c r="D582" s="193"/>
      <x:c r="E582" s="185" t="n">
        <x:v>46252</x:v>
      </x:c>
      <x:c r="F582" s="27" t="n">
        <x:f t="shared" si="9"/>
        <x:v>4</x:v>
      </x:c>
      <x:c r="G582" s="27" t="str">
        <x:v>Country</x:v>
      </x:c>
      <x:c r="H582" s="27" t="str">
        <x:v>Member</x:v>
      </x:c>
      <x:c r="I582" s="30" t="str">
        <x:v>Regional</x:v>
      </x:c>
      <x:c r="J582" s="151" t="str">
        <x:v>No comparable voting measure in source</x:v>
      </x:c>
      <x:c r="K582" s="196"/>
      <x:c r="L582" s="196"/>
    </x:row>
    <x:row r="583">
      <x:c r="A583" s="31" t="str">
        <x:v>Comoros</x:v>
      </x:c>
      <x:c r="B583" s="32" t="str">
        <x:v>isdb</x:v>
      </x:c>
      <x:c r="C583" s="194" t="n">
        <x:v>0.02</x:v>
      </x:c>
      <x:c r="D583" s="194"/>
      <x:c r="E583" s="186" t="n">
        <x:v>46252</x:v>
      </x:c>
      <x:c r="F583" s="32" t="n">
        <x:f t="shared" si="9"/>
        <x:v>4</x:v>
      </x:c>
      <x:c r="G583" s="32" t="str">
        <x:v>Country</x:v>
      </x:c>
      <x:c r="H583" s="32" t="str">
        <x:v>Member</x:v>
      </x:c>
      <x:c r="I583" s="35" t="str">
        <x:v>Regional</x:v>
      </x:c>
      <x:c r="J583" s="151" t="str">
        <x:v>No comparable voting measure in source</x:v>
      </x:c>
      <x:c r="K583" s="196"/>
      <x:c r="L583" s="196"/>
    </x:row>
    <x:row r="584">
      <x:c r="A584" s="26" t="str">
        <x:v>Afghanistan</x:v>
      </x:c>
      <x:c r="B584" s="27" t="str">
        <x:v>isdb</x:v>
      </x:c>
      <x:c r="C584" s="193" t="n">
        <x:v>0.02</x:v>
      </x:c>
      <x:c r="D584" s="193"/>
      <x:c r="E584" s="185" t="n">
        <x:v>46252</x:v>
      </x:c>
      <x:c r="F584" s="27" t="n">
        <x:f t="shared" si="9"/>
        <x:v>5</x:v>
      </x:c>
      <x:c r="G584" s="27" t="str">
        <x:v>Country</x:v>
      </x:c>
      <x:c r="H584" s="27" t="str">
        <x:v>Member</x:v>
      </x:c>
      <x:c r="I584" s="30" t="str">
        <x:v>Regional</x:v>
      </x:c>
      <x:c r="J584" s="151" t="str">
        <x:v>No comparable voting measure in source</x:v>
      </x:c>
      <x:c r="K584" s="196"/>
      <x:c r="L584" s="196"/>
    </x:row>
    <x:row r="585">
      <x:c r="A585" s="31" t="str">
        <x:v>Chad</x:v>
      </x:c>
      <x:c r="B585" s="32" t="str">
        <x:v>isdb</x:v>
      </x:c>
      <x:c r="C585" s="194" t="n">
        <x:v>0.02</x:v>
      </x:c>
      <x:c r="D585" s="194"/>
      <x:c r="E585" s="186" t="n">
        <x:v>46252</x:v>
      </x:c>
      <x:c r="F585" s="32" t="n">
        <x:f t="shared" si="9"/>
        <x:v>4</x:v>
      </x:c>
      <x:c r="G585" s="32" t="str">
        <x:v>Country</x:v>
      </x:c>
      <x:c r="H585" s="32" t="str">
        <x:v>Member</x:v>
      </x:c>
      <x:c r="I585" s="35" t="str">
        <x:v>Regional</x:v>
      </x:c>
      <x:c r="J585" s="151" t="str">
        <x:v>No comparable voting measure in source</x:v>
      </x:c>
      <x:c r="K585" s="196"/>
      <x:c r="L585" s="196"/>
    </x:row>
    <x:row r="586">
      <x:c r="A586" s="26" t="str">
        <x:v>Albania</x:v>
      </x:c>
      <x:c r="B586" s="27" t="str">
        <x:v>isdb</x:v>
      </x:c>
      <x:c r="C586" s="193" t="n">
        <x:v>0.01</x:v>
      </x:c>
      <x:c r="D586" s="193"/>
      <x:c r="E586" s="185" t="n">
        <x:v>46252</x:v>
      </x:c>
      <x:c r="F586" s="27" t="n">
        <x:f t="shared" si="9"/>
        <x:v>4</x:v>
      </x:c>
      <x:c r="G586" s="27" t="str">
        <x:v>Country</x:v>
      </x:c>
      <x:c r="H586" s="27" t="str">
        <x:v>Member</x:v>
      </x:c>
      <x:c r="I586" s="30" t="str">
        <x:v>Regional</x:v>
      </x:c>
      <x:c r="J586" s="151" t="str">
        <x:v>No comparable voting measure in source</x:v>
      </x:c>
      <x:c r="K586" s="196"/>
      <x:c r="L586" s="196"/>
    </x:row>
    <x:row r="587">
      <x:c r="A587" s="31" t="str">
        <x:v>Suriname</x:v>
      </x:c>
      <x:c r="B587" s="32" t="str">
        <x:v>isdb</x:v>
      </x:c>
      <x:c r="C587" s="194" t="n">
        <x:v>0.01</x:v>
      </x:c>
      <x:c r="D587" s="194"/>
      <x:c r="E587" s="186" t="n">
        <x:v>46252</x:v>
      </x:c>
      <x:c r="F587" s="32" t="n">
        <x:f t="shared" si="9"/>
        <x:v>5</x:v>
      </x:c>
      <x:c r="G587" s="32" t="str">
        <x:v>Country</x:v>
      </x:c>
      <x:c r="H587" s="32" t="str">
        <x:v>Member</x:v>
      </x:c>
      <x:c r="I587" s="35" t="str">
        <x:v>Regional</x:v>
      </x:c>
      <x:c r="J587" s="151" t="str">
        <x:v>No comparable voting measure in source</x:v>
      </x:c>
      <x:c r="K587" s="196"/>
      <x:c r="L587" s="196"/>
    </x:row>
    <x:row r="588">
      <x:c r="A588" s="26" t="str">
        <x:v>Djibouti</x:v>
      </x:c>
      <x:c r="B588" s="27" t="str">
        <x:v>isdb</x:v>
      </x:c>
      <x:c r="C588" s="193" t="n">
        <x:v>0.01</x:v>
      </x:c>
      <x:c r="D588" s="193"/>
      <x:c r="E588" s="185" t="n">
        <x:v>46252</x:v>
      </x:c>
      <x:c r="F588" s="27" t="n">
        <x:f t="shared" si="9"/>
        <x:v>4</x:v>
      </x:c>
      <x:c r="G588" s="27" t="str">
        <x:v>Country</x:v>
      </x:c>
      <x:c r="H588" s="27" t="str">
        <x:v>Member</x:v>
      </x:c>
      <x:c r="I588" s="30" t="str">
        <x:v>Regional</x:v>
      </x:c>
      <x:c r="J588" s="151" t="str">
        <x:v>No comparable voting measure in source</x:v>
      </x:c>
      <x:c r="K588" s="196"/>
      <x:c r="L588" s="196"/>
    </x:row>
    <x:row r="589">
      <x:c r="A589" s="31" t="str">
        <x:v>Turkmenistan</x:v>
      </x:c>
      <x:c r="B589" s="32" t="str">
        <x:v>isdb</x:v>
      </x:c>
      <x:c r="C589" s="194" t="n">
        <x:v>0.01</x:v>
      </x:c>
      <x:c r="D589" s="194"/>
      <x:c r="E589" s="186" t="n">
        <x:v>46252</x:v>
      </x:c>
      <x:c r="F589" s="32" t="n">
        <x:f t="shared" si="9"/>
        <x:v>5</x:v>
      </x:c>
      <x:c r="G589" s="32" t="str">
        <x:v>Country</x:v>
      </x:c>
      <x:c r="H589" s="32" t="str">
        <x:v>Member</x:v>
      </x:c>
      <x:c r="I589" s="35" t="str">
        <x:v>Regional</x:v>
      </x:c>
      <x:c r="J589" s="151" t="str">
        <x:v>No comparable voting measure in source</x:v>
      </x:c>
      <x:c r="K589" s="196"/>
      <x:c r="L589" s="196"/>
    </x:row>
    <x:row r="590">
      <x:c r="A590" s="26" t="str">
        <x:v>Guinea-Bissau</x:v>
      </x:c>
      <x:c r="B590" s="27" t="str">
        <x:v>isdb</x:v>
      </x:c>
      <x:c r="C590" s="193" t="n">
        <x:v>0.01</x:v>
      </x:c>
      <x:c r="D590" s="193"/>
      <x:c r="E590" s="185" t="n">
        <x:v>46252</x:v>
      </x:c>
      <x:c r="F590" s="27" t="n">
        <x:f t="shared" si="9"/>
        <x:v>4</x:v>
      </x:c>
      <x:c r="G590" s="27" t="str">
        <x:v>Country</x:v>
      </x:c>
      <x:c r="H590" s="27" t="str">
        <x:v>Member</x:v>
      </x:c>
      <x:c r="I590" s="30" t="str">
        <x:v>Regional</x:v>
      </x:c>
      <x:c r="J590" s="151" t="str">
        <x:v>No comparable voting measure in source</x:v>
      </x:c>
      <x:c r="K590" s="196"/>
      <x:c r="L590" s="196"/>
    </x:row>
    <x:row r="591">
      <x:c r="A591" s="31" t="str">
        <x:v>Somalia</x:v>
      </x:c>
      <x:c r="B591" s="32" t="str">
        <x:v>isdb</x:v>
      </x:c>
      <x:c r="C591" s="194" t="n">
        <x:v>0.01</x:v>
      </x:c>
      <x:c r="D591" s="194"/>
      <x:c r="E591" s="186" t="n">
        <x:v>46252</x:v>
      </x:c>
      <x:c r="F591" s="32" t="n">
        <x:f t="shared" si="9"/>
        <x:v>2</x:v>
      </x:c>
      <x:c r="G591" s="32" t="str">
        <x:v>Country</x:v>
      </x:c>
      <x:c r="H591" s="32" t="str">
        <x:v>Member</x:v>
      </x:c>
      <x:c r="I591" s="35" t="str">
        <x:v>Regional</x:v>
      </x:c>
      <x:c r="J591" s="151" t="str">
        <x:v>No comparable voting measure in source</x:v>
      </x:c>
      <x:c r="K591" s="196"/>
      <x:c r="L591" s="196"/>
    </x:row>
    <x:row r="592">
      <x:c r="A592" s="26" t="str">
        <x:v>Guyana</x:v>
      </x:c>
      <x:c r="B592" s="27" t="str">
        <x:v>isdb</x:v>
      </x:c>
      <x:c r="C592" s="193" t="n">
        <x:v>0</x:v>
      </x:c>
      <x:c r="D592" s="193"/>
      <x:c r="E592" s="185" t="n">
        <x:v>46252</x:v>
      </x:c>
      <x:c r="F592" s="27" t="n">
        <x:f t="shared" si="9"/>
        <x:v>5</x:v>
      </x:c>
      <x:c r="G592" s="27" t="str">
        <x:v>Country</x:v>
      </x:c>
      <x:c r="H592" s="27" t="str">
        <x:v>Member</x:v>
      </x:c>
      <x:c r="I592" s="30" t="str">
        <x:v>Regional</x:v>
      </x:c>
      <x:c r="J592" s="151" t="str">
        <x:v>No comparable voting measure in source</x:v>
      </x:c>
      <x:c r="K592" s="196"/>
      <x:c r="L592" s="196"/>
    </x:row>
    <x:row r="593">
      <x:c r="A593" s="31" t="str">
        <x:v>Brazil</x:v>
      </x:c>
      <x:c r="B593" s="32" t="str">
        <x:v>ndb</x:v>
      </x:c>
      <x:c r="C593" s="194" t="n">
        <x:v>18.76</x:v>
      </x:c>
      <x:c r="D593" s="194"/>
      <x:c r="E593" s="186" t="n">
        <x:v>46022</x:v>
      </x:c>
      <x:c r="F593" s="32" t="n">
        <x:f t="shared" si="9"/>
        <x:v>8</x:v>
      </x:c>
      <x:c r="G593" s="32" t="str">
        <x:v>Country</x:v>
      </x:c>
      <x:c r="H593" s="32" t="str">
        <x:v>Founding member</x:v>
      </x:c>
      <x:c r="I593" s="35" t="str">
        <x:v>Group</x:v>
      </x:c>
      <x:c r="J593" s="151" t="str">
        <x:v>No comparable voting measure in source</x:v>
      </x:c>
      <x:c r="K593" s="196"/>
      <x:c r="L593" s="196"/>
    </x:row>
    <x:row r="594">
      <x:c r="A594" s="26" t="str">
        <x:v>Russian Federation</x:v>
      </x:c>
      <x:c r="B594" s="27" t="str">
        <x:v>ndb</x:v>
      </x:c>
      <x:c r="C594" s="193" t="n">
        <x:v>18.76</x:v>
      </x:c>
      <x:c r="D594" s="193"/>
      <x:c r="E594" s="185" t="n">
        <x:v>46022</x:v>
      </x:c>
      <x:c r="F594" s="27" t="n">
        <x:f t="shared" si="9"/>
        <x:v>4</x:v>
      </x:c>
      <x:c r="G594" s="27" t="str">
        <x:v>Country</x:v>
      </x:c>
      <x:c r="H594" s="27" t="str">
        <x:v>Founding member</x:v>
      </x:c>
      <x:c r="I594" s="30" t="str">
        <x:v>Group</x:v>
      </x:c>
      <x:c r="J594" s="151" t="str">
        <x:v>No comparable voting measure in source</x:v>
      </x:c>
      <x:c r="K594" s="196"/>
      <x:c r="L594" s="196"/>
    </x:row>
    <x:row r="595">
      <x:c r="A595" s="31" t="str">
        <x:v>India</x:v>
      </x:c>
      <x:c r="B595" s="32" t="str">
        <x:v>ndb</x:v>
      </x:c>
      <x:c r="C595" s="194" t="n">
        <x:v>18.76</x:v>
      </x:c>
      <x:c r="D595" s="194"/>
      <x:c r="E595" s="186" t="n">
        <x:v>46022</x:v>
      </x:c>
      <x:c r="F595" s="32" t="n">
        <x:f t="shared" si="9"/>
        <x:v>7</x:v>
      </x:c>
      <x:c r="G595" s="32" t="str">
        <x:v>Country</x:v>
      </x:c>
      <x:c r="H595" s="32" t="str">
        <x:v>Founding member</x:v>
      </x:c>
      <x:c r="I595" s="35" t="str">
        <x:v>Group</x:v>
      </x:c>
      <x:c r="J595" s="151" t="str">
        <x:v>No comparable voting measure in source</x:v>
      </x:c>
      <x:c r="K595" s="196"/>
      <x:c r="L595" s="196"/>
    </x:row>
    <x:row r="596">
      <x:c r="A596" s="26" t="str">
        <x:v>China</x:v>
      </x:c>
      <x:c r="B596" s="27" t="str">
        <x:v>ndb</x:v>
      </x:c>
      <x:c r="C596" s="193" t="n">
        <x:v>18.76</x:v>
      </x:c>
      <x:c r="D596" s="193"/>
      <x:c r="E596" s="185" t="n">
        <x:v>46022</x:v>
      </x:c>
      <x:c r="F596" s="27" t="n">
        <x:f t="shared" si="9"/>
        <x:v>8</x:v>
      </x:c>
      <x:c r="G596" s="27" t="str">
        <x:v>Country</x:v>
      </x:c>
      <x:c r="H596" s="27" t="str">
        <x:v>Founding member</x:v>
      </x:c>
      <x:c r="I596" s="30" t="str">
        <x:v>Group</x:v>
      </x:c>
      <x:c r="J596" s="151" t="str">
        <x:v>No comparable voting measure in source</x:v>
      </x:c>
      <x:c r="K596" s="196"/>
      <x:c r="L596" s="196"/>
    </x:row>
    <x:row r="597">
      <x:c r="A597" s="31" t="str">
        <x:v>South Africa</x:v>
      </x:c>
      <x:c r="B597" s="32" t="str">
        <x:v>ndb</x:v>
      </x:c>
      <x:c r="C597" s="194" t="n">
        <x:v>18.76</x:v>
      </x:c>
      <x:c r="D597" s="194"/>
      <x:c r="E597" s="186" t="n">
        <x:v>46022</x:v>
      </x:c>
      <x:c r="F597" s="32" t="n">
        <x:f t="shared" si="9"/>
        <x:v>5</x:v>
      </x:c>
      <x:c r="G597" s="32" t="str">
        <x:v>Country</x:v>
      </x:c>
      <x:c r="H597" s="32" t="str">
        <x:v>Founding member</x:v>
      </x:c>
      <x:c r="I597" s="35" t="str">
        <x:v>Group</x:v>
      </x:c>
      <x:c r="J597" s="151" t="str">
        <x:v>No comparable voting measure in source</x:v>
      </x:c>
      <x:c r="K597" s="196"/>
      <x:c r="L597" s="196"/>
    </x:row>
    <x:row r="598">
      <x:c r="A598" s="26" t="str">
        <x:v>Algeria</x:v>
      </x:c>
      <x:c r="B598" s="27" t="str">
        <x:v>ndb</x:v>
      </x:c>
      <x:c r="C598" s="193" t="n">
        <x:v>1.15</x:v>
      </x:c>
      <x:c r="D598" s="193"/>
      <x:c r="E598" s="185" t="n">
        <x:v>46022</x:v>
      </x:c>
      <x:c r="F598" s="27" t="n">
        <x:f t="shared" si="9"/>
        <x:v>8</x:v>
      </x:c>
      <x:c r="G598" s="27" t="str">
        <x:v>Country</x:v>
      </x:c>
      <x:c r="H598" s="27" t="str">
        <x:v>New member</x:v>
      </x:c>
      <x:c r="I598" s="30" t="str">
        <x:v>Group</x:v>
      </x:c>
      <x:c r="J598" s="151" t="str">
        <x:v>No comparable voting measure in source</x:v>
      </x:c>
      <x:c r="K598" s="196"/>
      <x:c r="L598" s="196"/>
    </x:row>
    <x:row r="599">
      <x:c r="A599" s="31" t="str">
        <x:v>Bangladesh</x:v>
      </x:c>
      <x:c r="B599" s="32" t="str">
        <x:v>ndb</x:v>
      </x:c>
      <x:c r="C599" s="194" t="n">
        <x:v>1.77</x:v>
      </x:c>
      <x:c r="D599" s="194"/>
      <x:c r="E599" s="186" t="n">
        <x:v>46022</x:v>
      </x:c>
      <x:c r="F599" s="32" t="n">
        <x:f t="shared" si="9"/>
        <x:v>6</x:v>
      </x:c>
      <x:c r="G599" s="32" t="str">
        <x:v>Country</x:v>
      </x:c>
      <x:c r="H599" s="32" t="str">
        <x:v>New member</x:v>
      </x:c>
      <x:c r="I599" s="35" t="str">
        <x:v>Group</x:v>
      </x:c>
      <x:c r="J599" s="151" t="str">
        <x:v>No comparable voting measure in source</x:v>
      </x:c>
      <x:c r="K599" s="196"/>
      <x:c r="L599" s="196"/>
    </x:row>
    <x:row r="600">
      <x:c r="A600" s="26" t="str">
        <x:v>Egypt</x:v>
      </x:c>
      <x:c r="B600" s="27" t="str">
        <x:v>ndb</x:v>
      </x:c>
      <x:c r="C600" s="193" t="n">
        <x:v>2.24</x:v>
      </x:c>
      <x:c r="D600" s="193"/>
      <x:c r="E600" s="185" t="n">
        <x:v>46022</x:v>
      </x:c>
      <x:c r="F600" s="27" t="n">
        <x:f t="shared" si="9"/>
        <x:v>6</x:v>
      </x:c>
      <x:c r="G600" s="27" t="str">
        <x:v>Country</x:v>
      </x:c>
      <x:c r="H600" s="27" t="str">
        <x:v>New member</x:v>
      </x:c>
      <x:c r="I600" s="30" t="str">
        <x:v>Group</x:v>
      </x:c>
      <x:c r="J600" s="151" t="str">
        <x:v>No comparable voting measure in source</x:v>
      </x:c>
      <x:c r="K600" s="196"/>
      <x:c r="L600" s="196"/>
    </x:row>
    <x:row r="601">
      <x:c r="A601" s="31" t="str">
        <x:v>United Arab Emirates</x:v>
      </x:c>
      <x:c r="B601" s="32" t="str">
        <x:v>ndb</x:v>
      </x:c>
      <x:c r="C601" s="194" t="n">
        <x:v>1.04</x:v>
      </x:c>
      <x:c r="D601" s="194"/>
      <x:c r="E601" s="186" t="n">
        <x:v>46022</x:v>
      </x:c>
      <x:c r="F601" s="32" t="n">
        <x:f t="shared" si="9"/>
        <x:v>7</x:v>
      </x:c>
      <x:c r="G601" s="32" t="str">
        <x:v>Country</x:v>
      </x:c>
      <x:c r="H601" s="32" t="str">
        <x:v>New member</x:v>
      </x:c>
      <x:c r="I601" s="35" t="str">
        <x:v>Group</x:v>
      </x:c>
      <x:c r="J601" s="151" t="str">
        <x:v>No comparable voting measure in source</x:v>
      </x:c>
      <x:c r="K601" s="196"/>
      <x:c r="L601" s="196"/>
    </x:row>
    <x:row r="602">
      <x:c r="A602" s="26" t="str">
        <x:v>Germany</x:v>
      </x:c>
      <x:c r="B602" s="27" t="str">
        <x:v>eib</x:v>
      </x:c>
      <x:c r="C602" s="193" t="n">
        <x:v>18.779418871068536</x:v>
      </x:c>
      <x:c r="D602" s="193"/>
      <x:c r="E602" s="185" t="n">
        <x:v>45291</x:v>
      </x:c>
      <x:c r="F602" s="27" t="n">
        <x:f t="shared" si="9"/>
        <x:v>9</x:v>
      </x:c>
      <x:c r="G602" s="27" t="str">
        <x:v>Country</x:v>
      </x:c>
      <x:c r="H602" s="27" t="str">
        <x:v>EU member state</x:v>
      </x:c>
      <x:c r="I602" s="30" t="str">
        <x:v>Group</x:v>
      </x:c>
      <x:c r="J602" s="151" t="str">
        <x:v>No comparable voting measure in source</x:v>
      </x:c>
      <x:c r="K602" s="196"/>
      <x:c r="L602" s="196"/>
    </x:row>
    <x:row r="603">
      <x:c r="A603" s="31" t="str">
        <x:v>France</x:v>
      </x:c>
      <x:c r="B603" s="32" t="str">
        <x:v>eib</x:v>
      </x:c>
      <x:c r="C603" s="194" t="n">
        <x:v>18.779418871068536</x:v>
      </x:c>
      <x:c r="D603" s="194"/>
      <x:c r="E603" s="186" t="n">
        <x:v>45291</x:v>
      </x:c>
      <x:c r="F603" s="32" t="n">
        <x:f t="shared" si="9"/>
        <x:v>8</x:v>
      </x:c>
      <x:c r="G603" s="32" t="str">
        <x:v>Country</x:v>
      </x:c>
      <x:c r="H603" s="32" t="str">
        <x:v>EU member state</x:v>
      </x:c>
      <x:c r="I603" s="35" t="str">
        <x:v>Group</x:v>
      </x:c>
      <x:c r="J603" s="151" t="str">
        <x:v>No comparable voting measure in source</x:v>
      </x:c>
      <x:c r="K603" s="196"/>
      <x:c r="L603" s="196"/>
    </x:row>
    <x:row r="604">
      <x:c r="A604" s="26" t="str">
        <x:v>Italy</x:v>
      </x:c>
      <x:c r="B604" s="27" t="str">
        <x:v>eib</x:v>
      </x:c>
      <x:c r="C604" s="193" t="n">
        <x:v>18.779418871068536</x:v>
      </x:c>
      <x:c r="D604" s="193"/>
      <x:c r="E604" s="185" t="n">
        <x:v>45291</x:v>
      </x:c>
      <x:c r="F604" s="27" t="n">
        <x:f t="shared" si="9"/>
        <x:v>9</x:v>
      </x:c>
      <x:c r="G604" s="27" t="str">
        <x:v>Country</x:v>
      </x:c>
      <x:c r="H604" s="27" t="str">
        <x:v>EU member state</x:v>
      </x:c>
      <x:c r="I604" s="30" t="str">
        <x:v>Group</x:v>
      </x:c>
      <x:c r="J604" s="151" t="str">
        <x:v>No comparable voting measure in source</x:v>
      </x:c>
      <x:c r="K604" s="196"/>
      <x:c r="L604" s="196"/>
    </x:row>
    <x:row r="605">
      <x:c r="A605" s="31" t="str">
        <x:v>Spain</x:v>
      </x:c>
      <x:c r="B605" s="32" t="str">
        <x:v>eib</x:v>
      </x:c>
      <x:c r="C605" s="194" t="n">
        <x:v>11.267651466373563</x:v>
      </x:c>
      <x:c r="D605" s="194"/>
      <x:c r="E605" s="186" t="n">
        <x:v>45291</x:v>
      </x:c>
      <x:c r="F605" s="32" t="n">
        <x:f t="shared" si="9"/>
        <x:v>10</x:v>
      </x:c>
      <x:c r="G605" s="32" t="str">
        <x:v>Country</x:v>
      </x:c>
      <x:c r="H605" s="32" t="str">
        <x:v>EU member state</x:v>
      </x:c>
      <x:c r="I605" s="35" t="str">
        <x:v>Group</x:v>
      </x:c>
      <x:c r="J605" s="151" t="str">
        <x:v>No comparable voting measure in source</x:v>
      </x:c>
      <x:c r="K605" s="196"/>
      <x:c r="L605" s="196"/>
    </x:row>
    <x:row r="606">
      <x:c r="A606" s="26" t="str">
        <x:v>Belgium</x:v>
      </x:c>
      <x:c r="B606" s="27" t="str">
        <x:v>eib</x:v>
      </x:c>
      <x:c r="C606" s="193" t="n">
        <x:v>5.205524301397562</x:v>
      </x:c>
      <x:c r="D606" s="193"/>
      <x:c r="E606" s="185" t="n">
        <x:v>45291</x:v>
      </x:c>
      <x:c r="F606" s="27" t="n">
        <x:f t="shared" si="9"/>
        <x:v>8</x:v>
      </x:c>
      <x:c r="G606" s="27" t="str">
        <x:v>Country</x:v>
      </x:c>
      <x:c r="H606" s="27" t="str">
        <x:v>EU member state</x:v>
      </x:c>
      <x:c r="I606" s="30" t="str">
        <x:v>Group</x:v>
      </x:c>
      <x:c r="J606" s="151" t="str">
        <x:v>No comparable voting measure in source</x:v>
      </x:c>
      <x:c r="K606" s="196"/>
      <x:c r="L606" s="196"/>
    </x:row>
    <x:row r="607">
      <x:c r="A607" s="31" t="str">
        <x:v>Netherlands</x:v>
      </x:c>
      <x:c r="B607" s="32" t="str">
        <x:v>eib</x:v>
      </x:c>
      <x:c r="C607" s="194" t="n">
        <x:v>5.205524301397562</x:v>
      </x:c>
      <x:c r="D607" s="194"/>
      <x:c r="E607" s="186" t="n">
        <x:v>45291</x:v>
      </x:c>
      <x:c r="F607" s="32" t="n">
        <x:f t="shared" si="9"/>
        <x:v>8</x:v>
      </x:c>
      <x:c r="G607" s="32" t="str">
        <x:v>Country</x:v>
      </x:c>
      <x:c r="H607" s="32" t="str">
        <x:v>EU member state</x:v>
      </x:c>
      <x:c r="I607" s="35" t="str">
        <x:v>Group</x:v>
      </x:c>
      <x:c r="J607" s="151" t="str">
        <x:v>No comparable voting measure in source</x:v>
      </x:c>
      <x:c r="K607" s="196"/>
      <x:c r="L607" s="196"/>
    </x:row>
    <x:row r="608">
      <x:c r="A608" s="26" t="str">
        <x:v>Poland</x:v>
      </x:c>
      <x:c r="B608" s="27" t="str">
        <x:v>eib</x:v>
      </x:c>
      <x:c r="C608" s="193" t="n">
        <x:v>4.568681886909977</x:v>
      </x:c>
      <x:c r="D608" s="193"/>
      <x:c r="E608" s="185" t="n">
        <x:v>45291</x:v>
      </x:c>
      <x:c r="F608" s="27" t="n">
        <x:f t="shared" si="9"/>
        <x:v>5</x:v>
      </x:c>
      <x:c r="G608" s="27" t="str">
        <x:v>Country</x:v>
      </x:c>
      <x:c r="H608" s="27" t="str">
        <x:v>EU member state</x:v>
      </x:c>
      <x:c r="I608" s="30" t="str">
        <x:v>Group</x:v>
      </x:c>
      <x:c r="J608" s="151" t="str">
        <x:v>No comparable voting measure in source</x:v>
      </x:c>
      <x:c r="K608" s="196"/>
      <x:c r="L608" s="196"/>
    </x:row>
    <x:row r="609">
      <x:c r="A609" s="31" t="str">
        <x:v>Sweden</x:v>
      </x:c>
      <x:c r="B609" s="32" t="str">
        <x:v>eib</x:v>
      </x:c>
      <x:c r="C609" s="194" t="n">
        <x:v>3.453349446443195</x:v>
      </x:c>
      <x:c r="D609" s="194"/>
      <x:c r="E609" s="186" t="n">
        <x:v>45291</x:v>
      </x:c>
      <x:c r="F609" s="32" t="n">
        <x:f t="shared" si="9"/>
        <x:v>8</x:v>
      </x:c>
      <x:c r="G609" s="32" t="str">
        <x:v>Country</x:v>
      </x:c>
      <x:c r="H609" s="32" t="str">
        <x:v>EU member state</x:v>
      </x:c>
      <x:c r="I609" s="35" t="str">
        <x:v>Group</x:v>
      </x:c>
      <x:c r="J609" s="151" t="str">
        <x:v>No comparable voting measure in source</x:v>
      </x:c>
      <x:c r="K609" s="196"/>
      <x:c r="L609" s="196"/>
    </x:row>
    <x:row r="610">
      <x:c r="A610" s="26" t="str">
        <x:v>Denmark</x:v>
      </x:c>
      <x:c r="B610" s="27" t="str">
        <x:v>eib</x:v>
      </x:c>
      <x:c r="C610" s="193" t="n">
        <x:v>2.6357063692593616</x:v>
      </x:c>
      <x:c r="D610" s="193"/>
      <x:c r="E610" s="185" t="n">
        <x:v>45291</x:v>
      </x:c>
      <x:c r="F610" s="27" t="n">
        <x:f t="shared" si="9"/>
        <x:v>8</x:v>
      </x:c>
      <x:c r="G610" s="27" t="str">
        <x:v>Country</x:v>
      </x:c>
      <x:c r="H610" s="27" t="str">
        <x:v>EU member state</x:v>
      </x:c>
      <x:c r="I610" s="30" t="str">
        <x:v>Group</x:v>
      </x:c>
      <x:c r="J610" s="151" t="str">
        <x:v>No comparable voting measure in source</x:v>
      </x:c>
      <x:c r="K610" s="196"/>
      <x:c r="L610" s="196"/>
    </x:row>
    <x:row r="611">
      <x:c r="A611" s="31" t="str">
        <x:v>Austria</x:v>
      </x:c>
      <x:c r="B611" s="32" t="str">
        <x:v>eib</x:v>
      </x:c>
      <x:c r="C611" s="194" t="n">
        <x:v>2.584046586109945</x:v>
      </x:c>
      <x:c r="D611" s="194"/>
      <x:c r="E611" s="186" t="n">
        <x:v>45291</x:v>
      </x:c>
      <x:c r="F611" s="32" t="n">
        <x:f t="shared" si="9"/>
        <x:v>8</x:v>
      </x:c>
      <x:c r="G611" s="32" t="str">
        <x:v>Country</x:v>
      </x:c>
      <x:c r="H611" s="32" t="str">
        <x:v>EU member state</x:v>
      </x:c>
      <x:c r="I611" s="35" t="str">
        <x:v>Group</x:v>
      </x:c>
      <x:c r="J611" s="151" t="str">
        <x:v>No comparable voting measure in source</x:v>
      </x:c>
      <x:c r="K611" s="196"/>
      <x:c r="L611" s="196"/>
    </x:row>
    <x:row r="612">
      <x:c r="A612" s="26" t="str">
        <x:v>Finland</x:v>
      </x:c>
      <x:c r="B612" s="27" t="str">
        <x:v>eib</x:v>
      </x:c>
      <x:c r="C612" s="193" t="n">
        <x:v>1.4846333278572372</x:v>
      </x:c>
      <x:c r="D612" s="193"/>
      <x:c r="E612" s="185" t="n">
        <x:v>45291</x:v>
      </x:c>
      <x:c r="F612" s="27" t="n">
        <x:f t="shared" si="9"/>
        <x:v>8</x:v>
      </x:c>
      <x:c r="G612" s="27" t="str">
        <x:v>Country</x:v>
      </x:c>
      <x:c r="H612" s="27" t="str">
        <x:v>EU member state</x:v>
      </x:c>
      <x:c r="I612" s="30" t="str">
        <x:v>Group</x:v>
      </x:c>
      <x:c r="J612" s="151" t="str">
        <x:v>No comparable voting measure in source</x:v>
      </x:c>
      <x:c r="K612" s="196"/>
      <x:c r="L612" s="196"/>
    </x:row>
    <x:row r="613">
      <x:c r="A613" s="31" t="str">
        <x:v>Greece</x:v>
      </x:c>
      <x:c r="B613" s="32" t="str">
        <x:v>eib</x:v>
      </x:c>
      <x:c r="C613" s="194" t="n">
        <x:v>1.4119870350766541</x:v>
      </x:c>
      <x:c r="D613" s="194"/>
      <x:c r="E613" s="186" t="n">
        <x:v>45291</x:v>
      </x:c>
      <x:c r="F613" s="32" t="n">
        <x:f t="shared" si="9"/>
        <x:v>5</x:v>
      </x:c>
      <x:c r="G613" s="32" t="str">
        <x:v>Country</x:v>
      </x:c>
      <x:c r="H613" s="32" t="str">
        <x:v>EU member state</x:v>
      </x:c>
      <x:c r="I613" s="35" t="str">
        <x:v>Group</x:v>
      </x:c>
      <x:c r="J613" s="151" t="str">
        <x:v>No comparable voting measure in source</x:v>
      </x:c>
      <x:c r="K613" s="196"/>
      <x:c r="L613" s="196"/>
    </x:row>
    <x:row r="614">
      <x:c r="A614" s="26" t="str">
        <x:v>Portugal</x:v>
      </x:c>
      <x:c r="B614" s="27" t="str">
        <x:v>eib</x:v>
      </x:c>
      <x:c r="C614" s="193" t="n">
        <x:v>0.9099453424363859</x:v>
      </x:c>
      <x:c r="D614" s="193"/>
      <x:c r="E614" s="185" t="n">
        <x:v>45291</x:v>
      </x:c>
      <x:c r="F614" s="27" t="n">
        <x:f t="shared" si="9"/>
        <x:v>9</x:v>
      </x:c>
      <x:c r="G614" s="27" t="str">
        <x:v>Country</x:v>
      </x:c>
      <x:c r="H614" s="27" t="str">
        <x:v>EU member state</x:v>
      </x:c>
      <x:c r="I614" s="30" t="str">
        <x:v>Group</x:v>
      </x:c>
      <x:c r="J614" s="151" t="str">
        <x:v>No comparable voting measure in source</x:v>
      </x:c>
      <x:c r="K614" s="196"/>
      <x:c r="L614" s="196"/>
    </x:row>
    <x:row r="615">
      <x:c r="A615" s="31" t="str">
        <x:v>Czech Republic</x:v>
      </x:c>
      <x:c r="B615" s="32" t="str">
        <x:v>eib</x:v>
      </x:c>
      <x:c r="C615" s="194" t="n">
        <x:v>0.8870423218749116</x:v>
      </x:c>
      <x:c r="D615" s="194"/>
      <x:c r="E615" s="186" t="n">
        <x:v>45291</x:v>
      </x:c>
      <x:c r="F615" s="32" t="n">
        <x:f t="shared" si="9"/>
        <x:v>1</x:v>
      </x:c>
      <x:c r="G615" s="32" t="str">
        <x:v>Country</x:v>
      </x:c>
      <x:c r="H615" s="32" t="str">
        <x:v>EU member state</x:v>
      </x:c>
      <x:c r="I615" s="35" t="str">
        <x:v>Group</x:v>
      </x:c>
      <x:c r="J615" s="151" t="str">
        <x:v>No comparable voting measure in source</x:v>
      </x:c>
      <x:c r="K615" s="196"/>
      <x:c r="L615" s="196"/>
    </x:row>
    <x:row r="616">
      <x:c r="A616" s="26" t="str">
        <x:v>Hungary</x:v>
      </x:c>
      <x:c r="B616" s="27" t="str">
        <x:v>eib</x:v>
      </x:c>
      <x:c r="C616" s="193" t="n">
        <x:v>0.8391825005168307</x:v>
      </x:c>
      <x:c r="D616" s="193"/>
      <x:c r="E616" s="185" t="n">
        <x:v>45291</x:v>
      </x:c>
      <x:c r="F616" s="27" t="n">
        <x:f t="shared" si="9"/>
        <x:v>5</x:v>
      </x:c>
      <x:c r="G616" s="27" t="str">
        <x:v>Country</x:v>
      </x:c>
      <x:c r="H616" s="27" t="str">
        <x:v>EU member state</x:v>
      </x:c>
      <x:c r="I616" s="30" t="str">
        <x:v>Group</x:v>
      </x:c>
      <x:c r="J616" s="151" t="str">
        <x:v>No comparable voting measure in source</x:v>
      </x:c>
      <x:c r="K616" s="196"/>
      <x:c r="L616" s="196"/>
    </x:row>
    <x:row r="617">
      <x:c r="A617" s="31" t="str">
        <x:v>Ireland</x:v>
      </x:c>
      <x:c r="B617" s="32" t="str">
        <x:v>eib</x:v>
      </x:c>
      <x:c r="C617" s="194" t="n">
        <x:v>0.6589260532177009</x:v>
      </x:c>
      <x:c r="D617" s="194"/>
      <x:c r="E617" s="186" t="n">
        <x:v>45291</x:v>
      </x:c>
      <x:c r="F617" s="32" t="n">
        <x:f t="shared" si="9"/>
        <x:v>7</x:v>
      </x:c>
      <x:c r="G617" s="32" t="str">
        <x:v>Country</x:v>
      </x:c>
      <x:c r="H617" s="32" t="str">
        <x:v>EU member state</x:v>
      </x:c>
      <x:c r="I617" s="35" t="str">
        <x:v>Group</x:v>
      </x:c>
      <x:c r="J617" s="151" t="str">
        <x:v>No comparable voting measure in source</x:v>
      </x:c>
      <x:c r="K617" s="196"/>
      <x:c r="L617" s="196"/>
    </x:row>
    <x:row r="618">
      <x:c r="A618" s="26" t="str">
        <x:v>Romania</x:v>
      </x:c>
      <x:c r="B618" s="27" t="str">
        <x:v>eib</x:v>
      </x:c>
      <x:c r="C618" s="193" t="n">
        <x:v>0.6589260532177009</x:v>
      </x:c>
      <x:c r="D618" s="193"/>
      <x:c r="E618" s="185" t="n">
        <x:v>45291</x:v>
      </x:c>
      <x:c r="F618" s="27" t="n">
        <x:f t="shared" si="9"/>
        <x:v>5</x:v>
      </x:c>
      <x:c r="G618" s="27" t="str">
        <x:v>Country</x:v>
      </x:c>
      <x:c r="H618" s="27" t="str">
        <x:v>EU member state</x:v>
      </x:c>
      <x:c r="I618" s="30" t="str">
        <x:v>Group</x:v>
      </x:c>
      <x:c r="J618" s="151" t="str">
        <x:v>No comparable voting measure in source</x:v>
      </x:c>
      <x:c r="K618" s="196"/>
      <x:c r="L618" s="196"/>
    </x:row>
    <x:row r="619">
      <x:c r="A619" s="31" t="str">
        <x:v>Croatia</x:v>
      </x:c>
      <x:c r="B619" s="32" t="str">
        <x:v>eib</x:v>
      </x:c>
      <x:c r="C619" s="194" t="n">
        <x:v>0.42698203369326715</x:v>
      </x:c>
      <x:c r="D619" s="194"/>
      <x:c r="E619" s="186" t="n">
        <x:v>45291</x:v>
      </x:c>
      <x:c r="F619" s="32" t="n">
        <x:f t="shared" si="9"/>
        <x:v>6</x:v>
      </x:c>
      <x:c r="G619" s="32" t="str">
        <x:v>Country</x:v>
      </x:c>
      <x:c r="H619" s="32" t="str">
        <x:v>EU member state</x:v>
      </x:c>
      <x:c r="I619" s="35" t="str">
        <x:v>Group</x:v>
      </x:c>
      <x:c r="J619" s="151" t="str">
        <x:v>No comparable voting measure in source</x:v>
      </x:c>
      <x:c r="K619" s="196"/>
      <x:c r="L619" s="196"/>
    </x:row>
    <x:row r="620">
      <x:c r="A620" s="26" t="str">
        <x:v>Slovakia</x:v>
      </x:c>
      <x:c r="B620" s="27" t="str">
        <x:v>eib</x:v>
      </x:c>
      <x:c r="C620" s="193" t="n">
        <x:v>0.3019491213762948</x:v>
      </x:c>
      <x:c r="D620" s="193"/>
      <x:c r="E620" s="185" t="n">
        <x:v>45291</x:v>
      </x:c>
      <x:c r="F620" s="27" t="n">
        <x:f t="shared" si="9"/>
        <x:v>1</x:v>
      </x:c>
      <x:c r="G620" s="27" t="str">
        <x:v>Country</x:v>
      </x:c>
      <x:c r="H620" s="27" t="str">
        <x:v>EU member state</x:v>
      </x:c>
      <x:c r="I620" s="30" t="str">
        <x:v>Group</x:v>
      </x:c>
      <x:c r="J620" s="151" t="str">
        <x:v>No comparable voting measure in source</x:v>
      </x:c>
      <x:c r="K620" s="196"/>
      <x:c r="L620" s="196"/>
    </x:row>
    <x:row r="621">
      <x:c r="A621" s="31" t="str">
        <x:v>Slovenia</x:v>
      </x:c>
      <x:c r="B621" s="32" t="str">
        <x:v>eib</x:v>
      </x:c>
      <x:c r="C621" s="194" t="n">
        <x:v>0.2803325584175591</x:v>
      </x:c>
      <x:c r="D621" s="194"/>
      <x:c r="E621" s="186" t="n">
        <x:v>45291</x:v>
      </x:c>
      <x:c r="F621" s="32" t="n">
        <x:f t="shared" si="9"/>
        <x:v>5</x:v>
      </x:c>
      <x:c r="G621" s="32" t="str">
        <x:v>Country</x:v>
      </x:c>
      <x:c r="H621" s="32" t="str">
        <x:v>EU member state</x:v>
      </x:c>
      <x:c r="I621" s="35" t="str">
        <x:v>Group</x:v>
      </x:c>
      <x:c r="J621" s="151" t="str">
        <x:v>No comparable voting measure in source</x:v>
      </x:c>
      <x:c r="K621" s="196"/>
      <x:c r="L621" s="196"/>
    </x:row>
    <x:row r="622">
      <x:c r="A622" s="26" t="str">
        <x:v>Bulgaria</x:v>
      </x:c>
      <x:c r="B622" s="27" t="str">
        <x:v>eib</x:v>
      </x:c>
      <x:c r="C622" s="193" t="n">
        <x:v>0.2050041089527577</x:v>
      </x:c>
      <x:c r="D622" s="193"/>
      <x:c r="E622" s="185" t="n">
        <x:v>45291</x:v>
      </x:c>
      <x:c r="F622" s="27" t="n">
        <x:f t="shared" si="9"/>
        <x:v>4</x:v>
      </x:c>
      <x:c r="G622" s="27" t="str">
        <x:v>Country</x:v>
      </x:c>
      <x:c r="H622" s="27" t="str">
        <x:v>EU member state</x:v>
      </x:c>
      <x:c r="I622" s="30" t="str">
        <x:v>Group</x:v>
      </x:c>
      <x:c r="J622" s="151" t="str">
        <x:v>No comparable voting measure in source</x:v>
      </x:c>
      <x:c r="K622" s="196"/>
      <x:c r="L622" s="196"/>
    </x:row>
    <x:row r="623">
      <x:c r="A623" s="31" t="str">
        <x:v>Lithuania</x:v>
      </x:c>
      <x:c r="B623" s="32" t="str">
        <x:v>eib</x:v>
      </x:c>
      <x:c r="C623" s="194" t="n">
        <x:v>0.17590069755906976</x:v>
      </x:c>
      <x:c r="D623" s="194"/>
      <x:c r="E623" s="186" t="n">
        <x:v>45291</x:v>
      </x:c>
      <x:c r="F623" s="32" t="n">
        <x:f t="shared" si="9"/>
        <x:v>4</x:v>
      </x:c>
      <x:c r="G623" s="32" t="str">
        <x:v>Country</x:v>
      </x:c>
      <x:c r="H623" s="32" t="str">
        <x:v>EU member state</x:v>
      </x:c>
      <x:c r="I623" s="35" t="str">
        <x:v>Group</x:v>
      </x:c>
      <x:c r="J623" s="151" t="str">
        <x:v>No comparable voting measure in source</x:v>
      </x:c>
      <x:c r="K623" s="196"/>
      <x:c r="L623" s="196"/>
    </x:row>
    <x:row r="624">
      <x:c r="A624" s="26" t="str">
        <x:v>Luxembourg</x:v>
      </x:c>
      <x:c r="B624" s="27" t="str">
        <x:v>eib</x:v>
      </x:c>
      <x:c r="C624" s="193" t="n">
        <x:v>0.13178621685101763</x:v>
      </x:c>
      <x:c r="D624" s="193"/>
      <x:c r="E624" s="185" t="n">
        <x:v>45291</x:v>
      </x:c>
      <x:c r="F624" s="27" t="n">
        <x:f t="shared" si="9"/>
        <x:v>7</x:v>
      </x:c>
      <x:c r="G624" s="27" t="str">
        <x:v>Country</x:v>
      </x:c>
      <x:c r="H624" s="27" t="str">
        <x:v>EU member state</x:v>
      </x:c>
      <x:c r="I624" s="30" t="str">
        <x:v>Group</x:v>
      </x:c>
      <x:c r="J624" s="151" t="str">
        <x:v>No comparable voting measure in source</x:v>
      </x:c>
      <x:c r="K624" s="196"/>
      <x:c r="L624" s="196"/>
    </x:row>
    <x:row r="625">
      <x:c r="A625" s="31" t="str">
        <x:v>Cyprus</x:v>
      </x:c>
      <x:c r="B625" s="32" t="str">
        <x:v>eib</x:v>
      </x:c>
      <x:c r="C625" s="194" t="n">
        <x:v>0.12922575885906964</x:v>
      </x:c>
      <x:c r="D625" s="194"/>
      <x:c r="E625" s="186" t="n">
        <x:v>45291</x:v>
      </x:c>
      <x:c r="F625" s="32" t="n">
        <x:f t="shared" si="9"/>
        <x:v>5</x:v>
      </x:c>
      <x:c r="G625" s="32" t="str">
        <x:v>Country</x:v>
      </x:c>
      <x:c r="H625" s="32" t="str">
        <x:v>EU member state</x:v>
      </x:c>
      <x:c r="I625" s="35" t="str">
        <x:v>Group</x:v>
      </x:c>
      <x:c r="J625" s="151" t="str">
        <x:v>No comparable voting measure in source</x:v>
      </x:c>
      <x:c r="K625" s="196"/>
      <x:c r="L625" s="196"/>
    </x:row>
    <x:row r="626">
      <x:c r="A626" s="26" t="str">
        <x:v>Latvia</x:v>
      </x:c>
      <x:c r="B626" s="27" t="str">
        <x:v>eib</x:v>
      </x:c>
      <x:c r="C626" s="193" t="n">
        <x:v>0.10734759240654264</x:v>
      </x:c>
      <x:c r="D626" s="193"/>
      <x:c r="E626" s="185" t="n">
        <x:v>45291</x:v>
      </x:c>
      <x:c r="F626" s="27" t="n">
        <x:f t="shared" si="9"/>
        <x:v>4</x:v>
      </x:c>
      <x:c r="G626" s="27" t="str">
        <x:v>Country</x:v>
      </x:c>
      <x:c r="H626" s="27" t="str">
        <x:v>EU member state</x:v>
      </x:c>
      <x:c r="I626" s="30" t="str">
        <x:v>Group</x:v>
      </x:c>
      <x:c r="J626" s="151" t="str">
        <x:v>No comparable voting measure in source</x:v>
      </x:c>
      <x:c r="K626" s="196"/>
      <x:c r="L626" s="196"/>
    </x:row>
    <x:row r="627">
      <x:c r="A627" s="31" t="str">
        <x:v>Estonia</x:v>
      </x:c>
      <x:c r="B627" s="32" t="str">
        <x:v>eib</x:v>
      </x:c>
      <x:c r="C627" s="194" t="n">
        <x:v>0.08289866633322404</x:v>
      </x:c>
      <x:c r="D627" s="194"/>
      <x:c r="E627" s="186" t="n">
        <x:v>45291</x:v>
      </x:c>
      <x:c r="F627" s="32" t="n">
        <x:f t="shared" si="9"/>
        <x:v>4</x:v>
      </x:c>
      <x:c r="G627" s="32" t="str">
        <x:v>Country</x:v>
      </x:c>
      <x:c r="H627" s="32" t="str">
        <x:v>EU member state</x:v>
      </x:c>
      <x:c r="I627" s="35" t="str">
        <x:v>Group</x:v>
      </x:c>
      <x:c r="J627" s="151" t="str">
        <x:v>No comparable voting measure in source</x:v>
      </x:c>
      <x:c r="K627" s="196"/>
      <x:c r="L627" s="196"/>
    </x:row>
    <x:row r="628">
      <x:c r="A628" s="26" t="str">
        <x:v>Malta</x:v>
      </x:c>
      <x:c r="B628" s="27" t="str">
        <x:v>eib</x:v>
      </x:c>
      <x:c r="C628" s="193" t="n">
        <x:v>0.0491896402570065</x:v>
      </x:c>
      <x:c r="D628" s="193"/>
      <x:c r="E628" s="185" t="n">
        <x:v>45291</x:v>
      </x:c>
      <x:c r="F628" s="27" t="n">
        <x:f t="shared" si="9"/>
        <x:v>5</x:v>
      </x:c>
      <x:c r="G628" s="27" t="str">
        <x:v>Country</x:v>
      </x:c>
      <x:c r="H628" s="27" t="str">
        <x:v>EU member state</x:v>
      </x:c>
      <x:c r="I628" s="30" t="str">
        <x:v>Group</x:v>
      </x:c>
      <x:c r="J628" s="151" t="str">
        <x:v>No comparable voting measure in source</x:v>
      </x:c>
      <x:c r="K628" s="196"/>
      <x:c r="L628" s="196"/>
    </x:row>
    <x:row r="629">
      <x:c r="A629" s="31" t="str">
        <x:v>Germany</x:v>
      </x:c>
      <x:c r="B629" s="32" t="str">
        <x:v>eib</x:v>
      </x:c>
      <x:c r="C629" s="194" t="n">
        <x:v>18.779418871068536</x:v>
      </x:c>
      <x:c r="D629" s="194"/>
      <x:c r="E629" s="186" t="n">
        <x:v>45657</x:v>
      </x:c>
      <x:c r="F629" s="32" t="n">
        <x:f t="shared" si="9"/>
        <x:v>9</x:v>
      </x:c>
      <x:c r="G629" s="32" t="str">
        <x:v>Country</x:v>
      </x:c>
      <x:c r="H629" s="32" t="str">
        <x:v>EU member state</x:v>
      </x:c>
      <x:c r="I629" s="35" t="str">
        <x:v>Group</x:v>
      </x:c>
      <x:c r="J629" s="151" t="str">
        <x:v>No comparable voting measure in source</x:v>
      </x:c>
      <x:c r="K629" s="196"/>
      <x:c r="L629" s="196"/>
    </x:row>
    <x:row r="630">
      <x:c r="A630" s="26" t="str">
        <x:v>France</x:v>
      </x:c>
      <x:c r="B630" s="27" t="str">
        <x:v>eib</x:v>
      </x:c>
      <x:c r="C630" s="193" t="n">
        <x:v>18.779418871068536</x:v>
      </x:c>
      <x:c r="D630" s="193"/>
      <x:c r="E630" s="185" t="n">
        <x:v>45657</x:v>
      </x:c>
      <x:c r="F630" s="27" t="n">
        <x:f t="shared" si="9"/>
        <x:v>8</x:v>
      </x:c>
      <x:c r="G630" s="27" t="str">
        <x:v>Country</x:v>
      </x:c>
      <x:c r="H630" s="27" t="str">
        <x:v>EU member state</x:v>
      </x:c>
      <x:c r="I630" s="30" t="str">
        <x:v>Group</x:v>
      </x:c>
      <x:c r="J630" s="151" t="str">
        <x:v>No comparable voting measure in source</x:v>
      </x:c>
      <x:c r="K630" s="196"/>
      <x:c r="L630" s="196"/>
    </x:row>
    <x:row r="631">
      <x:c r="A631" s="31" t="str">
        <x:v>Italy</x:v>
      </x:c>
      <x:c r="B631" s="32" t="str">
        <x:v>eib</x:v>
      </x:c>
      <x:c r="C631" s="194" t="n">
        <x:v>18.779418871068536</x:v>
      </x:c>
      <x:c r="D631" s="194"/>
      <x:c r="E631" s="186" t="n">
        <x:v>45657</x:v>
      </x:c>
      <x:c r="F631" s="32" t="n">
        <x:f t="shared" si="9"/>
        <x:v>9</x:v>
      </x:c>
      <x:c r="G631" s="32" t="str">
        <x:v>Country</x:v>
      </x:c>
      <x:c r="H631" s="32" t="str">
        <x:v>EU member state</x:v>
      </x:c>
      <x:c r="I631" s="35" t="str">
        <x:v>Group</x:v>
      </x:c>
      <x:c r="J631" s="151" t="str">
        <x:v>No comparable voting measure in source</x:v>
      </x:c>
      <x:c r="K631" s="196"/>
      <x:c r="L631" s="196"/>
    </x:row>
    <x:row r="632">
      <x:c r="A632" s="26" t="str">
        <x:v>Spain</x:v>
      </x:c>
      <x:c r="B632" s="27" t="str">
        <x:v>eib</x:v>
      </x:c>
      <x:c r="C632" s="193" t="n">
        <x:v>11.267651466373563</x:v>
      </x:c>
      <x:c r="D632" s="193"/>
      <x:c r="E632" s="185" t="n">
        <x:v>45657</x:v>
      </x:c>
      <x:c r="F632" s="27" t="n">
        <x:f t="shared" si="9"/>
        <x:v>10</x:v>
      </x:c>
      <x:c r="G632" s="27" t="str">
        <x:v>Country</x:v>
      </x:c>
      <x:c r="H632" s="27" t="str">
        <x:v>EU member state</x:v>
      </x:c>
      <x:c r="I632" s="30" t="str">
        <x:v>Group</x:v>
      </x:c>
      <x:c r="J632" s="151" t="str">
        <x:v>No comparable voting measure in source</x:v>
      </x:c>
      <x:c r="K632" s="196"/>
      <x:c r="L632" s="196"/>
    </x:row>
    <x:row r="633">
      <x:c r="A633" s="31" t="str">
        <x:v>Belgium</x:v>
      </x:c>
      <x:c r="B633" s="32" t="str">
        <x:v>eib</x:v>
      </x:c>
      <x:c r="C633" s="194" t="n">
        <x:v>5.205524301397562</x:v>
      </x:c>
      <x:c r="D633" s="194"/>
      <x:c r="E633" s="186" t="n">
        <x:v>45657</x:v>
      </x:c>
      <x:c r="F633" s="32" t="n">
        <x:f t="shared" si="9"/>
        <x:v>8</x:v>
      </x:c>
      <x:c r="G633" s="32" t="str">
        <x:v>Country</x:v>
      </x:c>
      <x:c r="H633" s="32" t="str">
        <x:v>EU member state</x:v>
      </x:c>
      <x:c r="I633" s="35" t="str">
        <x:v>Group</x:v>
      </x:c>
      <x:c r="J633" s="151" t="str">
        <x:v>No comparable voting measure in source</x:v>
      </x:c>
      <x:c r="K633" s="196"/>
      <x:c r="L633" s="196"/>
    </x:row>
    <x:row r="634">
      <x:c r="A634" s="26" t="str">
        <x:v>Netherlands</x:v>
      </x:c>
      <x:c r="B634" s="27" t="str">
        <x:v>eib</x:v>
      </x:c>
      <x:c r="C634" s="193" t="n">
        <x:v>5.205524301397562</x:v>
      </x:c>
      <x:c r="D634" s="193"/>
      <x:c r="E634" s="185" t="n">
        <x:v>45657</x:v>
      </x:c>
      <x:c r="F634" s="27" t="n">
        <x:f t="shared" si="9"/>
        <x:v>8</x:v>
      </x:c>
      <x:c r="G634" s="27" t="str">
        <x:v>Country</x:v>
      </x:c>
      <x:c r="H634" s="27" t="str">
        <x:v>EU member state</x:v>
      </x:c>
      <x:c r="I634" s="30" t="str">
        <x:v>Group</x:v>
      </x:c>
      <x:c r="J634" s="151" t="str">
        <x:v>No comparable voting measure in source</x:v>
      </x:c>
      <x:c r="K634" s="196"/>
      <x:c r="L634" s="196"/>
    </x:row>
    <x:row r="635">
      <x:c r="A635" s="31" t="str">
        <x:v>Poland</x:v>
      </x:c>
      <x:c r="B635" s="32" t="str">
        <x:v>eib</x:v>
      </x:c>
      <x:c r="C635" s="194" t="n">
        <x:v>4.568681886909977</x:v>
      </x:c>
      <x:c r="D635" s="194"/>
      <x:c r="E635" s="186" t="n">
        <x:v>45657</x:v>
      </x:c>
      <x:c r="F635" s="32" t="n">
        <x:f t="shared" si="9"/>
        <x:v>5</x:v>
      </x:c>
      <x:c r="G635" s="32" t="str">
        <x:v>Country</x:v>
      </x:c>
      <x:c r="H635" s="32" t="str">
        <x:v>EU member state</x:v>
      </x:c>
      <x:c r="I635" s="35" t="str">
        <x:v>Group</x:v>
      </x:c>
      <x:c r="J635" s="151" t="str">
        <x:v>No comparable voting measure in source</x:v>
      </x:c>
      <x:c r="K635" s="196"/>
      <x:c r="L635" s="196"/>
    </x:row>
    <x:row r="636">
      <x:c r="A636" s="26" t="str">
        <x:v>Sweden</x:v>
      </x:c>
      <x:c r="B636" s="27" t="str">
        <x:v>eib</x:v>
      </x:c>
      <x:c r="C636" s="193" t="n">
        <x:v>3.453349446443195</x:v>
      </x:c>
      <x:c r="D636" s="193"/>
      <x:c r="E636" s="185" t="n">
        <x:v>45657</x:v>
      </x:c>
      <x:c r="F636" s="27" t="n">
        <x:f t="shared" si="9"/>
        <x:v>8</x:v>
      </x:c>
      <x:c r="G636" s="27" t="str">
        <x:v>Country</x:v>
      </x:c>
      <x:c r="H636" s="27" t="str">
        <x:v>EU member state</x:v>
      </x:c>
      <x:c r="I636" s="30" t="str">
        <x:v>Group</x:v>
      </x:c>
      <x:c r="J636" s="151" t="str">
        <x:v>No comparable voting measure in source</x:v>
      </x:c>
      <x:c r="K636" s="196"/>
      <x:c r="L636" s="196"/>
    </x:row>
    <x:row r="637">
      <x:c r="A637" s="31" t="str">
        <x:v>Denmark</x:v>
      </x:c>
      <x:c r="B637" s="32" t="str">
        <x:v>eib</x:v>
      </x:c>
      <x:c r="C637" s="194" t="n">
        <x:v>2.6357063692593616</x:v>
      </x:c>
      <x:c r="D637" s="194"/>
      <x:c r="E637" s="186" t="n">
        <x:v>45657</x:v>
      </x:c>
      <x:c r="F637" s="32" t="n">
        <x:f t="shared" si="9"/>
        <x:v>8</x:v>
      </x:c>
      <x:c r="G637" s="32" t="str">
        <x:v>Country</x:v>
      </x:c>
      <x:c r="H637" s="32" t="str">
        <x:v>EU member state</x:v>
      </x:c>
      <x:c r="I637" s="35" t="str">
        <x:v>Group</x:v>
      </x:c>
      <x:c r="J637" s="151" t="str">
        <x:v>No comparable voting measure in source</x:v>
      </x:c>
      <x:c r="K637" s="196"/>
      <x:c r="L637" s="196"/>
    </x:row>
    <x:row r="638">
      <x:c r="A638" s="26" t="str">
        <x:v>Austria</x:v>
      </x:c>
      <x:c r="B638" s="27" t="str">
        <x:v>eib</x:v>
      </x:c>
      <x:c r="C638" s="193" t="n">
        <x:v>2.584046586109945</x:v>
      </x:c>
      <x:c r="D638" s="193"/>
      <x:c r="E638" s="185" t="n">
        <x:v>45657</x:v>
      </x:c>
      <x:c r="F638" s="27" t="n">
        <x:f t="shared" si="9"/>
        <x:v>8</x:v>
      </x:c>
      <x:c r="G638" s="27" t="str">
        <x:v>Country</x:v>
      </x:c>
      <x:c r="H638" s="27" t="str">
        <x:v>EU member state</x:v>
      </x:c>
      <x:c r="I638" s="30" t="str">
        <x:v>Group</x:v>
      </x:c>
      <x:c r="J638" s="151" t="str">
        <x:v>No comparable voting measure in source</x:v>
      </x:c>
      <x:c r="K638" s="196"/>
      <x:c r="L638" s="196"/>
    </x:row>
    <x:row r="639">
      <x:c r="A639" s="31" t="str">
        <x:v>Finland</x:v>
      </x:c>
      <x:c r="B639" s="32" t="str">
        <x:v>eib</x:v>
      </x:c>
      <x:c r="C639" s="194" t="n">
        <x:v>1.4846333278572372</x:v>
      </x:c>
      <x:c r="D639" s="194"/>
      <x:c r="E639" s="186" t="n">
        <x:v>45657</x:v>
      </x:c>
      <x:c r="F639" s="32" t="n">
        <x:f t="shared" si="9"/>
        <x:v>8</x:v>
      </x:c>
      <x:c r="G639" s="32" t="str">
        <x:v>Country</x:v>
      </x:c>
      <x:c r="H639" s="32" t="str">
        <x:v>EU member state</x:v>
      </x:c>
      <x:c r="I639" s="35" t="str">
        <x:v>Group</x:v>
      </x:c>
      <x:c r="J639" s="151" t="str">
        <x:v>No comparable voting measure in source</x:v>
      </x:c>
      <x:c r="K639" s="196"/>
      <x:c r="L639" s="196"/>
    </x:row>
    <x:row r="640">
      <x:c r="A640" s="26" t="str">
        <x:v>Greece</x:v>
      </x:c>
      <x:c r="B640" s="27" t="str">
        <x:v>eib</x:v>
      </x:c>
      <x:c r="C640" s="193" t="n">
        <x:v>1.4119870350766541</x:v>
      </x:c>
      <x:c r="D640" s="193"/>
      <x:c r="E640" s="185" t="n">
        <x:v>45657</x:v>
      </x:c>
      <x:c r="F640" s="27" t="n">
        <x:f t="shared" si="9"/>
        <x:v>5</x:v>
      </x:c>
      <x:c r="G640" s="27" t="str">
        <x:v>Country</x:v>
      </x:c>
      <x:c r="H640" s="27" t="str">
        <x:v>EU member state</x:v>
      </x:c>
      <x:c r="I640" s="30" t="str">
        <x:v>Group</x:v>
      </x:c>
      <x:c r="J640" s="151" t="str">
        <x:v>No comparable voting measure in source</x:v>
      </x:c>
      <x:c r="K640" s="196"/>
      <x:c r="L640" s="196"/>
    </x:row>
    <x:row r="641">
      <x:c r="A641" s="31" t="str">
        <x:v>Portugal</x:v>
      </x:c>
      <x:c r="B641" s="32" t="str">
        <x:v>eib</x:v>
      </x:c>
      <x:c r="C641" s="194" t="n">
        <x:v>0.9099453424363859</x:v>
      </x:c>
      <x:c r="D641" s="194"/>
      <x:c r="E641" s="186" t="n">
        <x:v>45657</x:v>
      </x:c>
      <x:c r="F641" s="32" t="n">
        <x:f t="shared" si="9"/>
        <x:v>9</x:v>
      </x:c>
      <x:c r="G641" s="32" t="str">
        <x:v>Country</x:v>
      </x:c>
      <x:c r="H641" s="32" t="str">
        <x:v>EU member state</x:v>
      </x:c>
      <x:c r="I641" s="35" t="str">
        <x:v>Group</x:v>
      </x:c>
      <x:c r="J641" s="151" t="str">
        <x:v>No comparable voting measure in source</x:v>
      </x:c>
      <x:c r="K641" s="196"/>
      <x:c r="L641" s="196"/>
    </x:row>
    <x:row r="642">
      <x:c r="A642" s="26" t="str">
        <x:v>Czech Republic</x:v>
      </x:c>
      <x:c r="B642" s="27" t="str">
        <x:v>eib</x:v>
      </x:c>
      <x:c r="C642" s="193" t="n">
        <x:v>0.8870423218749116</x:v>
      </x:c>
      <x:c r="D642" s="193"/>
      <x:c r="E642" s="185" t="n">
        <x:v>45657</x:v>
      </x:c>
      <x:c r="F642" s="27" t="n">
        <x:f t="shared" si="9"/>
        <x:v>1</x:v>
      </x:c>
      <x:c r="G642" s="27" t="str">
        <x:v>Country</x:v>
      </x:c>
      <x:c r="H642" s="27" t="str">
        <x:v>EU member state</x:v>
      </x:c>
      <x:c r="I642" s="30" t="str">
        <x:v>Group</x:v>
      </x:c>
      <x:c r="J642" s="151" t="str">
        <x:v>No comparable voting measure in source</x:v>
      </x:c>
      <x:c r="K642" s="196"/>
      <x:c r="L642" s="196"/>
    </x:row>
    <x:row r="643">
      <x:c r="A643" s="31" t="str">
        <x:v>Hungary</x:v>
      </x:c>
      <x:c r="B643" s="32" t="str">
        <x:v>eib</x:v>
      </x:c>
      <x:c r="C643" s="194" t="n">
        <x:v>0.8391825005168307</x:v>
      </x:c>
      <x:c r="D643" s="194"/>
      <x:c r="E643" s="186" t="n">
        <x:v>45657</x:v>
      </x:c>
      <x:c r="F643" s="32" t="n">
        <x:f t="shared" ref="F643:F706" si="10">COUNTIF(A643:A1674,A643)</x:f>
        <x:v>3</x:v>
      </x:c>
      <x:c r="G643" s="32" t="str">
        <x:v>Country</x:v>
      </x:c>
      <x:c r="H643" s="32" t="str">
        <x:v>EU member state</x:v>
      </x:c>
      <x:c r="I643" s="35" t="str">
        <x:v>Group</x:v>
      </x:c>
      <x:c r="J643" s="151" t="str">
        <x:v>No comparable voting measure in source</x:v>
      </x:c>
      <x:c r="K643" s="196"/>
      <x:c r="L643" s="196"/>
    </x:row>
    <x:row r="644">
      <x:c r="A644" s="26" t="str">
        <x:v>Ireland</x:v>
      </x:c>
      <x:c r="B644" s="27" t="str">
        <x:v>eib</x:v>
      </x:c>
      <x:c r="C644" s="193" t="n">
        <x:v>0.6589260532177009</x:v>
      </x:c>
      <x:c r="D644" s="193"/>
      <x:c r="E644" s="185" t="n">
        <x:v>45657</x:v>
      </x:c>
      <x:c r="F644" s="27" t="n">
        <x:f t="shared" si="10"/>
        <x:v>7</x:v>
      </x:c>
      <x:c r="G644" s="27" t="str">
        <x:v>Country</x:v>
      </x:c>
      <x:c r="H644" s="27" t="str">
        <x:v>EU member state</x:v>
      </x:c>
      <x:c r="I644" s="30" t="str">
        <x:v>Group</x:v>
      </x:c>
      <x:c r="J644" s="151" t="str">
        <x:v>No comparable voting measure in source</x:v>
      </x:c>
      <x:c r="K644" s="196"/>
      <x:c r="L644" s="196"/>
    </x:row>
    <x:row r="645">
      <x:c r="A645" s="31" t="str">
        <x:v>Romania</x:v>
      </x:c>
      <x:c r="B645" s="32" t="str">
        <x:v>eib</x:v>
      </x:c>
      <x:c r="C645" s="194" t="n">
        <x:v>0.6589260532177009</x:v>
      </x:c>
      <x:c r="D645" s="194"/>
      <x:c r="E645" s="186" t="n">
        <x:v>45657</x:v>
      </x:c>
      <x:c r="F645" s="32" t="n">
        <x:f t="shared" si="10"/>
        <x:v>5</x:v>
      </x:c>
      <x:c r="G645" s="32" t="str">
        <x:v>Country</x:v>
      </x:c>
      <x:c r="H645" s="32" t="str">
        <x:v>EU member state</x:v>
      </x:c>
      <x:c r="I645" s="35" t="str">
        <x:v>Group</x:v>
      </x:c>
      <x:c r="J645" s="151" t="str">
        <x:v>No comparable voting measure in source</x:v>
      </x:c>
      <x:c r="K645" s="196"/>
      <x:c r="L645" s="196"/>
    </x:row>
    <x:row r="646">
      <x:c r="A646" s="26" t="str">
        <x:v>Croatia</x:v>
      </x:c>
      <x:c r="B646" s="27" t="str">
        <x:v>eib</x:v>
      </x:c>
      <x:c r="C646" s="193" t="n">
        <x:v>0.42698203369326715</x:v>
      </x:c>
      <x:c r="D646" s="193"/>
      <x:c r="E646" s="185" t="n">
        <x:v>45657</x:v>
      </x:c>
      <x:c r="F646" s="27" t="n">
        <x:f t="shared" si="10"/>
        <x:v>6</x:v>
      </x:c>
      <x:c r="G646" s="27" t="str">
        <x:v>Country</x:v>
      </x:c>
      <x:c r="H646" s="27" t="str">
        <x:v>EU member state</x:v>
      </x:c>
      <x:c r="I646" s="30" t="str">
        <x:v>Group</x:v>
      </x:c>
      <x:c r="J646" s="151" t="str">
        <x:v>No comparable voting measure in source</x:v>
      </x:c>
      <x:c r="K646" s="196"/>
      <x:c r="L646" s="196"/>
    </x:row>
    <x:row r="647">
      <x:c r="A647" s="31" t="str">
        <x:v>Slovakia</x:v>
      </x:c>
      <x:c r="B647" s="32" t="str">
        <x:v>eib</x:v>
      </x:c>
      <x:c r="C647" s="194" t="n">
        <x:v>0.3019491213762948</x:v>
      </x:c>
      <x:c r="D647" s="194"/>
      <x:c r="E647" s="186" t="n">
        <x:v>45657</x:v>
      </x:c>
      <x:c r="F647" s="32" t="n">
        <x:f t="shared" si="10"/>
        <x:v>1</x:v>
      </x:c>
      <x:c r="G647" s="32" t="str">
        <x:v>Country</x:v>
      </x:c>
      <x:c r="H647" s="32" t="str">
        <x:v>EU member state</x:v>
      </x:c>
      <x:c r="I647" s="35" t="str">
        <x:v>Group</x:v>
      </x:c>
      <x:c r="J647" s="151" t="str">
        <x:v>No comparable voting measure in source</x:v>
      </x:c>
      <x:c r="K647" s="196"/>
      <x:c r="L647" s="196"/>
    </x:row>
    <x:row r="648">
      <x:c r="A648" s="26" t="str">
        <x:v>Slovenia</x:v>
      </x:c>
      <x:c r="B648" s="27" t="str">
        <x:v>eib</x:v>
      </x:c>
      <x:c r="C648" s="193" t="n">
        <x:v>0.2803325584175591</x:v>
      </x:c>
      <x:c r="D648" s="193"/>
      <x:c r="E648" s="185" t="n">
        <x:v>45657</x:v>
      </x:c>
      <x:c r="F648" s="27" t="n">
        <x:f t="shared" si="10"/>
        <x:v>5</x:v>
      </x:c>
      <x:c r="G648" s="27" t="str">
        <x:v>Country</x:v>
      </x:c>
      <x:c r="H648" s="27" t="str">
        <x:v>EU member state</x:v>
      </x:c>
      <x:c r="I648" s="30" t="str">
        <x:v>Group</x:v>
      </x:c>
      <x:c r="J648" s="151" t="str">
        <x:v>No comparable voting measure in source</x:v>
      </x:c>
      <x:c r="K648" s="196"/>
      <x:c r="L648" s="196"/>
    </x:row>
    <x:row r="649">
      <x:c r="A649" s="31" t="str">
        <x:v>Bulgaria</x:v>
      </x:c>
      <x:c r="B649" s="32" t="str">
        <x:v>eib</x:v>
      </x:c>
      <x:c r="C649" s="194" t="n">
        <x:v>0.2050041089527577</x:v>
      </x:c>
      <x:c r="D649" s="194"/>
      <x:c r="E649" s="186" t="n">
        <x:v>45657</x:v>
      </x:c>
      <x:c r="F649" s="32" t="n">
        <x:f t="shared" si="10"/>
        <x:v>4</x:v>
      </x:c>
      <x:c r="G649" s="32" t="str">
        <x:v>Country</x:v>
      </x:c>
      <x:c r="H649" s="32" t="str">
        <x:v>EU member state</x:v>
      </x:c>
      <x:c r="I649" s="35" t="str">
        <x:v>Group</x:v>
      </x:c>
      <x:c r="J649" s="151" t="str">
        <x:v>No comparable voting measure in source</x:v>
      </x:c>
      <x:c r="K649" s="196"/>
      <x:c r="L649" s="196"/>
    </x:row>
    <x:row r="650">
      <x:c r="A650" s="26" t="str">
        <x:v>Lithuania</x:v>
      </x:c>
      <x:c r="B650" s="27" t="str">
        <x:v>eib</x:v>
      </x:c>
      <x:c r="C650" s="193" t="n">
        <x:v>0.17590069755906976</x:v>
      </x:c>
      <x:c r="D650" s="193"/>
      <x:c r="E650" s="185" t="n">
        <x:v>45657</x:v>
      </x:c>
      <x:c r="F650" s="27" t="n">
        <x:f t="shared" si="10"/>
        <x:v>4</x:v>
      </x:c>
      <x:c r="G650" s="27" t="str">
        <x:v>Country</x:v>
      </x:c>
      <x:c r="H650" s="27" t="str">
        <x:v>EU member state</x:v>
      </x:c>
      <x:c r="I650" s="30" t="str">
        <x:v>Group</x:v>
      </x:c>
      <x:c r="J650" s="151" t="str">
        <x:v>No comparable voting measure in source</x:v>
      </x:c>
      <x:c r="K650" s="196"/>
      <x:c r="L650" s="196"/>
    </x:row>
    <x:row r="651">
      <x:c r="A651" s="31" t="str">
        <x:v>Luxembourg</x:v>
      </x:c>
      <x:c r="B651" s="32" t="str">
        <x:v>eib</x:v>
      </x:c>
      <x:c r="C651" s="194" t="n">
        <x:v>0.13178621685101763</x:v>
      </x:c>
      <x:c r="D651" s="194"/>
      <x:c r="E651" s="186" t="n">
        <x:v>45657</x:v>
      </x:c>
      <x:c r="F651" s="32" t="n">
        <x:f t="shared" si="10"/>
        <x:v>7</x:v>
      </x:c>
      <x:c r="G651" s="32" t="str">
        <x:v>Country</x:v>
      </x:c>
      <x:c r="H651" s="32" t="str">
        <x:v>EU member state</x:v>
      </x:c>
      <x:c r="I651" s="35" t="str">
        <x:v>Group</x:v>
      </x:c>
      <x:c r="J651" s="151" t="str">
        <x:v>No comparable voting measure in source</x:v>
      </x:c>
      <x:c r="K651" s="196"/>
      <x:c r="L651" s="196"/>
    </x:row>
    <x:row r="652">
      <x:c r="A652" s="26" t="str">
        <x:v>Cyprus</x:v>
      </x:c>
      <x:c r="B652" s="27" t="str">
        <x:v>eib</x:v>
      </x:c>
      <x:c r="C652" s="193" t="n">
        <x:v>0.12922575885906964</x:v>
      </x:c>
      <x:c r="D652" s="193"/>
      <x:c r="E652" s="185" t="n">
        <x:v>45657</x:v>
      </x:c>
      <x:c r="F652" s="27" t="n">
        <x:f t="shared" si="10"/>
        <x:v>5</x:v>
      </x:c>
      <x:c r="G652" s="27" t="str">
        <x:v>Country</x:v>
      </x:c>
      <x:c r="H652" s="27" t="str">
        <x:v>EU member state</x:v>
      </x:c>
      <x:c r="I652" s="30" t="str">
        <x:v>Group</x:v>
      </x:c>
      <x:c r="J652" s="151" t="str">
        <x:v>No comparable voting measure in source</x:v>
      </x:c>
      <x:c r="K652" s="196"/>
      <x:c r="L652" s="196"/>
    </x:row>
    <x:row r="653">
      <x:c r="A653" s="31" t="str">
        <x:v>Latvia</x:v>
      </x:c>
      <x:c r="B653" s="32" t="str">
        <x:v>eib</x:v>
      </x:c>
      <x:c r="C653" s="194" t="n">
        <x:v>0.10734759240654264</x:v>
      </x:c>
      <x:c r="D653" s="194"/>
      <x:c r="E653" s="186" t="n">
        <x:v>45657</x:v>
      </x:c>
      <x:c r="F653" s="32" t="n">
        <x:f t="shared" si="10"/>
        <x:v>4</x:v>
      </x:c>
      <x:c r="G653" s="32" t="str">
        <x:v>Country</x:v>
      </x:c>
      <x:c r="H653" s="32" t="str">
        <x:v>EU member state</x:v>
      </x:c>
      <x:c r="I653" s="35" t="str">
        <x:v>Group</x:v>
      </x:c>
      <x:c r="J653" s="151" t="str">
        <x:v>No comparable voting measure in source</x:v>
      </x:c>
      <x:c r="K653" s="196"/>
      <x:c r="L653" s="196"/>
    </x:row>
    <x:row r="654">
      <x:c r="A654" s="26" t="str">
        <x:v>Estonia</x:v>
      </x:c>
      <x:c r="B654" s="27" t="str">
        <x:v>eib</x:v>
      </x:c>
      <x:c r="C654" s="193" t="n">
        <x:v>0.08289866633322404</x:v>
      </x:c>
      <x:c r="D654" s="193"/>
      <x:c r="E654" s="185" t="n">
        <x:v>45657</x:v>
      </x:c>
      <x:c r="F654" s="27" t="n">
        <x:f t="shared" si="10"/>
        <x:v>4</x:v>
      </x:c>
      <x:c r="G654" s="27" t="str">
        <x:v>Country</x:v>
      </x:c>
      <x:c r="H654" s="27" t="str">
        <x:v>EU member state</x:v>
      </x:c>
      <x:c r="I654" s="30" t="str">
        <x:v>Group</x:v>
      </x:c>
      <x:c r="J654" s="151" t="str">
        <x:v>No comparable voting measure in source</x:v>
      </x:c>
      <x:c r="K654" s="196"/>
      <x:c r="L654" s="196"/>
    </x:row>
    <x:row r="655">
      <x:c r="A655" s="31" t="str">
        <x:v>Malta</x:v>
      </x:c>
      <x:c r="B655" s="32" t="str">
        <x:v>eib</x:v>
      </x:c>
      <x:c r="C655" s="194" t="n">
        <x:v>0.0491896402570065</x:v>
      </x:c>
      <x:c r="D655" s="194"/>
      <x:c r="E655" s="186" t="n">
        <x:v>45657</x:v>
      </x:c>
      <x:c r="F655" s="32" t="n">
        <x:f t="shared" si="10"/>
        <x:v>5</x:v>
      </x:c>
      <x:c r="G655" s="32" t="str">
        <x:v>Country</x:v>
      </x:c>
      <x:c r="H655" s="32" t="str">
        <x:v>EU member state</x:v>
      </x:c>
      <x:c r="I655" s="35" t="str">
        <x:v>Group</x:v>
      </x:c>
      <x:c r="J655" s="151" t="str">
        <x:v>No comparable voting measure in source</x:v>
      </x:c>
      <x:c r="K655" s="196"/>
      <x:c r="L655" s="196"/>
    </x:row>
    <x:row r="656">
      <x:c r="A656" s="26" t="str" cm="1">
        <x:f t="array" ref="A656:A844"/>
        <x:v>AFGHANISTAN</x:v>
      </x:c>
      <x:c r="B656" s="27" t="str" cm="1">
        <x:f t="array" ref="B656:B844"/>
        <x:v>IBRD</x:v>
      </x:c>
      <x:c r="C656" s="193" t="n" cm="1">
        <x:f t="array" ref="C656:C844"/>
        <x:v>0.01835841651764059</x:v>
      </x:c>
      <x:c r="D656" s="193" t="n" cm="1">
        <x:f t="array" ref="D656:D844"/>
        <x:v>0.05</x:v>
      </x:c>
      <x:c r="E656" s="185"/>
      <x:c r="F656" s="27" t="n">
        <x:f t="shared" si="10"/>
        <x:v>5</x:v>
      </x:c>
      <x:c r="G656" s="27" t="str">
        <x:v>Country</x:v>
      </x:c>
      <x:c r="H656" s="27" t="str">
        <x:v>Member</x:v>
      </x:c>
      <x:c r="I656" s="30" t="str">
        <x:v>Universal</x:v>
      </x:c>
      <x:c r="J656" s="151" t="str">
        <x:v>Institution-specific published voting measure</x:v>
      </x:c>
      <x:c r="K656" s="196"/>
      <x:c r="L656" s="196"/>
    </x:row>
    <x:row r="657">
      <x:c r="A657" s="31" t="str">
        <x:v>ALBANIA</x:v>
      </x:c>
      <x:c r="B657" s="32" t="str">
        <x:v>IBRD</x:v>
      </x:c>
      <x:c r="C657" s="194" t="n">
        <x:v>0.04916137229526283</x:v>
      </x:c>
      <x:c r="D657" s="194" t="n">
        <x:v>0.08</x:v>
      </x:c>
      <x:c r="E657" s="186"/>
      <x:c r="F657" s="32" t="n">
        <x:f t="shared" si="10"/>
        <x:v>4</x:v>
      </x:c>
      <x:c r="G657" s="32" t="str">
        <x:v>Country</x:v>
      </x:c>
      <x:c r="H657" s="32" t="str">
        <x:v>Member</x:v>
      </x:c>
      <x:c r="I657" s="35" t="str">
        <x:v>Universal</x:v>
      </x:c>
      <x:c r="J657" s="151" t="str">
        <x:v>Institution-specific published voting measure</x:v>
      </x:c>
      <x:c r="K657" s="196"/>
      <x:c r="L657" s="196"/>
    </x:row>
    <x:row r="658">
      <x:c r="A658" s="26" t="str">
        <x:v>ALGERIA</x:v>
      </x:c>
      <x:c r="B658" s="27" t="str">
        <x:v>IBRD</x:v>
      </x:c>
      <x:c r="C658" s="193" t="n">
        <x:v>0.4966568452766443</x:v>
      </x:c>
      <x:c r="D658" s="193" t="n">
        <x:v>0.5</x:v>
      </x:c>
      <x:c r="E658" s="185"/>
      <x:c r="F658" s="27" t="n">
        <x:f t="shared" si="10"/>
        <x:v>8</x:v>
      </x:c>
      <x:c r="G658" s="27" t="str">
        <x:v>Country</x:v>
      </x:c>
      <x:c r="H658" s="27" t="str">
        <x:v>Member</x:v>
      </x:c>
      <x:c r="I658" s="30" t="str">
        <x:v>Universal</x:v>
      </x:c>
      <x:c r="J658" s="151" t="str">
        <x:v>Institution-specific published voting measure</x:v>
      </x:c>
      <x:c r="K658" s="196"/>
      <x:c r="L658" s="196"/>
    </x:row>
    <x:row r="659">
      <x:c r="A659" s="31" t="str">
        <x:v>ANGOLA</x:v>
      </x:c>
      <x:c r="B659" s="32" t="str">
        <x:v>IBRD</x:v>
      </x:c>
      <x:c r="C659" s="194" t="n">
        <x:v>0.16069056671270782</x:v>
      </x:c>
      <x:c r="D659" s="194" t="n">
        <x:v>0.18</x:v>
      </x:c>
      <x:c r="E659" s="186"/>
      <x:c r="F659" s="32" t="n">
        <x:f t="shared" si="10"/>
        <x:v>3</x:v>
      </x:c>
      <x:c r="G659" s="32" t="str">
        <x:v>Country</x:v>
      </x:c>
      <x:c r="H659" s="32" t="str">
        <x:v>Member</x:v>
      </x:c>
      <x:c r="I659" s="35" t="str">
        <x:v>Universal</x:v>
      </x:c>
      <x:c r="J659" s="151" t="str">
        <x:v>Institution-specific published voting measure</x:v>
      </x:c>
      <x:c r="K659" s="196"/>
      <x:c r="L659" s="196"/>
    </x:row>
    <x:row r="660">
      <x:c r="A660" s="26" t="str">
        <x:v>ANTIGUA AND BARBUDA</x:v>
      </x:c>
      <x:c r="B660" s="27" t="str">
        <x:v>IBRD</x:v>
      </x:c>
      <x:c r="C660" s="193" t="n">
        <x:v>0.026267773831564794</x:v>
      </x:c>
      <x:c r="D660" s="193" t="n">
        <x:v>0.05</x:v>
      </x:c>
      <x:c r="E660" s="185"/>
      <x:c r="F660" s="27" t="n">
        <x:f t="shared" si="10"/>
        <x:v>3</x:v>
      </x:c>
      <x:c r="G660" s="27" t="str">
        <x:v>Country</x:v>
      </x:c>
      <x:c r="H660" s="27" t="str">
        <x:v>Member</x:v>
      </x:c>
      <x:c r="I660" s="30" t="str">
        <x:v>Universal</x:v>
      </x:c>
      <x:c r="J660" s="151" t="str">
        <x:v>Institution-specific published voting measure</x:v>
      </x:c>
      <x:c r="K660" s="196"/>
      <x:c r="L660" s="196"/>
    </x:row>
    <x:row r="661">
      <x:c r="A661" s="31" t="str">
        <x:v>ARGENTINA</x:v>
      </x:c>
      <x:c r="B661" s="32" t="str">
        <x:v>IBRD</x:v>
      </x:c>
      <x:c r="C661" s="194" t="n">
        <x:v>1.10916037818338</x:v>
      </x:c>
      <x:c r="D661" s="194" t="n">
        <x:v>1.08</x:v>
      </x:c>
      <x:c r="E661" s="186"/>
      <x:c r="F661" s="32" t="n">
        <x:f t="shared" si="10"/>
        <x:v>7</x:v>
      </x:c>
      <x:c r="G661" s="32" t="str">
        <x:v>Country</x:v>
      </x:c>
      <x:c r="H661" s="32" t="str">
        <x:v>Member</x:v>
      </x:c>
      <x:c r="I661" s="35" t="str">
        <x:v>Universal</x:v>
      </x:c>
      <x:c r="J661" s="151" t="str">
        <x:v>Institution-specific published voting measure</x:v>
      </x:c>
      <x:c r="K661" s="196"/>
      <x:c r="L661" s="196"/>
    </x:row>
    <x:row r="662">
      <x:c r="A662" s="26" t="str">
        <x:v>ARMENIA</x:v>
      </x:c>
      <x:c r="B662" s="27" t="str">
        <x:v>IBRD</x:v>
      </x:c>
      <x:c r="C662" s="193" t="n">
        <x:v>0.07278059987033007</x:v>
      </x:c>
      <x:c r="D662" s="193" t="n">
        <x:v>0.1</x:v>
      </x:c>
      <x:c r="E662" s="185"/>
      <x:c r="F662" s="27" t="n">
        <x:f t="shared" si="10"/>
        <x:v>4</x:v>
      </x:c>
      <x:c r="G662" s="27" t="str">
        <x:v>Country</x:v>
      </x:c>
      <x:c r="H662" s="27" t="str">
        <x:v>Member</x:v>
      </x:c>
      <x:c r="I662" s="30" t="str">
        <x:v>Universal</x:v>
      </x:c>
      <x:c r="J662" s="151" t="str">
        <x:v>Institution-specific published voting measure</x:v>
      </x:c>
      <x:c r="K662" s="196"/>
      <x:c r="L662" s="196"/>
    </x:row>
    <x:row r="663">
      <x:c r="A663" s="31" t="str">
        <x:v>AUSTRALIA</x:v>
      </x:c>
      <x:c r="B663" s="32" t="str">
        <x:v>IBRD</x:v>
      </x:c>
      <x:c r="C663" s="194" t="n">
        <x:v>1.4169359657706235</x:v>
      </x:c>
      <x:c r="D663" s="194" t="n">
        <x:v>1.37</x:v>
      </x:c>
      <x:c r="E663" s="186"/>
      <x:c r="F663" s="32" t="n">
        <x:f t="shared" si="10"/>
        <x:v>5</x:v>
      </x:c>
      <x:c r="G663" s="32" t="str">
        <x:v>Country</x:v>
      </x:c>
      <x:c r="H663" s="32" t="str">
        <x:v>Member</x:v>
      </x:c>
      <x:c r="I663" s="35" t="str">
        <x:v>Universal</x:v>
      </x:c>
      <x:c r="J663" s="151" t="str">
        <x:v>Institution-specific published voting measure</x:v>
      </x:c>
      <x:c r="K663" s="196"/>
      <x:c r="L663" s="196"/>
    </x:row>
    <x:row r="664">
      <x:c r="A664" s="26" t="str">
        <x:v>AUSTRIA</x:v>
      </x:c>
      <x:c r="B664" s="27" t="str">
        <x:v>IBRD</x:v>
      </x:c>
      <x:c r="C664" s="193" t="n">
        <x:v>0.6582544483785636</x:v>
      </x:c>
      <x:c r="D664" s="193" t="n">
        <x:v>0.65</x:v>
      </x:c>
      <x:c r="E664" s="185"/>
      <x:c r="F664" s="27" t="n">
        <x:f t="shared" si="10"/>
        <x:v>8</x:v>
      </x:c>
      <x:c r="G664" s="27" t="str">
        <x:v>Country</x:v>
      </x:c>
      <x:c r="H664" s="27" t="str">
        <x:v>Member</x:v>
      </x:c>
      <x:c r="I664" s="30" t="str">
        <x:v>Universal</x:v>
      </x:c>
      <x:c r="J664" s="151" t="str">
        <x:v>Institution-specific published voting measure</x:v>
      </x:c>
      <x:c r="K664" s="196"/>
      <x:c r="L664" s="196"/>
    </x:row>
    <x:row r="665">
      <x:c r="A665" s="31" t="str">
        <x:v>AZERBAIJAN</x:v>
      </x:c>
      <x:c r="B665" s="32" t="str">
        <x:v>IBRD</x:v>
      </x:c>
      <x:c r="C665" s="194" t="n">
        <x:v>0.10434546621488998</x:v>
      </x:c>
      <x:c r="D665" s="194" t="n">
        <x:v>0.13</x:v>
      </x:c>
      <x:c r="E665" s="186"/>
      <x:c r="F665" s="32" t="n">
        <x:f t="shared" si="10"/>
        <x:v>6</x:v>
      </x:c>
      <x:c r="G665" s="32" t="str">
        <x:v>Country</x:v>
      </x:c>
      <x:c r="H665" s="32" t="str">
        <x:v>Member</x:v>
      </x:c>
      <x:c r="I665" s="35" t="str">
        <x:v>Universal</x:v>
      </x:c>
      <x:c r="J665" s="151" t="str">
        <x:v>Institution-specific published voting measure</x:v>
      </x:c>
      <x:c r="K665" s="196"/>
      <x:c r="L665" s="196"/>
    </x:row>
    <x:row r="666">
      <x:c r="A666" s="26" t="str">
        <x:v>BAHAMAS, THE</x:v>
      </x:c>
      <x:c r="B666" s="27" t="str">
        <x:v>IBRD</x:v>
      </x:c>
      <x:c r="C666" s="193" t="n">
        <x:v>0.05547434556417482</x:v>
      </x:c>
      <x:c r="D666" s="193" t="n">
        <x:v>0.08</x:v>
      </x:c>
      <x:c r="E666" s="185"/>
      <x:c r="F666" s="27" t="n">
        <x:f t="shared" si="10"/>
        <x:v>2</x:v>
      </x:c>
      <x:c r="G666" s="27" t="str">
        <x:v>Country</x:v>
      </x:c>
      <x:c r="H666" s="27" t="str">
        <x:v>Member</x:v>
      </x:c>
      <x:c r="I666" s="30" t="str">
        <x:v>Universal</x:v>
      </x:c>
      <x:c r="J666" s="151" t="str">
        <x:v>Institution-specific published voting measure</x:v>
      </x:c>
      <x:c r="K666" s="196"/>
      <x:c r="L666" s="196"/>
    </x:row>
    <x:row r="667">
      <x:c r="A667" s="31" t="str">
        <x:v>BAHRAIN</x:v>
      </x:c>
      <x:c r="B667" s="32" t="str">
        <x:v>IBRD</x:v>
      </x:c>
      <x:c r="C667" s="194" t="n">
        <x:v>0.059791838776821524</x:v>
      </x:c>
      <x:c r="D667" s="194" t="n">
        <x:v>0.09</x:v>
      </x:c>
      <x:c r="E667" s="186"/>
      <x:c r="F667" s="32" t="n">
        <x:f t="shared" si="10"/>
        <x:v>5</x:v>
      </x:c>
      <x:c r="G667" s="32" t="str">
        <x:v>Country</x:v>
      </x:c>
      <x:c r="H667" s="32" t="str">
        <x:v>Member</x:v>
      </x:c>
      <x:c r="I667" s="35" t="str">
        <x:v>Universal</x:v>
      </x:c>
      <x:c r="J667" s="151" t="str">
        <x:v>Institution-specific published voting measure</x:v>
      </x:c>
      <x:c r="K667" s="196"/>
      <x:c r="L667" s="196"/>
    </x:row>
    <x:row r="668">
      <x:c r="A668" s="26" t="str">
        <x:v>BANGLADESH</x:v>
      </x:c>
      <x:c r="B668" s="27" t="str">
        <x:v>IBRD</x:v>
      </x:c>
      <x:c r="C668" s="193" t="n">
        <x:v>0.2860429957017359</x:v>
      </x:c>
      <x:c r="D668" s="193" t="n">
        <x:v>0.3</x:v>
      </x:c>
      <x:c r="E668" s="185"/>
      <x:c r="F668" s="27" t="n">
        <x:f t="shared" si="10"/>
        <x:v>6</x:v>
      </x:c>
      <x:c r="G668" s="27" t="str">
        <x:v>Country</x:v>
      </x:c>
      <x:c r="H668" s="27" t="str">
        <x:v>Member</x:v>
      </x:c>
      <x:c r="I668" s="30" t="str">
        <x:v>Universal</x:v>
      </x:c>
      <x:c r="J668" s="151" t="str">
        <x:v>Institution-specific published voting measure</x:v>
      </x:c>
      <x:c r="K668" s="196"/>
      <x:c r="L668" s="196"/>
    </x:row>
    <x:row r="669">
      <x:c r="A669" s="31" t="str">
        <x:v>BARBADOS</x:v>
      </x:c>
      <x:c r="B669" s="32" t="str">
        <x:v>IBRD</x:v>
      </x:c>
      <x:c r="C669" s="194" t="n">
        <x:v>0.038276935624724936</x:v>
      </x:c>
      <x:c r="D669" s="194" t="n">
        <x:v>0.07</x:v>
      </x:c>
      <x:c r="E669" s="186"/>
      <x:c r="F669" s="32" t="n">
        <x:f t="shared" si="10"/>
        <x:v>5</x:v>
      </x:c>
      <x:c r="G669" s="32" t="str">
        <x:v>Country</x:v>
      </x:c>
      <x:c r="H669" s="32" t="str">
        <x:v>Member</x:v>
      </x:c>
      <x:c r="I669" s="35" t="str">
        <x:v>Universal</x:v>
      </x:c>
      <x:c r="J669" s="151" t="str">
        <x:v>Institution-specific published voting measure</x:v>
      </x:c>
      <x:c r="K669" s="196"/>
      <x:c r="L669" s="196"/>
    </x:row>
    <x:row r="670">
      <x:c r="A670" s="26" t="str">
        <x:v>BELARUS</x:v>
      </x:c>
      <x:c r="B670" s="27" t="str">
        <x:v>IBRD</x:v>
      </x:c>
      <x:c r="C670" s="193" t="n">
        <x:v>0.16497177846978606</x:v>
      </x:c>
      <x:c r="D670" s="193" t="n">
        <x:v>0.19</x:v>
      </x:c>
      <x:c r="E670" s="185"/>
      <x:c r="F670" s="27" t="n">
        <x:f t="shared" si="10"/>
        <x:v>4</x:v>
      </x:c>
      <x:c r="G670" s="27" t="str">
        <x:v>Country</x:v>
      </x:c>
      <x:c r="H670" s="27" t="str">
        <x:v>Member</x:v>
      </x:c>
      <x:c r="I670" s="30" t="str">
        <x:v>Universal</x:v>
      </x:c>
      <x:c r="J670" s="151" t="str">
        <x:v>Institution-specific published voting measure</x:v>
      </x:c>
      <x:c r="K670" s="196"/>
      <x:c r="L670" s="196"/>
    </x:row>
    <x:row r="671">
      <x:c r="A671" s="31" t="str">
        <x:v>BELGIUM</x:v>
      </x:c>
      <x:c r="B671" s="32" t="str">
        <x:v>IBRD</x:v>
      </x:c>
      <x:c r="C671" s="194" t="n">
        <x:v>1.5702976784585025</x:v>
      </x:c>
      <x:c r="D671" s="194" t="n">
        <x:v>1.51</x:v>
      </x:c>
      <x:c r="E671" s="186"/>
      <x:c r="F671" s="32" t="n">
        <x:f t="shared" si="10"/>
        <x:v>8</x:v>
      </x:c>
      <x:c r="G671" s="32" t="str">
        <x:v>Country</x:v>
      </x:c>
      <x:c r="H671" s="32" t="str">
        <x:v>Member</x:v>
      </x:c>
      <x:c r="I671" s="35" t="str">
        <x:v>Universal</x:v>
      </x:c>
      <x:c r="J671" s="151" t="str">
        <x:v>Institution-specific published voting measure</x:v>
      </x:c>
      <x:c r="K671" s="196"/>
      <x:c r="L671" s="196"/>
    </x:row>
    <x:row r="672">
      <x:c r="A672" s="26" t="str">
        <x:v>BELIZE</x:v>
      </x:c>
      <x:c r="B672" s="27" t="str">
        <x:v>IBRD</x:v>
      </x:c>
      <x:c r="C672" s="193" t="n">
        <x:v>0.023437820297224937</x:v>
      </x:c>
      <x:c r="D672" s="193" t="n">
        <x:v>0.05</x:v>
      </x:c>
      <x:c r="E672" s="185"/>
      <x:c r="F672" s="27" t="n">
        <x:f t="shared" si="10"/>
        <x:v>5</x:v>
      </x:c>
      <x:c r="G672" s="27" t="str">
        <x:v>Country</x:v>
      </x:c>
      <x:c r="H672" s="27" t="str">
        <x:v>Member</x:v>
      </x:c>
      <x:c r="I672" s="30" t="str">
        <x:v>Universal</x:v>
      </x:c>
      <x:c r="J672" s="151" t="str">
        <x:v>Institution-specific published voting measure</x:v>
      </x:c>
      <x:c r="K672" s="196"/>
      <x:c r="L672" s="196"/>
    </x:row>
    <x:row r="673">
      <x:c r="A673" s="31" t="str">
        <x:v>BENIN</x:v>
      </x:c>
      <x:c r="B673" s="32" t="str">
        <x:v>IBRD</x:v>
      </x:c>
      <x:c r="C673" s="194" t="n">
        <x:v>0.05572831575315403</x:v>
      </x:c>
      <x:c r="D673" s="194" t="n">
        <x:v>0.08</x:v>
      </x:c>
      <x:c r="E673" s="186"/>
      <x:c r="F673" s="32" t="n">
        <x:f t="shared" si="10"/>
        <x:v>6</x:v>
      </x:c>
      <x:c r="G673" s="32" t="str">
        <x:v>Country</x:v>
      </x:c>
      <x:c r="H673" s="32" t="str">
        <x:v>Member</x:v>
      </x:c>
      <x:c r="I673" s="35" t="str">
        <x:v>Universal</x:v>
      </x:c>
      <x:c r="J673" s="151" t="str">
        <x:v>Institution-specific published voting measure</x:v>
      </x:c>
      <x:c r="K673" s="196"/>
      <x:c r="L673" s="196"/>
    </x:row>
    <x:row r="674">
      <x:c r="A674" s="26" t="str">
        <x:v>BHUTAN</x:v>
      </x:c>
      <x:c r="B674" s="27" t="str">
        <x:v>IBRD</x:v>
      </x:c>
      <x:c r="C674" s="193" t="n">
        <x:v>0.03007732666625306</x:v>
      </x:c>
      <x:c r="D674" s="193" t="n">
        <x:v>0.06</x:v>
      </x:c>
      <x:c r="E674" s="185"/>
      <x:c r="F674" s="27" t="n">
        <x:f t="shared" si="10"/>
        <x:v>3</x:v>
      </x:c>
      <x:c r="G674" s="27" t="str">
        <x:v>Country</x:v>
      </x:c>
      <x:c r="H674" s="27" t="str">
        <x:v>Member</x:v>
      </x:c>
      <x:c r="I674" s="30" t="str">
        <x:v>Universal</x:v>
      </x:c>
      <x:c r="J674" s="151" t="str">
        <x:v>Institution-specific published voting measure</x:v>
      </x:c>
      <x:c r="K674" s="196"/>
      <x:c r="L674" s="196"/>
    </x:row>
    <x:row r="675">
      <x:c r="A675" s="31" t="str">
        <x:v>BOLIVIA</x:v>
      </x:c>
      <x:c r="B675" s="32" t="str">
        <x:v>IBRD</x:v>
      </x:c>
      <x:c r="C675" s="194" t="n">
        <x:v>0.11345211156257334</x:v>
      </x:c>
      <x:c r="D675" s="194" t="n">
        <x:v>0.14</x:v>
      </x:c>
      <x:c r="E675" s="186"/>
      <x:c r="F675" s="32" t="n">
        <x:f t="shared" si="10"/>
        <x:v>4</x:v>
      </x:c>
      <x:c r="G675" s="32" t="str">
        <x:v>Country</x:v>
      </x:c>
      <x:c r="H675" s="32" t="str">
        <x:v>Member</x:v>
      </x:c>
      <x:c r="I675" s="35" t="str">
        <x:v>Universal</x:v>
      </x:c>
      <x:c r="J675" s="151" t="str">
        <x:v>Institution-specific published voting measure</x:v>
      </x:c>
      <x:c r="K675" s="196"/>
      <x:c r="L675" s="196"/>
    </x:row>
    <x:row r="676">
      <x:c r="A676" s="26" t="str">
        <x:v>BOSNIA AND HERZEGOVINA</x:v>
      </x:c>
      <x:c r="B676" s="27" t="str">
        <x:v>IBRD</x:v>
      </x:c>
      <x:c r="C676" s="193" t="n">
        <x:v>0.03555582645709046</x:v>
      </x:c>
      <x:c r="D676" s="193" t="n">
        <x:v>0.06</x:v>
      </x:c>
      <x:c r="E676" s="185"/>
      <x:c r="F676" s="27" t="n">
        <x:f t="shared" si="10"/>
        <x:v>3</x:v>
      </x:c>
      <x:c r="G676" s="27" t="str">
        <x:v>Country</x:v>
      </x:c>
      <x:c r="H676" s="27" t="str">
        <x:v>Member</x:v>
      </x:c>
      <x:c r="I676" s="30" t="str">
        <x:v>Universal</x:v>
      </x:c>
      <x:c r="J676" s="151" t="str">
        <x:v>Institution-specific published voting measure</x:v>
      </x:c>
      <x:c r="K676" s="196"/>
      <x:c r="L676" s="196"/>
    </x:row>
    <x:row r="677">
      <x:c r="A677" s="31" t="str">
        <x:v>BOTSWANA</x:v>
      </x:c>
      <x:c r="B677" s="32" t="str">
        <x:v>IBRD</x:v>
      </x:c>
      <x:c r="C677" s="194" t="n">
        <x:v>0.03323381330070904</x:v>
      </x:c>
      <x:c r="D677" s="194" t="n">
        <x:v>0.06</x:v>
      </x:c>
      <x:c r="E677" s="186"/>
      <x:c r="F677" s="32" t="n">
        <x:f t="shared" si="10"/>
        <x:v>3</x:v>
      </x:c>
      <x:c r="G677" s="32" t="str">
        <x:v>Country</x:v>
      </x:c>
      <x:c r="H677" s="32" t="str">
        <x:v>Member</x:v>
      </x:c>
      <x:c r="I677" s="35" t="str">
        <x:v>Universal</x:v>
      </x:c>
      <x:c r="J677" s="151" t="str">
        <x:v>Institution-specific published voting measure</x:v>
      </x:c>
      <x:c r="K677" s="196"/>
      <x:c r="L677" s="196"/>
    </x:row>
    <x:row r="678">
      <x:c r="A678" s="26" t="str">
        <x:v>BRAZIL</x:v>
      </x:c>
      <x:c r="B678" s="27" t="str">
        <x:v>IBRD</x:v>
      </x:c>
      <x:c r="C678" s="193" t="n">
        <x:v>2.2967975447613385</x:v>
      </x:c>
      <x:c r="D678" s="193" t="n">
        <x:v>2.2</x:v>
      </x:c>
      <x:c r="E678" s="185"/>
      <x:c r="F678" s="27" t="n">
        <x:f t="shared" si="10"/>
        <x:v>8</x:v>
      </x:c>
      <x:c r="G678" s="27" t="str">
        <x:v>Country</x:v>
      </x:c>
      <x:c r="H678" s="27" t="str">
        <x:v>Member</x:v>
      </x:c>
      <x:c r="I678" s="30" t="str">
        <x:v>Universal</x:v>
      </x:c>
      <x:c r="J678" s="151" t="str">
        <x:v>Institution-specific published voting measure</x:v>
      </x:c>
      <x:c r="K678" s="196"/>
      <x:c r="L678" s="196"/>
    </x:row>
    <x:row r="679">
      <x:c r="A679" s="31" t="str">
        <x:v>BRUNEI DARUSSALAM</x:v>
      </x:c>
      <x:c r="B679" s="32" t="str">
        <x:v>IBRD</x:v>
      </x:c>
      <x:c r="C679" s="194" t="n">
        <x:v>0.08609589406395476</x:v>
      </x:c>
      <x:c r="D679" s="194" t="n">
        <x:v>0.11</x:v>
      </x:c>
      <x:c r="E679" s="186"/>
      <x:c r="F679" s="32" t="n">
        <x:f t="shared" si="10"/>
        <x:v>5</x:v>
      </x:c>
      <x:c r="G679" s="32" t="str">
        <x:v>Country</x:v>
      </x:c>
      <x:c r="H679" s="32" t="str">
        <x:v>Member</x:v>
      </x:c>
      <x:c r="I679" s="35" t="str">
        <x:v>Universal</x:v>
      </x:c>
      <x:c r="J679" s="151" t="str">
        <x:v>Institution-specific published voting measure</x:v>
      </x:c>
      <x:c r="K679" s="196"/>
      <x:c r="L679" s="196"/>
    </x:row>
    <x:row r="680">
      <x:c r="A680" s="26" t="str">
        <x:v>BULGARIA</x:v>
      </x:c>
      <x:c r="B680" s="27" t="str">
        <x:v>IBRD</x:v>
      </x:c>
      <x:c r="C680" s="193" t="n">
        <x:v>0.27606559542040954</x:v>
      </x:c>
      <x:c r="D680" s="193" t="n">
        <x:v>0.29</x:v>
      </x:c>
      <x:c r="E680" s="185"/>
      <x:c r="F680" s="27" t="n">
        <x:f t="shared" si="10"/>
        <x:v>4</x:v>
      </x:c>
      <x:c r="G680" s="27" t="str">
        <x:v>Country</x:v>
      </x:c>
      <x:c r="H680" s="27" t="str">
        <x:v>Member</x:v>
      </x:c>
      <x:c r="I680" s="30" t="str">
        <x:v>Universal</x:v>
      </x:c>
      <x:c r="J680" s="151" t="str">
        <x:v>Institution-specific published voting measure</x:v>
      </x:c>
      <x:c r="K680" s="196"/>
      <x:c r="L680" s="196"/>
    </x:row>
    <x:row r="681">
      <x:c r="A681" s="31" t="str">
        <x:v>BURKINA FASO</x:v>
      </x:c>
      <x:c r="B681" s="32" t="str">
        <x:v>IBRD</x:v>
      </x:c>
      <x:c r="C681" s="194" t="n">
        <x:v>0.05572831575315403</x:v>
      </x:c>
      <x:c r="D681" s="194" t="n">
        <x:v>0.08</x:v>
      </x:c>
      <x:c r="E681" s="186"/>
      <x:c r="F681" s="32" t="n">
        <x:f t="shared" si="10"/>
        <x:v>4</x:v>
      </x:c>
      <x:c r="G681" s="32" t="str">
        <x:v>Country</x:v>
      </x:c>
      <x:c r="H681" s="32" t="str">
        <x:v>Member</x:v>
      </x:c>
      <x:c r="I681" s="35" t="str">
        <x:v>Universal</x:v>
      </x:c>
      <x:c r="J681" s="151" t="str">
        <x:v>Institution-specific published voting measure</x:v>
      </x:c>
      <x:c r="K681" s="196"/>
      <x:c r="L681" s="196"/>
    </x:row>
    <x:row r="682">
      <x:c r="A682" s="26" t="str">
        <x:v>BURUNDI</x:v>
      </x:c>
      <x:c r="B682" s="27" t="str">
        <x:v>IBRD</x:v>
      </x:c>
      <x:c r="C682" s="193" t="n">
        <x:v>0.04422709433795233</x:v>
      </x:c>
      <x:c r="D682" s="193" t="n">
        <x:v>0.07</x:v>
      </x:c>
      <x:c r="E682" s="185"/>
      <x:c r="F682" s="27" t="n">
        <x:f t="shared" si="10"/>
        <x:v>3</x:v>
      </x:c>
      <x:c r="G682" s="27" t="str">
        <x:v>Country</x:v>
      </x:c>
      <x:c r="H682" s="27" t="str">
        <x:v>Member</x:v>
      </x:c>
      <x:c r="I682" s="30" t="str">
        <x:v>Universal</x:v>
      </x:c>
      <x:c r="J682" s="151" t="str">
        <x:v>Institution-specific published voting measure</x:v>
      </x:c>
      <x:c r="K682" s="196"/>
      <x:c r="L682" s="196"/>
    </x:row>
    <x:row r="683">
      <x:c r="A683" s="31" t="str">
        <x:v>CABO VERDE</x:v>
      </x:c>
      <x:c r="B683" s="32" t="str">
        <x:v>IBRD</x:v>
      </x:c>
      <x:c r="C683" s="194" t="n">
        <x:v>0.030222452488526896</x:v>
      </x:c>
      <x:c r="D683" s="194" t="n">
        <x:v>0.06</x:v>
      </x:c>
      <x:c r="E683" s="186"/>
      <x:c r="F683" s="32" t="n">
        <x:f t="shared" si="10"/>
        <x:v>3</x:v>
      </x:c>
      <x:c r="G683" s="32" t="str">
        <x:v>Country</x:v>
      </x:c>
      <x:c r="H683" s="32" t="str">
        <x:v>Member</x:v>
      </x:c>
      <x:c r="I683" s="35" t="str">
        <x:v>Universal</x:v>
      </x:c>
      <x:c r="J683" s="151" t="str">
        <x:v>Institution-specific published voting measure</x:v>
      </x:c>
      <x:c r="K683" s="196"/>
      <x:c r="L683" s="196"/>
    </x:row>
    <x:row r="684">
      <x:c r="A684" s="26" t="str">
        <x:v>CAMBODIA</x:v>
      </x:c>
      <x:c r="B684" s="27" t="str">
        <x:v>IBRD</x:v>
      </x:c>
      <x:c r="C684" s="193" t="n">
        <x:v>0.022458220996876527</x:v>
      </x:c>
      <x:c r="D684" s="193" t="n">
        <x:v>0.05</x:v>
      </x:c>
      <x:c r="E684" s="185"/>
      <x:c r="F684" s="27" t="n">
        <x:f t="shared" si="10"/>
        <x:v>4</x:v>
      </x:c>
      <x:c r="G684" s="27" t="str">
        <x:v>Country</x:v>
      </x:c>
      <x:c r="H684" s="27" t="str">
        <x:v>Member</x:v>
      </x:c>
      <x:c r="I684" s="30" t="str">
        <x:v>Universal</x:v>
      </x:c>
      <x:c r="J684" s="151" t="str">
        <x:v>Institution-specific published voting measure</x:v>
      </x:c>
      <x:c r="K684" s="196"/>
      <x:c r="L684" s="196"/>
    </x:row>
    <x:row r="685">
      <x:c r="A685" s="31" t="str">
        <x:v>CAMEROON</x:v>
      </x:c>
      <x:c r="B685" s="32" t="str">
        <x:v>IBRD</x:v>
      </x:c>
      <x:c r="C685" s="194" t="n">
        <x:v>0.09741570820131418</x:v>
      </x:c>
      <x:c r="D685" s="194" t="n">
        <x:v>0.12</x:v>
      </x:c>
      <x:c r="E685" s="186"/>
      <x:c r="F685" s="32" t="n">
        <x:f t="shared" si="10"/>
        <x:v>4</x:v>
      </x:c>
      <x:c r="G685" s="32" t="str">
        <x:v>Country</x:v>
      </x:c>
      <x:c r="H685" s="32" t="str">
        <x:v>Member</x:v>
      </x:c>
      <x:c r="I685" s="35" t="str">
        <x:v>Universal</x:v>
      </x:c>
      <x:c r="J685" s="151" t="str">
        <x:v>Institution-specific published voting measure</x:v>
      </x:c>
      <x:c r="K685" s="196"/>
      <x:c r="L685" s="196"/>
    </x:row>
    <x:row r="686">
      <x:c r="A686" s="26" t="str">
        <x:v>CANADA</x:v>
      </x:c>
      <x:c r="B686" s="27" t="str">
        <x:v>IBRD</x:v>
      </x:c>
      <x:c r="C686" s="193" t="n">
        <x:v>2.5562099520758252</x:v>
      </x:c>
      <x:c r="D686" s="193" t="n">
        <x:v>2.44</x:v>
      </x:c>
      <x:c r="E686" s="185"/>
      <x:c r="F686" s="27" t="n">
        <x:f t="shared" si="10"/>
        <x:v>8</x:v>
      </x:c>
      <x:c r="G686" s="27" t="str">
        <x:v>Country</x:v>
      </x:c>
      <x:c r="H686" s="27" t="str">
        <x:v>Member</x:v>
      </x:c>
      <x:c r="I686" s="30" t="str">
        <x:v>Universal</x:v>
      </x:c>
      <x:c r="J686" s="151" t="str">
        <x:v>Institution-specific published voting measure</x:v>
      </x:c>
      <x:c r="K686" s="196"/>
      <x:c r="L686" s="196"/>
    </x:row>
    <x:row r="687">
      <x:c r="A687" s="31" t="str">
        <x:v>CENTRAL AFRICAN REPUBLIC</x:v>
      </x:c>
      <x:c r="B687" s="32" t="str">
        <x:v>IBRD</x:v>
      </x:c>
      <x:c r="C687" s="194" t="n">
        <x:v>0.04313865067089853</x:v>
      </x:c>
      <x:c r="D687" s="194" t="n">
        <x:v>0.07</x:v>
      </x:c>
      <x:c r="E687" s="186"/>
      <x:c r="F687" s="32" t="n">
        <x:f t="shared" si="10"/>
        <x:v>3</x:v>
      </x:c>
      <x:c r="G687" s="32" t="str">
        <x:v>Country</x:v>
      </x:c>
      <x:c r="H687" s="32" t="str">
        <x:v>Member</x:v>
      </x:c>
      <x:c r="I687" s="35" t="str">
        <x:v>Universal</x:v>
      </x:c>
      <x:c r="J687" s="151" t="str">
        <x:v>Institution-specific published voting measure</x:v>
      </x:c>
      <x:c r="K687" s="196"/>
      <x:c r="L687" s="196"/>
    </x:row>
    <x:row r="688">
      <x:c r="A688" s="26" t="str">
        <x:v>CHAD</x:v>
      </x:c>
      <x:c r="B688" s="27" t="str">
        <x:v>IBRD</x:v>
      </x:c>
      <x:c r="C688" s="193" t="n">
        <x:v>0.03537441917924816</x:v>
      </x:c>
      <x:c r="D688" s="193" t="n">
        <x:v>0.06</x:v>
      </x:c>
      <x:c r="E688" s="185"/>
      <x:c r="F688" s="27" t="n">
        <x:f t="shared" si="10"/>
        <x:v>4</x:v>
      </x:c>
      <x:c r="G688" s="27" t="str">
        <x:v>Country</x:v>
      </x:c>
      <x:c r="H688" s="27" t="str">
        <x:v>Member</x:v>
      </x:c>
      <x:c r="I688" s="30" t="str">
        <x:v>Universal</x:v>
      </x:c>
      <x:c r="J688" s="151" t="str">
        <x:v>Institution-specific published voting measure</x:v>
      </x:c>
      <x:c r="K688" s="196"/>
      <x:c r="L688" s="196"/>
    </x:row>
    <x:row r="689">
      <x:c r="A689" s="31" t="str">
        <x:v>CHILE</x:v>
      </x:c>
      <x:c r="B689" s="32" t="str">
        <x:v>IBRD</x:v>
      </x:c>
      <x:c r="C689" s="194" t="n">
        <x:v>0.42764951678543395</x:v>
      </x:c>
      <x:c r="D689" s="194" t="n">
        <x:v>0.43</x:v>
      </x:c>
      <x:c r="E689" s="186"/>
      <x:c r="F689" s="32" t="n">
        <x:f t="shared" si="10"/>
        <x:v>5</x:v>
      </x:c>
      <x:c r="G689" s="32" t="str">
        <x:v>Country</x:v>
      </x:c>
      <x:c r="H689" s="32" t="str">
        <x:v>Member</x:v>
      </x:c>
      <x:c r="I689" s="35" t="str">
        <x:v>Universal</x:v>
      </x:c>
      <x:c r="J689" s="151" t="str">
        <x:v>Institution-specific published voting measure</x:v>
      </x:c>
      <x:c r="K689" s="196"/>
      <x:c r="L689" s="196"/>
    </x:row>
    <x:row r="690">
      <x:c r="A690" s="26" t="str">
        <x:v>CHINA</x:v>
      </x:c>
      <x:c r="B690" s="27" t="str">
        <x:v>IBRD</x:v>
      </x:c>
      <x:c r="C690" s="193" t="n">
        <x:v>6.05388739469761</x:v>
      </x:c>
      <x:c r="D690" s="193" t="n">
        <x:v>5.75</x:v>
      </x:c>
      <x:c r="E690" s="185"/>
      <x:c r="F690" s="27" t="n">
        <x:f t="shared" si="10"/>
        <x:v>8</x:v>
      </x:c>
      <x:c r="G690" s="27" t="str">
        <x:v>Country</x:v>
      </x:c>
      <x:c r="H690" s="27" t="str">
        <x:v>Member</x:v>
      </x:c>
      <x:c r="I690" s="30" t="str">
        <x:v>Universal</x:v>
      </x:c>
      <x:c r="J690" s="151" t="str">
        <x:v>Institution-specific published voting measure</x:v>
      </x:c>
      <x:c r="K690" s="196"/>
      <x:c r="L690" s="196"/>
    </x:row>
    <x:row r="691">
      <x:c r="A691" s="31" t="str">
        <x:v>COLOMBIA</x:v>
      </x:c>
      <x:c r="B691" s="32" t="str">
        <x:v>IBRD</x:v>
      </x:c>
      <x:c r="C691" s="194" t="n">
        <x:v>0.42833886444123465</x:v>
      </x:c>
      <x:c r="D691" s="194" t="n">
        <x:v>0.43</x:v>
      </x:c>
      <x:c r="E691" s="186"/>
      <x:c r="F691" s="32" t="n">
        <x:f t="shared" si="10"/>
        <x:v>6</x:v>
      </x:c>
      <x:c r="G691" s="32" t="str">
        <x:v>Country</x:v>
      </x:c>
      <x:c r="H691" s="32" t="str">
        <x:v>Member</x:v>
      </x:c>
      <x:c r="I691" s="35" t="str">
        <x:v>Universal</x:v>
      </x:c>
      <x:c r="J691" s="151" t="str">
        <x:v>Institution-specific published voting measure</x:v>
      </x:c>
      <x:c r="K691" s="196"/>
      <x:c r="L691" s="196"/>
    </x:row>
    <x:row r="692">
      <x:c r="A692" s="26" t="str">
        <x:v>COMOROS</x:v>
      </x:c>
      <x:c r="B692" s="27" t="str">
        <x:v>IBRD</x:v>
      </x:c>
      <x:c r="C692" s="193" t="n">
        <x:v>0.013387857104761612</x:v>
      </x:c>
      <x:c r="D692" s="193" t="n">
        <x:v>0.04</x:v>
      </x:c>
      <x:c r="E692" s="185"/>
      <x:c r="F692" s="27" t="n">
        <x:f t="shared" si="10"/>
        <x:v>4</x:v>
      </x:c>
      <x:c r="G692" s="27" t="str">
        <x:v>Country</x:v>
      </x:c>
      <x:c r="H692" s="27" t="str">
        <x:v>Member</x:v>
      </x:c>
      <x:c r="I692" s="30" t="str">
        <x:v>Universal</x:v>
      </x:c>
      <x:c r="J692" s="151" t="str">
        <x:v>Institution-specific published voting measure</x:v>
      </x:c>
      <x:c r="K692" s="196"/>
      <x:c r="L692" s="196"/>
    </x:row>
    <x:row r="693">
      <x:c r="A693" s="31" t="str">
        <x:v>CONGO, DEMOCRATIC REPUBLIC OF</x:v>
      </x:c>
      <x:c r="B693" s="32" t="str">
        <x:v>IBRD</x:v>
      </x:c>
      <x:c r="C693" s="194" t="n">
        <x:v>0.12393745222185819</x:v>
      </x:c>
      <x:c r="D693" s="194" t="n">
        <x:v>0.15</x:v>
      </x:c>
      <x:c r="E693" s="186"/>
      <x:c r="F693" s="32" t="n">
        <x:f t="shared" si="10"/>
        <x:v>2</x:v>
      </x:c>
      <x:c r="G693" s="32" t="str">
        <x:v>Country</x:v>
      </x:c>
      <x:c r="H693" s="32" t="str">
        <x:v>Member</x:v>
      </x:c>
      <x:c r="I693" s="35" t="str">
        <x:v>Universal</x:v>
      </x:c>
      <x:c r="J693" s="151" t="str">
        <x:v>Institution-specific published voting measure</x:v>
      </x:c>
      <x:c r="K693" s="196"/>
      <x:c r="L693" s="196"/>
    </x:row>
    <x:row r="694">
      <x:c r="A694" s="26" t="str">
        <x:v>CONGO, REPUBLIC OF</x:v>
      </x:c>
      <x:c r="B694" s="27" t="str">
        <x:v>IBRD</x:v>
      </x:c>
      <x:c r="C694" s="193" t="n">
        <x:v>0.0381318098024511</x:v>
      </x:c>
      <x:c r="D694" s="193" t="n">
        <x:v>0.07</x:v>
      </x:c>
      <x:c r="E694" s="185"/>
      <x:c r="F694" s="27" t="n">
        <x:f t="shared" si="10"/>
        <x:v>2</x:v>
      </x:c>
      <x:c r="G694" s="27" t="str">
        <x:v>Country</x:v>
      </x:c>
      <x:c r="H694" s="27" t="str">
        <x:v>Member</x:v>
      </x:c>
      <x:c r="I694" s="30" t="str">
        <x:v>Universal</x:v>
      </x:c>
      <x:c r="J694" s="151" t="str">
        <x:v>Institution-specific published voting measure</x:v>
      </x:c>
      <x:c r="K694" s="196"/>
      <x:c r="L694" s="196"/>
    </x:row>
    <x:row r="695">
      <x:c r="A695" s="31" t="str">
        <x:v>COSTA RICA</x:v>
      </x:c>
      <x:c r="B695" s="32" t="str">
        <x:v>IBRD</x:v>
      </x:c>
      <x:c r="C695" s="194" t="n">
        <x:v>0.05050378615129584</x:v>
      </x:c>
      <x:c r="D695" s="194" t="n">
        <x:v>0.08</x:v>
      </x:c>
      <x:c r="E695" s="186"/>
      <x:c r="F695" s="32" t="n">
        <x:f t="shared" si="10"/>
        <x:v>5</x:v>
      </x:c>
      <x:c r="G695" s="32" t="str">
        <x:v>Country</x:v>
      </x:c>
      <x:c r="H695" s="32" t="str">
        <x:v>Member</x:v>
      </x:c>
      <x:c r="I695" s="35" t="str">
        <x:v>Universal</x:v>
      </x:c>
      <x:c r="J695" s="151" t="str">
        <x:v>Institution-specific published voting measure</x:v>
      </x:c>
      <x:c r="K695" s="196"/>
      <x:c r="L695" s="196"/>
    </x:row>
    <x:row r="696">
      <x:c r="A696" s="26" t="str">
        <x:v>COTE D'IVOIRE</x:v>
      </x:c>
      <x:c r="B696" s="27" t="str">
        <x:v>IBRD</x:v>
      </x:c>
      <x:c r="C696" s="193" t="n">
        <x:v>0.15503065964402812</x:v>
      </x:c>
      <x:c r="D696" s="193" t="n">
        <x:v>0.18</x:v>
      </x:c>
      <x:c r="E696" s="185"/>
      <x:c r="F696" s="27" t="n">
        <x:f t="shared" si="10"/>
        <x:v>2</x:v>
      </x:c>
      <x:c r="G696" s="27" t="str">
        <x:v>Country</x:v>
      </x:c>
      <x:c r="H696" s="27" t="str">
        <x:v>Member</x:v>
      </x:c>
      <x:c r="I696" s="30" t="str">
        <x:v>Universal</x:v>
      </x:c>
      <x:c r="J696" s="151" t="str">
        <x:v>Institution-specific published voting measure</x:v>
      </x:c>
      <x:c r="K696" s="196"/>
      <x:c r="L696" s="196"/>
    </x:row>
    <x:row r="697">
      <x:c r="A697" s="31" t="str">
        <x:v>CROATIA</x:v>
      </x:c>
      <x:c r="B697" s="32" t="str">
        <x:v>IBRD</x:v>
      </x:c>
      <x:c r="C697" s="194" t="n">
        <x:v>0.1224861939991198</x:v>
      </x:c>
      <x:c r="D697" s="194" t="n">
        <x:v>0.15</x:v>
      </x:c>
      <x:c r="E697" s="186"/>
      <x:c r="F697" s="32" t="n">
        <x:f t="shared" si="10"/>
        <x:v>6</x:v>
      </x:c>
      <x:c r="G697" s="32" t="str">
        <x:v>Country</x:v>
      </x:c>
      <x:c r="H697" s="32" t="str">
        <x:v>Member</x:v>
      </x:c>
      <x:c r="I697" s="35" t="str">
        <x:v>Universal</x:v>
      </x:c>
      <x:c r="J697" s="151" t="str">
        <x:v>Institution-specific published voting measure</x:v>
      </x:c>
      <x:c r="K697" s="196"/>
      <x:c r="L697" s="196"/>
    </x:row>
    <x:row r="698">
      <x:c r="A698" s="26" t="str">
        <x:v>CYPRUS</x:v>
      </x:c>
      <x:c r="B698" s="27" t="str">
        <x:v>IBRD</x:v>
      </x:c>
      <x:c r="C698" s="193" t="n">
        <x:v>0.07659015270501834</x:v>
      </x:c>
      <x:c r="D698" s="193" t="n">
        <x:v>0.1</x:v>
      </x:c>
      <x:c r="E698" s="185"/>
      <x:c r="F698" s="27" t="n">
        <x:f t="shared" si="10"/>
        <x:v>5</x:v>
      </x:c>
      <x:c r="G698" s="27" t="str">
        <x:v>Country</x:v>
      </x:c>
      <x:c r="H698" s="27" t="str">
        <x:v>Member</x:v>
      </x:c>
      <x:c r="I698" s="30" t="str">
        <x:v>Universal</x:v>
      </x:c>
      <x:c r="J698" s="151" t="str">
        <x:v>Institution-specific published voting measure</x:v>
      </x:c>
      <x:c r="K698" s="196"/>
      <x:c r="L698" s="196"/>
    </x:row>
    <x:row r="699">
      <x:c r="A699" s="31" t="str">
        <x:v>CZECHIA</x:v>
      </x:c>
      <x:c r="B699" s="32" t="str">
        <x:v>IBRD</x:v>
      </x:c>
      <x:c r="C699" s="194" t="n">
        <x:v>0.3428960365775122</x:v>
      </x:c>
      <x:c r="D699" s="194" t="n">
        <x:v>0.35</x:v>
      </x:c>
      <x:c r="E699" s="186"/>
      <x:c r="F699" s="32" t="n">
        <x:f t="shared" si="10"/>
        <x:v>3</x:v>
      </x:c>
      <x:c r="G699" s="32" t="str">
        <x:v>Country</x:v>
      </x:c>
      <x:c r="H699" s="32" t="str">
        <x:v>Member</x:v>
      </x:c>
      <x:c r="I699" s="35" t="str">
        <x:v>Universal</x:v>
      </x:c>
      <x:c r="J699" s="151" t="str">
        <x:v>Institution-specific published voting measure</x:v>
      </x:c>
      <x:c r="K699" s="196"/>
      <x:c r="L699" s="196"/>
    </x:row>
    <x:row r="700">
      <x:c r="A700" s="26" t="str">
        <x:v>DENMARK</x:v>
      </x:c>
      <x:c r="B700" s="27" t="str">
        <x:v>IBRD</x:v>
      </x:c>
      <x:c r="C700" s="193" t="n">
        <x:v>0.7641237357273287</x:v>
      </x:c>
      <x:c r="D700" s="193" t="n">
        <x:v>0.75</x:v>
      </x:c>
      <x:c r="E700" s="185"/>
      <x:c r="F700" s="27" t="n">
        <x:f t="shared" si="10"/>
        <x:v>8</x:v>
      </x:c>
      <x:c r="G700" s="27" t="str">
        <x:v>Country</x:v>
      </x:c>
      <x:c r="H700" s="27" t="str">
        <x:v>Member</x:v>
      </x:c>
      <x:c r="I700" s="30" t="str">
        <x:v>Universal</x:v>
      </x:c>
      <x:c r="J700" s="151" t="str">
        <x:v>Institution-specific published voting measure</x:v>
      </x:c>
      <x:c r="K700" s="196"/>
      <x:c r="L700" s="196"/>
    </x:row>
    <x:row r="701">
      <x:c r="A701" s="31" t="str">
        <x:v>DJIBOUTI</x:v>
      </x:c>
      <x:c r="B701" s="32" t="str">
        <x:v>IBRD</x:v>
      </x:c>
      <x:c r="C701" s="194" t="n">
        <x:v>0.03250818418933985</x:v>
      </x:c>
      <x:c r="D701" s="194" t="n">
        <x:v>0.06</x:v>
      </x:c>
      <x:c r="E701" s="186"/>
      <x:c r="F701" s="32" t="n">
        <x:f t="shared" si="10"/>
        <x:v>4</x:v>
      </x:c>
      <x:c r="G701" s="32" t="str">
        <x:v>Country</x:v>
      </x:c>
      <x:c r="H701" s="32" t="str">
        <x:v>Member</x:v>
      </x:c>
      <x:c r="I701" s="35" t="str">
        <x:v>Universal</x:v>
      </x:c>
      <x:c r="J701" s="151" t="str">
        <x:v>Institution-specific published voting measure</x:v>
      </x:c>
      <x:c r="K701" s="196"/>
      <x:c r="L701" s="196"/>
    </x:row>
    <x:row r="702">
      <x:c r="A702" s="26" t="str">
        <x:v>DOMINICA</x:v>
      </x:c>
      <x:c r="B702" s="27" t="str">
        <x:v>IBRD</x:v>
      </x:c>
      <x:c r="C702" s="193" t="n">
        <x:v>0.0253607374423533</x:v>
      </x:c>
      <x:c r="D702" s="193" t="n">
        <x:v>0.05</x:v>
      </x:c>
      <x:c r="E702" s="185"/>
      <x:c r="F702" s="27" t="n">
        <x:f t="shared" si="10"/>
        <x:v>3</x:v>
      </x:c>
      <x:c r="G702" s="27" t="str">
        <x:v>Country</x:v>
      </x:c>
      <x:c r="H702" s="27" t="str">
        <x:v>Member</x:v>
      </x:c>
      <x:c r="I702" s="30" t="str">
        <x:v>Universal</x:v>
      </x:c>
      <x:c r="J702" s="151" t="str">
        <x:v>Institution-specific published voting measure</x:v>
      </x:c>
      <x:c r="K702" s="196"/>
      <x:c r="L702" s="196"/>
    </x:row>
    <x:row r="703">
      <x:c r="A703" s="31" t="str">
        <x:v>DOMINICAN REPUBLIC</x:v>
      </x:c>
      <x:c r="B703" s="32" t="str">
        <x:v>IBRD</x:v>
      </x:c>
      <x:c r="C703" s="194" t="n">
        <x:v>0.11399633339610024</x:v>
      </x:c>
      <x:c r="D703" s="194" t="n">
        <x:v>0.14</x:v>
      </x:c>
      <x:c r="E703" s="186"/>
      <x:c r="F703" s="32" t="n">
        <x:f t="shared" si="10"/>
        <x:v>5</x:v>
      </x:c>
      <x:c r="G703" s="32" t="str">
        <x:v>Country</x:v>
      </x:c>
      <x:c r="H703" s="32" t="str">
        <x:v>Member</x:v>
      </x:c>
      <x:c r="I703" s="35" t="str">
        <x:v>Universal</x:v>
      </x:c>
      <x:c r="J703" s="151" t="str">
        <x:v>Institution-specific published voting measure</x:v>
      </x:c>
      <x:c r="K703" s="196"/>
      <x:c r="L703" s="196"/>
    </x:row>
    <x:row r="704">
      <x:c r="A704" s="26" t="str">
        <x:v>ECUADOR</x:v>
      </x:c>
      <x:c r="B704" s="27" t="str">
        <x:v>IBRD</x:v>
      </x:c>
      <x:c r="C704" s="193" t="n">
        <x:v>0.16410102353614303</x:v>
      </x:c>
      <x:c r="D704" s="193" t="n">
        <x:v>0.18</x:v>
      </x:c>
      <x:c r="E704" s="185"/>
      <x:c r="F704" s="27" t="n">
        <x:f t="shared" si="10"/>
        <x:v>5</x:v>
      </x:c>
      <x:c r="G704" s="27" t="str">
        <x:v>Country</x:v>
      </x:c>
      <x:c r="H704" s="27" t="str">
        <x:v>Member</x:v>
      </x:c>
      <x:c r="I704" s="30" t="str">
        <x:v>Universal</x:v>
      </x:c>
      <x:c r="J704" s="151" t="str">
        <x:v>Institution-specific published voting measure</x:v>
      </x:c>
      <x:c r="K704" s="196"/>
      <x:c r="L704" s="196"/>
    </x:row>
    <x:row r="705">
      <x:c r="A705" s="31" t="str">
        <x:v>EGYPT, ARAB REPUBLIC OF</x:v>
      </x:c>
      <x:c r="B705" s="32" t="str">
        <x:v>IBRD</x:v>
      </x:c>
      <x:c r="C705" s="194" t="n">
        <x:v>0.47162264093440714</x:v>
      </x:c>
      <x:c r="D705" s="194" t="n">
        <x:v>0.47</x:v>
      </x:c>
      <x:c r="E705" s="186"/>
      <x:c r="F705" s="32" t="n">
        <x:f t="shared" si="10"/>
        <x:v>2</x:v>
      </x:c>
      <x:c r="G705" s="32" t="str">
        <x:v>Country</x:v>
      </x:c>
      <x:c r="H705" s="32" t="str">
        <x:v>Member</x:v>
      </x:c>
      <x:c r="I705" s="35" t="str">
        <x:v>Universal</x:v>
      </x:c>
      <x:c r="J705" s="151" t="str">
        <x:v>Institution-specific published voting measure</x:v>
      </x:c>
      <x:c r="K705" s="196"/>
      <x:c r="L705" s="196"/>
    </x:row>
    <x:row r="706">
      <x:c r="A706" s="26" t="str">
        <x:v>EL SALVADOR</x:v>
      </x:c>
      <x:c r="B706" s="27" t="str">
        <x:v>IBRD</x:v>
      </x:c>
      <x:c r="C706" s="193" t="n">
        <x:v>0.02002736347378973</x:v>
      </x:c>
      <x:c r="D706" s="193" t="n">
        <x:v>0.05</x:v>
      </x:c>
      <x:c r="E706" s="185"/>
      <x:c r="F706" s="27" t="n">
        <x:f t="shared" si="10"/>
        <x:v>5</x:v>
      </x:c>
      <x:c r="G706" s="27" t="str">
        <x:v>Country</x:v>
      </x:c>
      <x:c r="H706" s="27" t="str">
        <x:v>Member</x:v>
      </x:c>
      <x:c r="I706" s="30" t="str">
        <x:v>Universal</x:v>
      </x:c>
      <x:c r="J706" s="151" t="str">
        <x:v>Institution-specific published voting measure</x:v>
      </x:c>
      <x:c r="K706" s="196"/>
      <x:c r="L706" s="196"/>
    </x:row>
    <x:row r="707">
      <x:c r="A707" s="31" t="str">
        <x:v>EQUATORIAL GUINEA</x:v>
      </x:c>
      <x:c r="B707" s="32" t="str">
        <x:v>IBRD</x:v>
      </x:c>
      <x:c r="C707" s="194" t="n">
        <x:v>0.031202051788875303</x:v>
      </x:c>
      <x:c r="D707" s="194" t="n">
        <x:v>0.06</x:v>
      </x:c>
      <x:c r="E707" s="186"/>
      <x:c r="F707" s="32" t="n">
        <x:f t="shared" ref="F707:F770" si="11">COUNTIF(A707:A1738,A707)</x:f>
        <x:v>2</x:v>
      </x:c>
      <x:c r="G707" s="32" t="str">
        <x:v>Country</x:v>
      </x:c>
      <x:c r="H707" s="32" t="str">
        <x:v>Member</x:v>
      </x:c>
      <x:c r="I707" s="35" t="str">
        <x:v>Universal</x:v>
      </x:c>
      <x:c r="J707" s="151" t="str">
        <x:v>Institution-specific published voting measure</x:v>
      </x:c>
      <x:c r="K707" s="196"/>
      <x:c r="L707" s="196"/>
    </x:row>
    <x:row r="708">
      <x:c r="A708" s="26" t="str">
        <x:v>ERITREA</x:v>
      </x:c>
      <x:c r="B708" s="27" t="str">
        <x:v>IBRD</x:v>
      </x:c>
      <x:c r="C708" s="193" t="n">
        <x:v>0.021514903152096577</x:v>
      </x:c>
      <x:c r="D708" s="193" t="n">
        <x:v>0.05</x:v>
      </x:c>
      <x:c r="E708" s="185"/>
      <x:c r="F708" s="27" t="n">
        <x:f t="shared" si="11"/>
        <x:v>3</x:v>
      </x:c>
      <x:c r="G708" s="27" t="str">
        <x:v>Country</x:v>
      </x:c>
      <x:c r="H708" s="27" t="str">
        <x:v>Member</x:v>
      </x:c>
      <x:c r="I708" s="30" t="str">
        <x:v>Universal</x:v>
      </x:c>
      <x:c r="J708" s="151" t="str">
        <x:v>Institution-specific published voting measure</x:v>
      </x:c>
      <x:c r="K708" s="196"/>
      <x:c r="L708" s="196"/>
    </x:row>
    <x:row r="709">
      <x:c r="A709" s="31" t="str">
        <x:v>ESTONIA</x:v>
      </x:c>
      <x:c r="B709" s="32" t="str">
        <x:v>IBRD</x:v>
      </x:c>
      <x:c r="C709" s="194" t="n">
        <x:v>0.04977815703992664</x:v>
      </x:c>
      <x:c r="D709" s="194" t="n">
        <x:v>0.08</x:v>
      </x:c>
      <x:c r="E709" s="186"/>
      <x:c r="F709" s="32" t="n">
        <x:f t="shared" si="11"/>
        <x:v>4</x:v>
      </x:c>
      <x:c r="G709" s="32" t="str">
        <x:v>Country</x:v>
      </x:c>
      <x:c r="H709" s="32" t="str">
        <x:v>Member</x:v>
      </x:c>
      <x:c r="I709" s="35" t="str">
        <x:v>Universal</x:v>
      </x:c>
      <x:c r="J709" s="151" t="str">
        <x:v>Institution-specific published voting measure</x:v>
      </x:c>
      <x:c r="K709" s="196"/>
      <x:c r="L709" s="196"/>
    </x:row>
    <x:row r="710">
      <x:c r="A710" s="26" t="str">
        <x:v>ESWATINI</x:v>
      </x:c>
      <x:c r="B710" s="27" t="str">
        <x:v>IBRD</x:v>
      </x:c>
      <x:c r="C710" s="193" t="n">
        <x:v>0.02209540644119193</x:v>
      </x:c>
      <x:c r="D710" s="193" t="n">
        <x:v>0.05</x:v>
      </x:c>
      <x:c r="E710" s="185"/>
      <x:c r="F710" s="27" t="n">
        <x:f t="shared" si="11"/>
        <x:v>3</x:v>
      </x:c>
      <x:c r="G710" s="27" t="str">
        <x:v>Country</x:v>
      </x:c>
      <x:c r="H710" s="27" t="str">
        <x:v>Member</x:v>
      </x:c>
      <x:c r="I710" s="30" t="str">
        <x:v>Universal</x:v>
      </x:c>
      <x:c r="J710" s="151" t="str">
        <x:v>Institution-specific published voting measure</x:v>
      </x:c>
      <x:c r="K710" s="196"/>
      <x:c r="L710" s="196"/>
    </x:row>
    <x:row r="711">
      <x:c r="A711" s="31" t="str">
        <x:v>ETHIOPIA</x:v>
      </x:c>
      <x:c r="B711" s="32" t="str">
        <x:v>IBRD</x:v>
      </x:c>
      <x:c r="C711" s="194" t="n">
        <x:v>0.06635878223471271</x:v>
      </x:c>
      <x:c r="D711" s="194" t="n">
        <x:v>0.09</x:v>
      </x:c>
      <x:c r="E711" s="186"/>
      <x:c r="F711" s="32" t="n">
        <x:f t="shared" si="11"/>
        <x:v>4</x:v>
      </x:c>
      <x:c r="G711" s="32" t="str">
        <x:v>Country</x:v>
      </x:c>
      <x:c r="H711" s="32" t="str">
        <x:v>Member</x:v>
      </x:c>
      <x:c r="I711" s="35" t="str">
        <x:v>Universal</x:v>
      </x:c>
      <x:c r="J711" s="151" t="str">
        <x:v>Institution-specific published voting measure</x:v>
      </x:c>
      <x:c r="K711" s="196"/>
      <x:c r="L711" s="196"/>
    </x:row>
    <x:row r="712">
      <x:c r="A712" s="26" t="str">
        <x:v>FIJI</x:v>
      </x:c>
      <x:c r="B712" s="27" t="str">
        <x:v>IBRD</x:v>
      </x:c>
      <x:c r="C712" s="193" t="n">
        <x:v>0.05104800798482273</x:v>
      </x:c>
      <x:c r="D712" s="193" t="n">
        <x:v>0.08</x:v>
      </x:c>
      <x:c r="E712" s="185"/>
      <x:c r="F712" s="27" t="n">
        <x:f t="shared" si="11"/>
        <x:v>4</x:v>
      </x:c>
      <x:c r="G712" s="27" t="str">
        <x:v>Country</x:v>
      </x:c>
      <x:c r="H712" s="27" t="str">
        <x:v>Member</x:v>
      </x:c>
      <x:c r="I712" s="30" t="str">
        <x:v>Universal</x:v>
      </x:c>
      <x:c r="J712" s="151" t="str">
        <x:v>Institution-specific published voting measure</x:v>
      </x:c>
      <x:c r="K712" s="196"/>
      <x:c r="L712" s="196"/>
    </x:row>
    <x:row r="713">
      <x:c r="A713" s="31" t="str">
        <x:v>FINLAND</x:v>
      </x:c>
      <x:c r="B713" s="32" t="str">
        <x:v>IBRD</x:v>
      </x:c>
      <x:c r="C713" s="194" t="n">
        <x:v>0.49799925913267723</x:v>
      </x:c>
      <x:c r="D713" s="194" t="n">
        <x:v>0.5</x:v>
      </x:c>
      <x:c r="E713" s="186"/>
      <x:c r="F713" s="32" t="n">
        <x:f t="shared" si="11"/>
        <x:v>8</x:v>
      </x:c>
      <x:c r="G713" s="32" t="str">
        <x:v>Country</x:v>
      </x:c>
      <x:c r="H713" s="32" t="str">
        <x:v>Member</x:v>
      </x:c>
      <x:c r="I713" s="35" t="str">
        <x:v>Universal</x:v>
      </x:c>
      <x:c r="J713" s="151" t="str">
        <x:v>Institution-specific published voting measure</x:v>
      </x:c>
      <x:c r="K713" s="196"/>
      <x:c r="L713" s="196"/>
    </x:row>
    <x:row r="714">
      <x:c r="A714" s="26" t="str">
        <x:v>FRANCE</x:v>
      </x:c>
      <x:c r="B714" s="27" t="str">
        <x:v>IBRD</x:v>
      </x:c>
      <x:c r="C714" s="193" t="n">
        <x:v>3.9405651707459723</x:v>
      </x:c>
      <x:c r="D714" s="193" t="n">
        <x:v>3.75</x:v>
      </x:c>
      <x:c r="E714" s="185"/>
      <x:c r="F714" s="27" t="n">
        <x:f t="shared" si="11"/>
        <x:v>8</x:v>
      </x:c>
      <x:c r="G714" s="27" t="str">
        <x:v>Country</x:v>
      </x:c>
      <x:c r="H714" s="27" t="str">
        <x:v>Member</x:v>
      </x:c>
      <x:c r="I714" s="30" t="str">
        <x:v>Universal</x:v>
      </x:c>
      <x:c r="J714" s="151" t="str">
        <x:v>Institution-specific published voting measure</x:v>
      </x:c>
      <x:c r="K714" s="196"/>
      <x:c r="L714" s="196"/>
    </x:row>
    <x:row r="715">
      <x:c r="A715" s="31" t="str">
        <x:v>GABON</x:v>
      </x:c>
      <x:c r="B715" s="32" t="str">
        <x:v>IBRD</x:v>
      </x:c>
      <x:c r="C715" s="194" t="n">
        <x:v>0.0415422666258863</x:v>
      </x:c>
      <x:c r="D715" s="194" t="n">
        <x:v>0.07</x:v>
      </x:c>
      <x:c r="E715" s="186"/>
      <x:c r="F715" s="32" t="n">
        <x:f t="shared" si="11"/>
        <x:v>4</x:v>
      </x:c>
      <x:c r="G715" s="32" t="str">
        <x:v>Country</x:v>
      </x:c>
      <x:c r="H715" s="32" t="str">
        <x:v>Member</x:v>
      </x:c>
      <x:c r="I715" s="35" t="str">
        <x:v>Universal</x:v>
      </x:c>
      <x:c r="J715" s="151" t="str">
        <x:v>Institution-specific published voting measure</x:v>
      </x:c>
      <x:c r="K715" s="196"/>
      <x:c r="L715" s="196"/>
    </x:row>
    <x:row r="716">
      <x:c r="A716" s="26" t="str">
        <x:v>GAMBIA, THE</x:v>
      </x:c>
      <x:c r="B716" s="27" t="str">
        <x:v>IBRD</x:v>
      </x:c>
      <x:c r="C716" s="193" t="n">
        <x:v>0.028190690976693154</x:v>
      </x:c>
      <x:c r="D716" s="193" t="n">
        <x:v>0.06</x:v>
      </x:c>
      <x:c r="E716" s="185"/>
      <x:c r="F716" s="27" t="n">
        <x:f t="shared" si="11"/>
        <x:v>2</x:v>
      </x:c>
      <x:c r="G716" s="27" t="str">
        <x:v>Country</x:v>
      </x:c>
      <x:c r="H716" s="27" t="str">
        <x:v>Member</x:v>
      </x:c>
      <x:c r="I716" s="30" t="str">
        <x:v>Universal</x:v>
      </x:c>
      <x:c r="J716" s="151" t="str">
        <x:v>Institution-specific published voting measure</x:v>
      </x:c>
      <x:c r="K716" s="196"/>
      <x:c r="L716" s="196"/>
    </x:row>
    <x:row r="717">
      <x:c r="A717" s="31" t="str">
        <x:v>GEORGIA</x:v>
      </x:c>
      <x:c r="B717" s="32" t="str">
        <x:v>IBRD</x:v>
      </x:c>
      <x:c r="C717" s="194" t="n">
        <x:v>0.09396896992231052</x:v>
      </x:c>
      <x:c r="D717" s="194" t="n">
        <x:v>0.12</x:v>
      </x:c>
      <x:c r="E717" s="186"/>
      <x:c r="F717" s="32" t="n">
        <x:f t="shared" si="11"/>
        <x:v>5</x:v>
      </x:c>
      <x:c r="G717" s="32" t="str">
        <x:v>Country</x:v>
      </x:c>
      <x:c r="H717" s="32" t="str">
        <x:v>Member</x:v>
      </x:c>
      <x:c r="I717" s="35" t="str">
        <x:v>Universal</x:v>
      </x:c>
      <x:c r="J717" s="151" t="str">
        <x:v>Institution-specific published voting measure</x:v>
      </x:c>
      <x:c r="K717" s="196"/>
      <x:c r="L717" s="196"/>
    </x:row>
    <x:row r="718">
      <x:c r="A718" s="26" t="str">
        <x:v>GERMANY</x:v>
      </x:c>
      <x:c r="B718" s="27" t="str">
        <x:v>IBRD</x:v>
      </x:c>
      <x:c r="C718" s="193" t="n">
        <x:v>4.302182438396809</x:v>
      </x:c>
      <x:c r="D718" s="193" t="n">
        <x:v>4.09</x:v>
      </x:c>
      <x:c r="E718" s="185"/>
      <x:c r="F718" s="27" t="n">
        <x:f t="shared" si="11"/>
        <x:v>9</x:v>
      </x:c>
      <x:c r="G718" s="27" t="str">
        <x:v>Country</x:v>
      </x:c>
      <x:c r="H718" s="27" t="str">
        <x:v>Member</x:v>
      </x:c>
      <x:c r="I718" s="30" t="str">
        <x:v>Universal</x:v>
      </x:c>
      <x:c r="J718" s="151" t="str">
        <x:v>Institution-specific published voting measure</x:v>
      </x:c>
      <x:c r="K718" s="196"/>
      <x:c r="L718" s="196"/>
    </x:row>
    <x:row r="719">
      <x:c r="A719" s="31" t="str">
        <x:v>GHANA</x:v>
      </x:c>
      <x:c r="B719" s="32" t="str">
        <x:v>IBRD</x:v>
      </x:c>
      <x:c r="C719" s="194" t="n">
        <x:v>0.09741570820131418</x:v>
      </x:c>
      <x:c r="D719" s="194" t="n">
        <x:v>0.12</x:v>
      </x:c>
      <x:c r="E719" s="186"/>
      <x:c r="F719" s="32" t="n">
        <x:f t="shared" si="11"/>
        <x:v>4</x:v>
      </x:c>
      <x:c r="G719" s="32" t="str">
        <x:v>Country</x:v>
      </x:c>
      <x:c r="H719" s="32" t="str">
        <x:v>Member</x:v>
      </x:c>
      <x:c r="I719" s="35" t="str">
        <x:v>Universal</x:v>
      </x:c>
      <x:c r="J719" s="151" t="str">
        <x:v>Institution-specific published voting measure</x:v>
      </x:c>
      <x:c r="K719" s="196"/>
      <x:c r="L719" s="196"/>
    </x:row>
    <x:row r="720">
      <x:c r="A720" s="26" t="str">
        <x:v>GREECE</x:v>
      </x:c>
      <x:c r="B720" s="27" t="str">
        <x:v>IBRD</x:v>
      </x:c>
      <x:c r="C720" s="193" t="n">
        <x:v>0.16181529183533006</x:v>
      </x:c>
      <x:c r="D720" s="193" t="n">
        <x:v>0.18</x:v>
      </x:c>
      <x:c r="E720" s="185"/>
      <x:c r="F720" s="27" t="n">
        <x:f t="shared" si="11"/>
        <x:v>5</x:v>
      </x:c>
      <x:c r="G720" s="27" t="str">
        <x:v>Country</x:v>
      </x:c>
      <x:c r="H720" s="27" t="str">
        <x:v>Member</x:v>
      </x:c>
      <x:c r="I720" s="30" t="str">
        <x:v>Universal</x:v>
      </x:c>
      <x:c r="J720" s="151" t="str">
        <x:v>Institution-specific published voting measure</x:v>
      </x:c>
      <x:c r="K720" s="196"/>
      <x:c r="L720" s="196"/>
    </x:row>
    <x:row r="721">
      <x:c r="A721" s="31" t="str">
        <x:v>GRENADA</x:v>
      </x:c>
      <x:c r="B721" s="32" t="str">
        <x:v>IBRD</x:v>
      </x:c>
      <x:c r="C721" s="194" t="n">
        <x:v>0.026811995665091688</x:v>
      </x:c>
      <x:c r="D721" s="194" t="n">
        <x:v>0.05</x:v>
      </x:c>
      <x:c r="E721" s="186"/>
      <x:c r="F721" s="32" t="n">
        <x:f t="shared" si="11"/>
        <x:v>3</x:v>
      </x:c>
      <x:c r="G721" s="32" t="str">
        <x:v>Country</x:v>
      </x:c>
      <x:c r="H721" s="32" t="str">
        <x:v>Member</x:v>
      </x:c>
      <x:c r="I721" s="35" t="str">
        <x:v>Universal</x:v>
      </x:c>
      <x:c r="J721" s="151" t="str">
        <x:v>Institution-specific published voting measure</x:v>
      </x:c>
      <x:c r="K721" s="196"/>
      <x:c r="L721" s="196"/>
    </x:row>
    <x:row r="722">
      <x:c r="A722" s="26" t="str">
        <x:v>GUATEMALA</x:v>
      </x:c>
      <x:c r="B722" s="27" t="str">
        <x:v>IBRD</x:v>
      </x:c>
      <x:c r="C722" s="193" t="n">
        <x:v>0.07259919259248777</x:v>
      </x:c>
      <x:c r="D722" s="193" t="n">
        <x:v>0.1</x:v>
      </x:c>
      <x:c r="E722" s="185"/>
      <x:c r="F722" s="27" t="n">
        <x:f t="shared" si="11"/>
        <x:v>4</x:v>
      </x:c>
      <x:c r="G722" s="27" t="str">
        <x:v>Country</x:v>
      </x:c>
      <x:c r="H722" s="27" t="str">
        <x:v>Member</x:v>
      </x:c>
      <x:c r="I722" s="30" t="str">
        <x:v>Universal</x:v>
      </x:c>
      <x:c r="J722" s="151" t="str">
        <x:v>Institution-specific published voting measure</x:v>
      </x:c>
      <x:c r="K722" s="196"/>
      <x:c r="L722" s="196"/>
    </x:row>
    <x:row r="723">
      <x:c r="A723" s="31" t="str">
        <x:v>GUINEA</x:v>
      </x:c>
      <x:c r="B723" s="32" t="str">
        <x:v>IBRD</x:v>
      </x:c>
      <x:c r="C723" s="194" t="n">
        <x:v>0.0824677485071088</x:v>
      </x:c>
      <x:c r="D723" s="194" t="n">
        <x:v>0.11</x:v>
      </x:c>
      <x:c r="E723" s="186"/>
      <x:c r="F723" s="32" t="n">
        <x:f t="shared" si="11"/>
        <x:v>5</x:v>
      </x:c>
      <x:c r="G723" s="32" t="str">
        <x:v>Country</x:v>
      </x:c>
      <x:c r="H723" s="32" t="str">
        <x:v>Member</x:v>
      </x:c>
      <x:c r="I723" s="35" t="str">
        <x:v>Universal</x:v>
      </x:c>
      <x:c r="J723" s="151" t="str">
        <x:v>Institution-specific published voting measure</x:v>
      </x:c>
      <x:c r="K723" s="196"/>
      <x:c r="L723" s="196"/>
    </x:row>
    <x:row r="724">
      <x:c r="A724" s="26" t="str">
        <x:v>GUINEA-BISSAU</x:v>
      </x:c>
      <x:c r="B724" s="27" t="str">
        <x:v>IBRD</x:v>
      </x:c>
      <x:c r="C724" s="193" t="n">
        <x:v>0.02224053226346577</x:v>
      </x:c>
      <x:c r="D724" s="193" t="n">
        <x:v>0.05</x:v>
      </x:c>
      <x:c r="E724" s="185"/>
      <x:c r="F724" s="27" t="n">
        <x:f t="shared" si="11"/>
        <x:v>4</x:v>
      </x:c>
      <x:c r="G724" s="27" t="str">
        <x:v>Country</x:v>
      </x:c>
      <x:c r="H724" s="27" t="str">
        <x:v>Member</x:v>
      </x:c>
      <x:c r="I724" s="30" t="str">
        <x:v>Universal</x:v>
      </x:c>
      <x:c r="J724" s="151" t="str">
        <x:v>Institution-specific published voting measure</x:v>
      </x:c>
      <x:c r="K724" s="196"/>
      <x:c r="L724" s="196"/>
    </x:row>
    <x:row r="725">
      <x:c r="A725" s="31" t="str">
        <x:v>GUYANA</x:v>
      </x:c>
      <x:c r="B725" s="32" t="str">
        <x:v>IBRD</x:v>
      </x:c>
      <x:c r="C725" s="194" t="n">
        <x:v>0.06254922940002444</x:v>
      </x:c>
      <x:c r="D725" s="194" t="n">
        <x:v>0.09</x:v>
      </x:c>
      <x:c r="E725" s="186"/>
      <x:c r="F725" s="32" t="n">
        <x:f t="shared" si="11"/>
        <x:v>5</x:v>
      </x:c>
      <x:c r="G725" s="32" t="str">
        <x:v>Country</x:v>
      </x:c>
      <x:c r="H725" s="32" t="str">
        <x:v>Member</x:v>
      </x:c>
      <x:c r="I725" s="35" t="str">
        <x:v>Universal</x:v>
      </x:c>
      <x:c r="J725" s="151" t="str">
        <x:v>Institution-specific published voting measure</x:v>
      </x:c>
      <x:c r="K725" s="196"/>
      <x:c r="L725" s="196"/>
    </x:row>
    <x:row r="726">
      <x:c r="A726" s="26" t="str">
        <x:v>HAITI</x:v>
      </x:c>
      <x:c r="B726" s="27" t="str">
        <x:v>IBRD</x:v>
      </x:c>
      <x:c r="C726" s="193" t="n">
        <x:v>0.06857195102438875</x:v>
      </x:c>
      <x:c r="D726" s="193" t="n">
        <x:v>0.09</x:v>
      </x:c>
      <x:c r="E726" s="185"/>
      <x:c r="F726" s="27" t="n">
        <x:f t="shared" si="11"/>
        <x:v>4</x:v>
      </x:c>
      <x:c r="G726" s="27" t="str">
        <x:v>Country</x:v>
      </x:c>
      <x:c r="H726" s="27" t="str">
        <x:v>Member</x:v>
      </x:c>
      <x:c r="I726" s="30" t="str">
        <x:v>Universal</x:v>
      </x:c>
      <x:c r="J726" s="151" t="str">
        <x:v>Institution-specific published voting measure</x:v>
      </x:c>
      <x:c r="K726" s="196"/>
      <x:c r="L726" s="196"/>
    </x:row>
    <x:row r="727">
      <x:c r="A727" s="31" t="str">
        <x:v>HONDURAS</x:v>
      </x:c>
      <x:c r="B727" s="32" t="str">
        <x:v>IBRD</x:v>
      </x:c>
      <x:c r="C727" s="194" t="n">
        <x:v>0.028372098254535454</x:v>
      </x:c>
      <x:c r="D727" s="194" t="n">
        <x:v>0.06</x:v>
      </x:c>
      <x:c r="E727" s="186"/>
      <x:c r="F727" s="32" t="n">
        <x:f t="shared" si="11"/>
        <x:v>5</x:v>
      </x:c>
      <x:c r="G727" s="32" t="str">
        <x:v>Country</x:v>
      </x:c>
      <x:c r="H727" s="32" t="str">
        <x:v>Member</x:v>
      </x:c>
      <x:c r="I727" s="35" t="str">
        <x:v>Universal</x:v>
      </x:c>
      <x:c r="J727" s="151" t="str">
        <x:v>Institution-specific published voting measure</x:v>
      </x:c>
      <x:c r="K727" s="196"/>
      <x:c r="L727" s="196"/>
    </x:row>
    <x:row r="728">
      <x:c r="A728" s="26" t="str">
        <x:v>HUNGARY</x:v>
      </x:c>
      <x:c r="B728" s="27" t="str">
        <x:v>IBRD</x:v>
      </x:c>
      <x:c r="C728" s="193" t="n">
        <x:v>0.4519218105607335</x:v>
      </x:c>
      <x:c r="D728" s="193" t="n">
        <x:v>0.46</x:v>
      </x:c>
      <x:c r="E728" s="185"/>
      <x:c r="F728" s="27" t="n">
        <x:f t="shared" si="11"/>
        <x:v>5</x:v>
      </x:c>
      <x:c r="G728" s="27" t="str">
        <x:v>Country</x:v>
      </x:c>
      <x:c r="H728" s="27" t="str">
        <x:v>Member</x:v>
      </x:c>
      <x:c r="I728" s="30" t="str">
        <x:v>Universal</x:v>
      </x:c>
      <x:c r="J728" s="151" t="str">
        <x:v>Institution-specific published voting measure</x:v>
      </x:c>
      <x:c r="K728" s="196"/>
      <x:c r="L728" s="196"/>
    </x:row>
    <x:row r="729">
      <x:c r="A729" s="31" t="str">
        <x:v>ICELAND</x:v>
      </x:c>
      <x:c r="B729" s="32" t="str">
        <x:v>IBRD</x:v>
      </x:c>
      <x:c r="C729" s="194" t="n">
        <x:v>0.07165587474770782</x:v>
      </x:c>
      <x:c r="D729" s="194" t="n">
        <x:v>0.1</x:v>
      </x:c>
      <x:c r="E729" s="186"/>
      <x:c r="F729" s="32" t="n">
        <x:f t="shared" si="11"/>
        <x:v>4</x:v>
      </x:c>
      <x:c r="G729" s="32" t="str">
        <x:v>Country</x:v>
      </x:c>
      <x:c r="H729" s="32" t="str">
        <x:v>Member</x:v>
      </x:c>
      <x:c r="I729" s="35" t="str">
        <x:v>Universal</x:v>
      </x:c>
      <x:c r="J729" s="151" t="str">
        <x:v>Institution-specific published voting measure</x:v>
      </x:c>
      <x:c r="K729" s="196"/>
      <x:c r="L729" s="196"/>
    </x:row>
    <x:row r="730">
      <x:c r="A730" s="26" t="str">
        <x:v>INDIA</x:v>
      </x:c>
      <x:c r="B730" s="27" t="str">
        <x:v>IBRD</x:v>
      </x:c>
      <x:c r="C730" s="193" t="n">
        <x:v>3.090272978043551</x:v>
      </x:c>
      <x:c r="D730" s="193" t="n">
        <x:v>2.95</x:v>
      </x:c>
      <x:c r="E730" s="185"/>
      <x:c r="F730" s="27" t="n">
        <x:f t="shared" si="11"/>
        <x:v>7</x:v>
      </x:c>
      <x:c r="G730" s="27" t="str">
        <x:v>Country</x:v>
      </x:c>
      <x:c r="H730" s="27" t="str">
        <x:v>Member</x:v>
      </x:c>
      <x:c r="I730" s="30" t="str">
        <x:v>Universal</x:v>
      </x:c>
      <x:c r="J730" s="151" t="str">
        <x:v>Institution-specific published voting measure</x:v>
      </x:c>
      <x:c r="K730" s="196"/>
      <x:c r="L730" s="196"/>
    </x:row>
    <x:row r="731">
      <x:c r="A731" s="31" t="str">
        <x:v>INDONESIA</x:v>
      </x:c>
      <x:c r="B731" s="32" t="str">
        <x:v>IBRD</x:v>
      </x:c>
      <x:c r="C731" s="194" t="n">
        <x:v>1.0471916520724511</x:v>
      </x:c>
      <x:c r="D731" s="194" t="n">
        <x:v>1.02</x:v>
      </x:c>
      <x:c r="E731" s="186"/>
      <x:c r="F731" s="32" t="n">
        <x:f t="shared" si="11"/>
        <x:v>5</x:v>
      </x:c>
      <x:c r="G731" s="32" t="str">
        <x:v>Country</x:v>
      </x:c>
      <x:c r="H731" s="32" t="str">
        <x:v>Member</x:v>
      </x:c>
      <x:c r="I731" s="35" t="str">
        <x:v>Universal</x:v>
      </x:c>
      <x:c r="J731" s="151" t="str">
        <x:v>Institution-specific published voting measure</x:v>
      </x:c>
      <x:c r="K731" s="196"/>
      <x:c r="L731" s="196"/>
    </x:row>
    <x:row r="732">
      <x:c r="A732" s="26" t="str">
        <x:v>IRAN, ISLAMIC REPUBLIC OF</x:v>
      </x:c>
      <x:c r="B732" s="27" t="str">
        <x:v>IBRD</x:v>
      </x:c>
      <x:c r="C732" s="193" t="n">
        <x:v>1.389579748272005</x:v>
      </x:c>
      <x:c r="D732" s="193" t="n">
        <x:v>1.34</x:v>
      </x:c>
      <x:c r="E732" s="185"/>
      <x:c r="F732" s="27" t="n">
        <x:f t="shared" si="11"/>
        <x:v>2</x:v>
      </x:c>
      <x:c r="G732" s="27" t="str">
        <x:v>Country</x:v>
      </x:c>
      <x:c r="H732" s="27" t="str">
        <x:v>Member</x:v>
      </x:c>
      <x:c r="I732" s="30" t="str">
        <x:v>Universal</x:v>
      </x:c>
      <x:c r="J732" s="151" t="str">
        <x:v>Institution-specific published voting measure</x:v>
      </x:c>
      <x:c r="K732" s="196"/>
      <x:c r="L732" s="196"/>
    </x:row>
    <x:row r="733">
      <x:c r="A733" s="31" t="str">
        <x:v>IRAQ</x:v>
      </x:c>
      <x:c r="B733" s="32" t="str">
        <x:v>IBRD</x:v>
      </x:c>
      <x:c r="C733" s="194" t="n">
        <x:v>0.18449120156561735</x:v>
      </x:c>
      <x:c r="D733" s="194" t="n">
        <x:v>0.2</x:v>
      </x:c>
      <x:c r="E733" s="186"/>
      <x:c r="F733" s="32" t="n">
        <x:f t="shared" si="11"/>
        <x:v>6</x:v>
      </x:c>
      <x:c r="G733" s="32" t="str">
        <x:v>Country</x:v>
      </x:c>
      <x:c r="H733" s="32" t="str">
        <x:v>Member</x:v>
      </x:c>
      <x:c r="I733" s="35" t="str">
        <x:v>Universal</x:v>
      </x:c>
      <x:c r="J733" s="151" t="str">
        <x:v>Institution-specific published voting measure</x:v>
      </x:c>
      <x:c r="K733" s="196"/>
      <x:c r="L733" s="196"/>
    </x:row>
    <x:row r="734">
      <x:c r="A734" s="26" t="str">
        <x:v>IRELAND</x:v>
      </x:c>
      <x:c r="B734" s="27" t="str">
        <x:v>IBRD</x:v>
      </x:c>
      <x:c r="C734" s="193" t="n">
        <x:v>0.3415899041770477</x:v>
      </x:c>
      <x:c r="D734" s="193" t="n">
        <x:v>0.35</x:v>
      </x:c>
      <x:c r="E734" s="185"/>
      <x:c r="F734" s="27" t="n">
        <x:f t="shared" si="11"/>
        <x:v>7</x:v>
      </x:c>
      <x:c r="G734" s="27" t="str">
        <x:v>Country</x:v>
      </x:c>
      <x:c r="H734" s="27" t="str">
        <x:v>Member</x:v>
      </x:c>
      <x:c r="I734" s="30" t="str">
        <x:v>Universal</x:v>
      </x:c>
      <x:c r="J734" s="151" t="str">
        <x:v>Institution-specific published voting measure</x:v>
      </x:c>
      <x:c r="K734" s="196"/>
      <x:c r="L734" s="196"/>
    </x:row>
    <x:row r="735">
      <x:c r="A735" s="31" t="str">
        <x:v>ISRAEL</x:v>
      </x:c>
      <x:c r="B735" s="32" t="str">
        <x:v>IBRD</x:v>
      </x:c>
      <x:c r="C735" s="194" t="n">
        <x:v>0.26797483082864304</x:v>
      </x:c>
      <x:c r="D735" s="194" t="n">
        <x:v>0.28</x:v>
      </x:c>
      <x:c r="E735" s="186"/>
      <x:c r="F735" s="32" t="n">
        <x:f t="shared" si="11"/>
        <x:v>5</x:v>
      </x:c>
      <x:c r="G735" s="32" t="str">
        <x:v>Country</x:v>
      </x:c>
      <x:c r="H735" s="32" t="str">
        <x:v>Member</x:v>
      </x:c>
      <x:c r="I735" s="35" t="str">
        <x:v>Universal</x:v>
      </x:c>
      <x:c r="J735" s="151" t="str">
        <x:v>Institution-specific published voting measure</x:v>
      </x:c>
      <x:c r="K735" s="196"/>
      <x:c r="L735" s="196"/>
    </x:row>
    <x:row r="736">
      <x:c r="A736" s="26" t="str">
        <x:v>ITALY</x:v>
      </x:c>
      <x:c r="B736" s="27" t="str">
        <x:v>IBRD</x:v>
      </x:c>
      <x:c r="C736" s="193" t="n">
        <x:v>2.7626151528047918</x:v>
      </x:c>
      <x:c r="D736" s="193" t="n">
        <x:v>2.64</x:v>
      </x:c>
      <x:c r="E736" s="185"/>
      <x:c r="F736" s="27" t="n">
        <x:f t="shared" si="11"/>
        <x:v>9</x:v>
      </x:c>
      <x:c r="G736" s="27" t="str">
        <x:v>Country</x:v>
      </x:c>
      <x:c r="H736" s="27" t="str">
        <x:v>Member</x:v>
      </x:c>
      <x:c r="I736" s="30" t="str">
        <x:v>Universal</x:v>
      </x:c>
      <x:c r="J736" s="151" t="str">
        <x:v>Institution-specific published voting measure</x:v>
      </x:c>
      <x:c r="K736" s="196"/>
      <x:c r="L736" s="196"/>
    </x:row>
    <x:row r="737">
      <x:c r="A737" s="31" t="str">
        <x:v>JAMAICA</x:v>
      </x:c>
      <x:c r="B737" s="32" t="str">
        <x:v>IBRD</x:v>
      </x:c>
      <x:c r="C737" s="194" t="n">
        <x:v>0.13572892528160757</x:v>
      </x:c>
      <x:c r="D737" s="194" t="n">
        <x:v>0.16</x:v>
      </x:c>
      <x:c r="E737" s="186"/>
      <x:c r="F737" s="32" t="n">
        <x:f t="shared" si="11"/>
        <x:v>5</x:v>
      </x:c>
      <x:c r="G737" s="32" t="str">
        <x:v>Country</x:v>
      </x:c>
      <x:c r="H737" s="32" t="str">
        <x:v>Member</x:v>
      </x:c>
      <x:c r="I737" s="35" t="str">
        <x:v>Universal</x:v>
      </x:c>
      <x:c r="J737" s="151" t="str">
        <x:v>Institution-specific published voting measure</x:v>
      </x:c>
      <x:c r="K737" s="196"/>
      <x:c r="L737" s="196"/>
    </x:row>
    <x:row r="738">
      <x:c r="A738" s="26" t="str">
        <x:v>JAPAN</x:v>
      </x:c>
      <x:c r="B738" s="27" t="str">
        <x:v>IBRD</x:v>
      </x:c>
      <x:c r="C738" s="193" t="n">
        <x:v>7.252118746301559</x:v>
      </x:c>
      <x:c r="D738" s="193" t="n">
        <x:v>6.88</x:v>
      </x:c>
      <x:c r="E738" s="185"/>
      <x:c r="F738" s="27" t="n">
        <x:f t="shared" si="11"/>
        <x:v>6</x:v>
      </x:c>
      <x:c r="G738" s="27" t="str">
        <x:v>Country</x:v>
      </x:c>
      <x:c r="H738" s="27" t="str">
        <x:v>Member</x:v>
      </x:c>
      <x:c r="I738" s="30" t="str">
        <x:v>Universal</x:v>
      </x:c>
      <x:c r="J738" s="151" t="str">
        <x:v>Institution-specific published voting measure</x:v>
      </x:c>
      <x:c r="K738" s="196"/>
      <x:c r="L738" s="196"/>
    </x:row>
    <x:row r="739">
      <x:c r="A739" s="31" t="str">
        <x:v>JORDAN</x:v>
      </x:c>
      <x:c r="B739" s="32" t="str">
        <x:v>IBRD</x:v>
      </x:c>
      <x:c r="C739" s="194" t="n">
        <x:v>0.08478976166349021</x:v>
      </x:c>
      <x:c r="D739" s="194" t="n">
        <x:v>0.11</x:v>
      </x:c>
      <x:c r="E739" s="186"/>
      <x:c r="F739" s="32" t="n">
        <x:f t="shared" si="11"/>
        <x:v>6</x:v>
      </x:c>
      <x:c r="G739" s="32" t="str">
        <x:v>Country</x:v>
      </x:c>
      <x:c r="H739" s="32" t="str">
        <x:v>Member</x:v>
      </x:c>
      <x:c r="I739" s="35" t="str">
        <x:v>Universal</x:v>
      </x:c>
      <x:c r="J739" s="151" t="str">
        <x:v>Institution-specific published voting measure</x:v>
      </x:c>
      <x:c r="K739" s="196"/>
      <x:c r="L739" s="196"/>
    </x:row>
    <x:row r="740">
      <x:c r="A740" s="26" t="str">
        <x:v>KAZAKHSTAN</x:v>
      </x:c>
      <x:c r="B740" s="27" t="str">
        <x:v>IBRD</x:v>
      </x:c>
      <x:c r="C740" s="193" t="n">
        <x:v>0.165915096314566</x:v>
      </x:c>
      <x:c r="D740" s="193" t="n">
        <x:v>0.19</x:v>
      </x:c>
      <x:c r="E740" s="185"/>
      <x:c r="F740" s="27" t="n">
        <x:f t="shared" si="11"/>
        <x:v>6</x:v>
      </x:c>
      <x:c r="G740" s="27" t="str">
        <x:v>Country</x:v>
      </x:c>
      <x:c r="H740" s="27" t="str">
        <x:v>Member</x:v>
      </x:c>
      <x:c r="I740" s="30" t="str">
        <x:v>Universal</x:v>
      </x:c>
      <x:c r="J740" s="151" t="str">
        <x:v>Institution-specific published voting measure</x:v>
      </x:c>
      <x:c r="K740" s="196"/>
      <x:c r="L740" s="196"/>
    </x:row>
    <x:row r="741">
      <x:c r="A741" s="31" t="str">
        <x:v>KENYA</x:v>
      </x:c>
      <x:c r="B741" s="32" t="str">
        <x:v>IBRD</x:v>
      </x:c>
      <x:c r="C741" s="194" t="n">
        <x:v>0.1519104544651406</x:v>
      </x:c>
      <x:c r="D741" s="194" t="n">
        <x:v>0.17</x:v>
      </x:c>
      <x:c r="E741" s="186"/>
      <x:c r="F741" s="32" t="n">
        <x:f t="shared" si="11"/>
        <x:v>4</x:v>
      </x:c>
      <x:c r="G741" s="32" t="str">
        <x:v>Country</x:v>
      </x:c>
      <x:c r="H741" s="32" t="str">
        <x:v>Member</x:v>
      </x:c>
      <x:c r="I741" s="35" t="str">
        <x:v>Universal</x:v>
      </x:c>
      <x:c r="J741" s="151" t="str">
        <x:v>Institution-specific published voting measure</x:v>
      </x:c>
      <x:c r="K741" s="196"/>
      <x:c r="L741" s="196"/>
    </x:row>
    <x:row r="742">
      <x:c r="A742" s="26" t="str">
        <x:v>KIRIBATI</x:v>
      </x:c>
      <x:c r="B742" s="27" t="str">
        <x:v>IBRD</x:v>
      </x:c>
      <x:c r="C742" s="193" t="n">
        <x:v>0.03007732666625306</x:v>
      </x:c>
      <x:c r="D742" s="193" t="n">
        <x:v>0.06</x:v>
      </x:c>
      <x:c r="E742" s="185"/>
      <x:c r="F742" s="27" t="n">
        <x:f t="shared" si="11"/>
        <x:v>3</x:v>
      </x:c>
      <x:c r="G742" s="27" t="str">
        <x:v>Country</x:v>
      </x:c>
      <x:c r="H742" s="27" t="str">
        <x:v>Member</x:v>
      </x:c>
      <x:c r="I742" s="30" t="str">
        <x:v>Universal</x:v>
      </x:c>
      <x:c r="J742" s="151" t="str">
        <x:v>Institution-specific published voting measure</x:v>
      </x:c>
      <x:c r="K742" s="196"/>
      <x:c r="L742" s="196"/>
    </x:row>
    <x:row r="743">
      <x:c r="A743" s="31" t="str">
        <x:v>KOREA, REPUBLIC OF</x:v>
      </x:c>
      <x:c r="B743" s="32" t="str">
        <x:v>IBRD</x:v>
      </x:c>
      <x:c r="C743" s="194" t="n">
        <x:v>1.6430057154176958</x:v>
      </x:c>
      <x:c r="D743" s="194" t="n">
        <x:v>1.58</x:v>
      </x:c>
      <x:c r="E743" s="186"/>
      <x:c r="F743" s="32" t="n">
        <x:f t="shared" si="11"/>
        <x:v>8</x:v>
      </x:c>
      <x:c r="G743" s="32" t="str">
        <x:v>Country</x:v>
      </x:c>
      <x:c r="H743" s="32" t="str">
        <x:v>Member</x:v>
      </x:c>
      <x:c r="I743" s="35" t="str">
        <x:v>Universal</x:v>
      </x:c>
      <x:c r="J743" s="151" t="str">
        <x:v>Institution-specific published voting measure</x:v>
      </x:c>
      <x:c r="K743" s="196"/>
      <x:c r="L743" s="196"/>
    </x:row>
    <x:row r="744">
      <x:c r="A744" s="26" t="str">
        <x:v>KOSOVO</x:v>
      </x:c>
      <x:c r="B744" s="27" t="str">
        <x:v>IBRD</x:v>
      </x:c>
      <x:c r="C744" s="193" t="n">
        <x:v>0.05580087866429096</x:v>
      </x:c>
      <x:c r="D744" s="193" t="n">
        <x:v>0.08</x:v>
      </x:c>
      <x:c r="E744" s="185"/>
      <x:c r="F744" s="27" t="n">
        <x:f t="shared" si="11"/>
        <x:v>3</x:v>
      </x:c>
      <x:c r="G744" s="27" t="str">
        <x:v>Country</x:v>
      </x:c>
      <x:c r="H744" s="27" t="str">
        <x:v>Member</x:v>
      </x:c>
      <x:c r="I744" s="30" t="str">
        <x:v>Universal</x:v>
      </x:c>
      <x:c r="J744" s="151" t="str">
        <x:v>Institution-specific published voting measure</x:v>
      </x:c>
      <x:c r="K744" s="196"/>
      <x:c r="L744" s="196"/>
    </x:row>
    <x:row r="745">
      <x:c r="A745" s="31" t="str">
        <x:v>KUWAIT</x:v>
      </x:c>
      <x:c r="B745" s="32" t="str">
        <x:v>IBRD</x:v>
      </x:c>
      <x:c r="C745" s="194" t="n">
        <x:v>0.8148089291564671</x:v>
      </x:c>
      <x:c r="D745" s="194" t="n">
        <x:v>0.8</x:v>
      </x:c>
      <x:c r="E745" s="186"/>
      <x:c r="F745" s="32" t="n">
        <x:f t="shared" si="11"/>
        <x:v>5</x:v>
      </x:c>
      <x:c r="G745" s="32" t="str">
        <x:v>Country</x:v>
      </x:c>
      <x:c r="H745" s="32" t="str">
        <x:v>Member</x:v>
      </x:c>
      <x:c r="I745" s="35" t="str">
        <x:v>Universal</x:v>
      </x:c>
      <x:c r="J745" s="151" t="str">
        <x:v>Institution-specific published voting measure</x:v>
      </x:c>
      <x:c r="K745" s="196"/>
      <x:c r="L745" s="196"/>
    </x:row>
    <x:row r="746">
      <x:c r="A746" s="26" t="str">
        <x:v>KYRGYZ REPUBLIC</x:v>
      </x:c>
      <x:c r="B746" s="27" t="str">
        <x:v>IBRD</x:v>
      </x:c>
      <x:c r="C746" s="193" t="n">
        <x:v>0.049016246472988995</x:v>
      </x:c>
      <x:c r="D746" s="193" t="n">
        <x:v>0.08</x:v>
      </x:c>
      <x:c r="E746" s="185"/>
      <x:c r="F746" s="27" t="n">
        <x:f t="shared" si="11"/>
        <x:v>6</x:v>
      </x:c>
      <x:c r="G746" s="27" t="str">
        <x:v>Country</x:v>
      </x:c>
      <x:c r="H746" s="27" t="str">
        <x:v>Member</x:v>
      </x:c>
      <x:c r="I746" s="30" t="str">
        <x:v>Universal</x:v>
      </x:c>
      <x:c r="J746" s="151" t="str">
        <x:v>Institution-specific published voting measure</x:v>
      </x:c>
      <x:c r="K746" s="196"/>
      <x:c r="L746" s="196"/>
    </x:row>
    <x:row r="747">
      <x:c r="A747" s="31" t="str">
        <x:v>LAO PEOPLE'S DEMOCRATIC REPUBLIC</x:v>
      </x:c>
      <x:c r="B747" s="32" t="str">
        <x:v>IBRD</x:v>
      </x:c>
      <x:c r="C747" s="194" t="n">
        <x:v>0.012879916726803178</x:v>
      </x:c>
      <x:c r="D747" s="194" t="n">
        <x:v>0.04</x:v>
      </x:c>
      <x:c r="E747" s="186"/>
      <x:c r="F747" s="32" t="n">
        <x:f t="shared" si="11"/>
        <x:v>3</x:v>
      </x:c>
      <x:c r="G747" s="32" t="str">
        <x:v>Country</x:v>
      </x:c>
      <x:c r="H747" s="32" t="str">
        <x:v>Member</x:v>
      </x:c>
      <x:c r="I747" s="35" t="str">
        <x:v>Universal</x:v>
      </x:c>
      <x:c r="J747" s="151" t="str">
        <x:v>Institution-specific published voting measure</x:v>
      </x:c>
      <x:c r="K747" s="196"/>
      <x:c r="L747" s="196"/>
    </x:row>
    <x:row r="748">
      <x:c r="A748" s="26" t="str">
        <x:v>LATVIA</x:v>
      </x:c>
      <x:c r="B748" s="27" t="str">
        <x:v>IBRD</x:v>
      </x:c>
      <x:c r="C748" s="193" t="n">
        <x:v>0.07354251043726773</x:v>
      </x:c>
      <x:c r="D748" s="193" t="n">
        <x:v>0.1</x:v>
      </x:c>
      <x:c r="E748" s="185"/>
      <x:c r="F748" s="27" t="n">
        <x:f t="shared" si="11"/>
        <x:v>4</x:v>
      </x:c>
      <x:c r="G748" s="27" t="str">
        <x:v>Country</x:v>
      </x:c>
      <x:c r="H748" s="27" t="str">
        <x:v>Member</x:v>
      </x:c>
      <x:c r="I748" s="30" t="str">
        <x:v>Universal</x:v>
      </x:c>
      <x:c r="J748" s="151" t="str">
        <x:v>Institution-specific published voting measure</x:v>
      </x:c>
      <x:c r="K748" s="196"/>
      <x:c r="L748" s="196"/>
    </x:row>
    <x:row r="749">
      <x:c r="A749" s="31" t="str">
        <x:v>LEBANON</x:v>
      </x:c>
      <x:c r="B749" s="32" t="str">
        <x:v>IBRD</x:v>
      </x:c>
      <x:c r="C749" s="194" t="n">
        <x:v>0.03853090581370416</x:v>
      </x:c>
      <x:c r="D749" s="194" t="n">
        <x:v>0.07</x:v>
      </x:c>
      <x:c r="E749" s="186"/>
      <x:c r="F749" s="32" t="n">
        <x:f t="shared" si="11"/>
        <x:v>5</x:v>
      </x:c>
      <x:c r="G749" s="32" t="str">
        <x:v>Country</x:v>
      </x:c>
      <x:c r="H749" s="32" t="str">
        <x:v>Member</x:v>
      </x:c>
      <x:c r="I749" s="35" t="str">
        <x:v>Universal</x:v>
      </x:c>
      <x:c r="J749" s="151" t="str">
        <x:v>Institution-specific published voting measure</x:v>
      </x:c>
      <x:c r="K749" s="196"/>
      <x:c r="L749" s="196"/>
    </x:row>
    <x:row r="750">
      <x:c r="A750" s="26" t="str">
        <x:v>LESOTHO</x:v>
      </x:c>
      <x:c r="B750" s="27" t="str">
        <x:v>IBRD</x:v>
      </x:c>
      <x:c r="C750" s="193" t="n">
        <x:v>0.041868799726002444</x:v>
      </x:c>
      <x:c r="D750" s="193" t="n">
        <x:v>0.07</x:v>
      </x:c>
      <x:c r="E750" s="185"/>
      <x:c r="F750" s="27" t="n">
        <x:f t="shared" si="11"/>
        <x:v>3</x:v>
      </x:c>
      <x:c r="G750" s="27" t="str">
        <x:v>Country</x:v>
      </x:c>
      <x:c r="H750" s="27" t="str">
        <x:v>Member</x:v>
      </x:c>
      <x:c r="I750" s="30" t="str">
        <x:v>Universal</x:v>
      </x:c>
      <x:c r="J750" s="151" t="str">
        <x:v>Institution-specific published voting measure</x:v>
      </x:c>
      <x:c r="K750" s="196"/>
      <x:c r="L750" s="196"/>
    </x:row>
    <x:row r="751">
      <x:c r="A751" s="31" t="str">
        <x:v>LIBERIA</x:v>
      </x:c>
      <x:c r="B751" s="32" t="str">
        <x:v>IBRD</x:v>
      </x:c>
      <x:c r="C751" s="194" t="n">
        <x:v>0.026848277120660145</x:v>
      </x:c>
      <x:c r="D751" s="194" t="n">
        <x:v>0.05</x:v>
      </x:c>
      <x:c r="E751" s="186"/>
      <x:c r="F751" s="32" t="n">
        <x:f t="shared" si="11"/>
        <x:v>4</x:v>
      </x:c>
      <x:c r="G751" s="32" t="str">
        <x:v>Country</x:v>
      </x:c>
      <x:c r="H751" s="32" t="str">
        <x:v>Member</x:v>
      </x:c>
      <x:c r="I751" s="35" t="str">
        <x:v>Universal</x:v>
      </x:c>
      <x:c r="J751" s="151" t="str">
        <x:v>Institution-specific published voting measure</x:v>
      </x:c>
      <x:c r="K751" s="196"/>
      <x:c r="L751" s="196"/>
    </x:row>
    <x:row r="752">
      <x:c r="A752" s="26" t="str">
        <x:v>LIBYA</x:v>
      </x:c>
      <x:c r="B752" s="27" t="str">
        <x:v>IBRD</x:v>
      </x:c>
      <x:c r="C752" s="193" t="n">
        <x:v>0.41585804372568463</x:v>
      </x:c>
      <x:c r="D752" s="193" t="n">
        <x:v>0.42</x:v>
      </x:c>
      <x:c r="E752" s="185"/>
      <x:c r="F752" s="27" t="n">
        <x:f t="shared" si="11"/>
        <x:v>7</x:v>
      </x:c>
      <x:c r="G752" s="27" t="str">
        <x:v>Country</x:v>
      </x:c>
      <x:c r="H752" s="27" t="str">
        <x:v>Member</x:v>
      </x:c>
      <x:c r="I752" s="30" t="str">
        <x:v>Universal</x:v>
      </x:c>
      <x:c r="J752" s="151" t="str">
        <x:v>Institution-specific published voting measure</x:v>
      </x:c>
      <x:c r="K752" s="196"/>
      <x:c r="L752" s="196"/>
    </x:row>
    <x:row r="753">
      <x:c r="A753" s="31" t="str">
        <x:v>LITHUANIA</x:v>
      </x:c>
      <x:c r="B753" s="32" t="str">
        <x:v>IBRD</x:v>
      </x:c>
      <x:c r="C753" s="194" t="n">
        <x:v>0.08192352667358191</x:v>
      </x:c>
      <x:c r="D753" s="194" t="n">
        <x:v>0.11</x:v>
      </x:c>
      <x:c r="E753" s="186"/>
      <x:c r="F753" s="32" t="n">
        <x:f t="shared" si="11"/>
        <x:v>4</x:v>
      </x:c>
      <x:c r="G753" s="32" t="str">
        <x:v>Country</x:v>
      </x:c>
      <x:c r="H753" s="32" t="str">
        <x:v>Member</x:v>
      </x:c>
      <x:c r="I753" s="35" t="str">
        <x:v>Universal</x:v>
      </x:c>
      <x:c r="J753" s="151" t="str">
        <x:v>Institution-specific published voting measure</x:v>
      </x:c>
      <x:c r="K753" s="196"/>
      <x:c r="L753" s="196"/>
    </x:row>
    <x:row r="754">
      <x:c r="A754" s="26" t="str">
        <x:v>LUXEMBOURG</x:v>
      </x:c>
      <x:c r="B754" s="27" t="str">
        <x:v>IBRD</x:v>
      </x:c>
      <x:c r="C754" s="193" t="n">
        <x:v>0.1018057643250978</x:v>
      </x:c>
      <x:c r="D754" s="193" t="n">
        <x:v>0.13</x:v>
      </x:c>
      <x:c r="E754" s="185"/>
      <x:c r="F754" s="27" t="n">
        <x:f t="shared" si="11"/>
        <x:v>7</x:v>
      </x:c>
      <x:c r="G754" s="27" t="str">
        <x:v>Country</x:v>
      </x:c>
      <x:c r="H754" s="27" t="str">
        <x:v>Member</x:v>
      </x:c>
      <x:c r="I754" s="30" t="str">
        <x:v>Universal</x:v>
      </x:c>
      <x:c r="J754" s="151" t="str">
        <x:v>Institution-specific published voting measure</x:v>
      </x:c>
      <x:c r="K754" s="196"/>
      <x:c r="L754" s="196"/>
    </x:row>
    <x:row r="755">
      <x:c r="A755" s="31" t="str">
        <x:v>MADAGASCAR</x:v>
      </x:c>
      <x:c r="B755" s="32" t="str">
        <x:v>IBRD</x:v>
      </x:c>
      <x:c r="C755" s="194" t="n">
        <x:v>0.0909213276545599</x:v>
      </x:c>
      <x:c r="D755" s="194" t="n">
        <x:v>0.12</x:v>
      </x:c>
      <x:c r="E755" s="186"/>
      <x:c r="F755" s="32" t="n">
        <x:f t="shared" si="11"/>
        <x:v>4</x:v>
      </x:c>
      <x:c r="G755" s="32" t="str">
        <x:v>Country</x:v>
      </x:c>
      <x:c r="H755" s="32" t="str">
        <x:v>Member</x:v>
      </x:c>
      <x:c r="I755" s="35" t="str">
        <x:v>Universal</x:v>
      </x:c>
      <x:c r="J755" s="151" t="str">
        <x:v>Institution-specific published voting measure</x:v>
      </x:c>
      <x:c r="K755" s="196"/>
      <x:c r="L755" s="196"/>
    </x:row>
    <x:row r="756">
      <x:c r="A756" s="26" t="str">
        <x:v>MALAWI</x:v>
      </x:c>
      <x:c r="B756" s="27" t="str">
        <x:v>IBRD</x:v>
      </x:c>
      <x:c r="C756" s="193" t="n">
        <x:v>0.06247666648888752</x:v>
      </x:c>
      <x:c r="D756" s="193" t="n">
        <x:v>0.09</x:v>
      </x:c>
      <x:c r="E756" s="185"/>
      <x:c r="F756" s="27" t="n">
        <x:f t="shared" si="11"/>
        <x:v>3</x:v>
      </x:c>
      <x:c r="G756" s="27" t="str">
        <x:v>Country</x:v>
      </x:c>
      <x:c r="H756" s="27" t="str">
        <x:v>Member</x:v>
      </x:c>
      <x:c r="I756" s="30" t="str">
        <x:v>Universal</x:v>
      </x:c>
      <x:c r="J756" s="151" t="str">
        <x:v>Institution-specific published voting measure</x:v>
      </x:c>
      <x:c r="K756" s="196"/>
      <x:c r="L756" s="196"/>
    </x:row>
    <x:row r="757">
      <x:c r="A757" s="31" t="str">
        <x:v>MALAYSIA</x:v>
      </x:c>
      <x:c r="B757" s="32" t="str">
        <x:v>IBRD</x:v>
      </x:c>
      <x:c r="C757" s="194" t="n">
        <x:v>0.379032366323698</x:v>
      </x:c>
      <x:c r="D757" s="194" t="n">
        <x:v>0.39</x:v>
      </x:c>
      <x:c r="E757" s="186"/>
      <x:c r="F757" s="32" t="n">
        <x:f t="shared" si="11"/>
        <x:v>5</x:v>
      </x:c>
      <x:c r="G757" s="32" t="str">
        <x:v>Country</x:v>
      </x:c>
      <x:c r="H757" s="32" t="str">
        <x:v>Member</x:v>
      </x:c>
      <x:c r="I757" s="35" t="str">
        <x:v>Universal</x:v>
      </x:c>
      <x:c r="J757" s="151" t="str">
        <x:v>Institution-specific published voting measure</x:v>
      </x:c>
      <x:c r="K757" s="196"/>
      <x:c r="L757" s="196"/>
    </x:row>
    <x:row r="758">
      <x:c r="A758" s="26" t="str">
        <x:v>MALDIVES</x:v>
      </x:c>
      <x:c r="B758" s="27" t="str">
        <x:v>IBRD</x:v>
      </x:c>
      <x:c r="C758" s="193" t="n">
        <x:v>0.019047764173441322</x:v>
      </x:c>
      <x:c r="D758" s="193" t="n">
        <x:v>0.05</x:v>
      </x:c>
      <x:c r="E758" s="185"/>
      <x:c r="F758" s="27" t="n">
        <x:f t="shared" si="11"/>
        <x:v>5</x:v>
      </x:c>
      <x:c r="G758" s="27" t="str">
        <x:v>Country</x:v>
      </x:c>
      <x:c r="H758" s="27" t="str">
        <x:v>Member</x:v>
      </x:c>
      <x:c r="I758" s="30" t="str">
        <x:v>Universal</x:v>
      </x:c>
      <x:c r="J758" s="151" t="str">
        <x:v>Institution-specific published voting measure</x:v>
      </x:c>
      <x:c r="K758" s="196"/>
      <x:c r="L758" s="196"/>
    </x:row>
    <x:row r="759">
      <x:c r="A759" s="31" t="str">
        <x:v>MALI</x:v>
      </x:c>
      <x:c r="B759" s="32" t="str">
        <x:v>IBRD</x:v>
      </x:c>
      <x:c r="C759" s="194" t="n">
        <x:v>0.0738327620818154</x:v>
      </x:c>
      <x:c r="D759" s="194" t="n">
        <x:v>0.1</x:v>
      </x:c>
      <x:c r="E759" s="186"/>
      <x:c r="F759" s="32" t="n">
        <x:f t="shared" si="11"/>
        <x:v>4</x:v>
      </x:c>
      <x:c r="G759" s="32" t="str">
        <x:v>Country</x:v>
      </x:c>
      <x:c r="H759" s="32" t="str">
        <x:v>Member</x:v>
      </x:c>
      <x:c r="I759" s="35" t="str">
        <x:v>Universal</x:v>
      </x:c>
      <x:c r="J759" s="151" t="str">
        <x:v>Institution-specific published voting measure</x:v>
      </x:c>
      <x:c r="K759" s="196"/>
      <x:c r="L759" s="196"/>
    </x:row>
    <x:row r="760">
      <x:c r="A760" s="26" t="str">
        <x:v>MALTA</x:v>
      </x:c>
      <x:c r="B760" s="27" t="str">
        <x:v>IBRD</x:v>
      </x:c>
      <x:c r="C760" s="193" t="n">
        <x:v>0.05561947138644866</x:v>
      </x:c>
      <x:c r="D760" s="193" t="n">
        <x:v>0.08</x:v>
      </x:c>
      <x:c r="E760" s="185"/>
      <x:c r="F760" s="27" t="n">
        <x:f t="shared" si="11"/>
        <x:v>5</x:v>
      </x:c>
      <x:c r="G760" s="27" t="str">
        <x:v>Country</x:v>
      </x:c>
      <x:c r="H760" s="27" t="str">
        <x:v>Member</x:v>
      </x:c>
      <x:c r="I760" s="30" t="str">
        <x:v>Universal</x:v>
      </x:c>
      <x:c r="J760" s="151" t="str">
        <x:v>Institution-specific published voting measure</x:v>
      </x:c>
      <x:c r="K760" s="196"/>
      <x:c r="L760" s="196"/>
    </x:row>
    <x:row r="761">
      <x:c r="A761" s="31" t="str">
        <x:v>MARSHALL ISLANDS</x:v>
      </x:c>
      <x:c r="B761" s="32" t="str">
        <x:v>IBRD</x:v>
      </x:c>
      <x:c r="C761" s="194" t="n">
        <x:v>0.017016002661607577</x:v>
      </x:c>
      <x:c r="D761" s="194" t="n">
        <x:v>0.05</x:v>
      </x:c>
      <x:c r="E761" s="186"/>
      <x:c r="F761" s="32" t="n">
        <x:f t="shared" si="11"/>
        <x:v>3</x:v>
      </x:c>
      <x:c r="G761" s="32" t="str">
        <x:v>Country</x:v>
      </x:c>
      <x:c r="H761" s="32" t="str">
        <x:v>Member</x:v>
      </x:c>
      <x:c r="I761" s="35" t="str">
        <x:v>Universal</x:v>
      </x:c>
      <x:c r="J761" s="151" t="str">
        <x:v>Institution-specific published voting measure</x:v>
      </x:c>
      <x:c r="K761" s="196"/>
      <x:c r="L761" s="196"/>
    </x:row>
    <x:row r="762">
      <x:c r="A762" s="26" t="str">
        <x:v>MAURITANIA</x:v>
      </x:c>
      <x:c r="B762" s="27" t="str">
        <x:v>IBRD</x:v>
      </x:c>
      <x:c r="C762" s="193" t="n">
        <x:v>0.05779635872055624</x:v>
      </x:c>
      <x:c r="D762" s="193" t="n">
        <x:v>0.08</x:v>
      </x:c>
      <x:c r="E762" s="185"/>
      <x:c r="F762" s="27" t="n">
        <x:f t="shared" si="11"/>
        <x:v>5</x:v>
      </x:c>
      <x:c r="G762" s="27" t="str">
        <x:v>Country</x:v>
      </x:c>
      <x:c r="H762" s="27" t="str">
        <x:v>Member</x:v>
      </x:c>
      <x:c r="I762" s="30" t="str">
        <x:v>Universal</x:v>
      </x:c>
      <x:c r="J762" s="151" t="str">
        <x:v>Institution-specific published voting measure</x:v>
      </x:c>
      <x:c r="K762" s="196"/>
      <x:c r="L762" s="196"/>
    </x:row>
    <x:row r="763">
      <x:c r="A763" s="31" t="str">
        <x:v>MAURITIUS</x:v>
      </x:c>
      <x:c r="B763" s="32" t="str">
        <x:v>IBRD</x:v>
      </x:c>
      <x:c r="C763" s="194" t="n">
        <x:v>0.06458099091185819</x:v>
      </x:c>
      <x:c r="D763" s="194" t="n">
        <x:v>0.09</x:v>
      </x:c>
      <x:c r="E763" s="186"/>
      <x:c r="F763" s="32" t="n">
        <x:f t="shared" si="11"/>
        <x:v>3</x:v>
      </x:c>
      <x:c r="G763" s="32" t="str">
        <x:v>Country</x:v>
      </x:c>
      <x:c r="H763" s="32" t="str">
        <x:v>Member</x:v>
      </x:c>
      <x:c r="I763" s="35" t="str">
        <x:v>Universal</x:v>
      </x:c>
      <x:c r="J763" s="151" t="str">
        <x:v>Institution-specific published voting measure</x:v>
      </x:c>
      <x:c r="K763" s="196"/>
      <x:c r="L763" s="196"/>
    </x:row>
    <x:row r="764">
      <x:c r="A764" s="26" t="str">
        <x:v>MEXICO</x:v>
      </x:c>
      <x:c r="B764" s="27" t="str">
        <x:v>IBRD</x:v>
      </x:c>
      <x:c r="C764" s="193" t="n">
        <x:v>1.7313510597268946</x:v>
      </x:c>
      <x:c r="D764" s="193" t="n">
        <x:v>1.66</x:v>
      </x:c>
      <x:c r="E764" s="185"/>
      <x:c r="F764" s="27" t="n">
        <x:f t="shared" si="11"/>
        <x:v>7</x:v>
      </x:c>
      <x:c r="G764" s="27" t="str">
        <x:v>Country</x:v>
      </x:c>
      <x:c r="H764" s="27" t="str">
        <x:v>Member</x:v>
      </x:c>
      <x:c r="I764" s="30" t="str">
        <x:v>Universal</x:v>
      </x:c>
      <x:c r="J764" s="151" t="str">
        <x:v>Institution-specific published voting measure</x:v>
      </x:c>
      <x:c r="K764" s="196"/>
      <x:c r="L764" s="196"/>
    </x:row>
    <x:row r="765">
      <x:c r="A765" s="31" t="str">
        <x:v>MICRONESIA, FEDERATED STATES OF</x:v>
      </x:c>
      <x:c r="B765" s="32" t="str">
        <x:v>IBRD</x:v>
      </x:c>
      <x:c r="C765" s="194" t="n">
        <x:v>0.017378817217292175</x:v>
      </x:c>
      <x:c r="D765" s="194" t="n">
        <x:v>0.05</x:v>
      </x:c>
      <x:c r="E765" s="186"/>
      <x:c r="F765" s="32" t="n">
        <x:f t="shared" si="11"/>
        <x:v>3</x:v>
      </x:c>
      <x:c r="G765" s="32" t="str">
        <x:v>Country</x:v>
      </x:c>
      <x:c r="H765" s="32" t="str">
        <x:v>Member</x:v>
      </x:c>
      <x:c r="I765" s="35" t="str">
        <x:v>Universal</x:v>
      </x:c>
      <x:c r="J765" s="151" t="str">
        <x:v>Institution-specific published voting measure</x:v>
      </x:c>
      <x:c r="K765" s="196"/>
      <x:c r="L765" s="196"/>
    </x:row>
    <x:row r="766">
      <x:c r="A766" s="26" t="str">
        <x:v>MOLDOVA</x:v>
      </x:c>
      <x:c r="B766" s="27" t="str">
        <x:v>IBRD</x:v>
      </x:c>
      <x:c r="C766" s="193" t="n">
        <x:v>0.08776484102010391</x:v>
      </x:c>
      <x:c r="D766" s="193" t="n">
        <x:v>0.11</x:v>
      </x:c>
      <x:c r="E766" s="185"/>
      <x:c r="F766" s="27" t="n">
        <x:f t="shared" si="11"/>
        <x:v>3</x:v>
      </x:c>
      <x:c r="G766" s="27" t="str">
        <x:v>Country</x:v>
      </x:c>
      <x:c r="H766" s="27" t="str">
        <x:v>Member</x:v>
      </x:c>
      <x:c r="I766" s="30" t="str">
        <x:v>Universal</x:v>
      </x:c>
      <x:c r="J766" s="151" t="str">
        <x:v>Institution-specific published voting measure</x:v>
      </x:c>
      <x:c r="K766" s="196"/>
      <x:c r="L766" s="196"/>
    </x:row>
    <x:row r="767">
      <x:c r="A767" s="31" t="str">
        <x:v>MONGOLIA</x:v>
      </x:c>
      <x:c r="B767" s="32" t="str">
        <x:v>IBRD</x:v>
      </x:c>
      <x:c r="C767" s="194" t="n">
        <x:v>0.03007732666625306</x:v>
      </x:c>
      <x:c r="D767" s="194" t="n">
        <x:v>0.06</x:v>
      </x:c>
      <x:c r="E767" s="186"/>
      <x:c r="F767" s="32" t="n">
        <x:f t="shared" si="11"/>
        <x:v>5</x:v>
      </x:c>
      <x:c r="G767" s="32" t="str">
        <x:v>Country</x:v>
      </x:c>
      <x:c r="H767" s="32" t="str">
        <x:v>Member</x:v>
      </x:c>
      <x:c r="I767" s="35" t="str">
        <x:v>Universal</x:v>
      </x:c>
      <x:c r="J767" s="151" t="str">
        <x:v>Institution-specific published voting measure</x:v>
      </x:c>
      <x:c r="K767" s="196"/>
      <x:c r="L767" s="196"/>
    </x:row>
    <x:row r="768">
      <x:c r="A768" s="26" t="str">
        <x:v>MONTENEGRO</x:v>
      </x:c>
      <x:c r="B768" s="27" t="str">
        <x:v>IBRD</x:v>
      </x:c>
      <x:c r="C768" s="193" t="n">
        <x:v>0.03522929335697433</x:v>
      </x:c>
      <x:c r="D768" s="193" t="n">
        <x:v>0.06</x:v>
      </x:c>
      <x:c r="E768" s="185"/>
      <x:c r="F768" s="27" t="n">
        <x:f t="shared" si="11"/>
        <x:v>3</x:v>
      </x:c>
      <x:c r="G768" s="27" t="str">
        <x:v>Country</x:v>
      </x:c>
      <x:c r="H768" s="27" t="str">
        <x:v>Member</x:v>
      </x:c>
      <x:c r="I768" s="30" t="str">
        <x:v>Universal</x:v>
      </x:c>
      <x:c r="J768" s="151" t="str">
        <x:v>Institution-specific published voting measure</x:v>
      </x:c>
      <x:c r="K768" s="196"/>
      <x:c r="L768" s="196"/>
    </x:row>
    <x:row r="769">
      <x:c r="A769" s="31" t="str">
        <x:v>MOROCCO</x:v>
      </x:c>
      <x:c r="B769" s="32" t="str">
        <x:v>IBRD</x:v>
      </x:c>
      <x:c r="C769" s="194" t="n">
        <x:v>0.29275506498190096</x:v>
      </x:c>
      <x:c r="D769" s="194" t="n">
        <x:v>0.31</x:v>
      </x:c>
      <x:c r="E769" s="186"/>
      <x:c r="F769" s="32" t="n">
        <x:f t="shared" si="11"/>
        <x:v>7</x:v>
      </x:c>
      <x:c r="G769" s="32" t="str">
        <x:v>Country</x:v>
      </x:c>
      <x:c r="H769" s="32" t="str">
        <x:v>Member</x:v>
      </x:c>
      <x:c r="I769" s="35" t="str">
        <x:v>Universal</x:v>
      </x:c>
      <x:c r="J769" s="151" t="str">
        <x:v>Institution-specific published voting measure</x:v>
      </x:c>
      <x:c r="K769" s="196"/>
      <x:c r="L769" s="196"/>
    </x:row>
    <x:row r="770">
      <x:c r="A770" s="26" t="str">
        <x:v>MOZAMBIQUE</x:v>
      </x:c>
      <x:c r="B770" s="27" t="str">
        <x:v>IBRD</x:v>
      </x:c>
      <x:c r="C770" s="193" t="n">
        <x:v>0.04832689881718826</x:v>
      </x:c>
      <x:c r="D770" s="193" t="n">
        <x:v>0.08</x:v>
      </x:c>
      <x:c r="E770" s="185"/>
      <x:c r="F770" s="27" t="n">
        <x:f t="shared" si="11"/>
        <x:v>4</x:v>
      </x:c>
      <x:c r="G770" s="27" t="str">
        <x:v>Country</x:v>
      </x:c>
      <x:c r="H770" s="27" t="str">
        <x:v>Member</x:v>
      </x:c>
      <x:c r="I770" s="30" t="str">
        <x:v>Universal</x:v>
      </x:c>
      <x:c r="J770" s="151" t="str">
        <x:v>Institution-specific published voting measure</x:v>
      </x:c>
      <x:c r="K770" s="196"/>
      <x:c r="L770" s="196"/>
    </x:row>
    <x:row r="771">
      <x:c r="A771" s="31" t="str">
        <x:v>MYANMAR</x:v>
      </x:c>
      <x:c r="B771" s="32" t="str">
        <x:v>IBRD</x:v>
      </x:c>
      <x:c r="C771" s="194" t="n">
        <x:v>0.1257152435447127</x:v>
      </x:c>
      <x:c r="D771" s="194" t="n">
        <x:v>0.15</x:v>
      </x:c>
      <x:c r="E771" s="186"/>
      <x:c r="F771" s="32" t="n">
        <x:f t="shared" ref="F771:F834" si="12">COUNTIF(A771:A1802,A771)</x:f>
        <x:v>2</x:v>
      </x:c>
      <x:c r="G771" s="32" t="str">
        <x:v>Country</x:v>
      </x:c>
      <x:c r="H771" s="32" t="str">
        <x:v>Member</x:v>
      </x:c>
      <x:c r="I771" s="35" t="str">
        <x:v>Universal</x:v>
      </x:c>
      <x:c r="J771" s="151" t="str">
        <x:v>Institution-specific published voting measure</x:v>
      </x:c>
      <x:c r="K771" s="196"/>
      <x:c r="L771" s="196"/>
    </x:row>
    <x:row r="772">
      <x:c r="A772" s="26" t="str">
        <x:v>NAMIBIA</x:v>
      </x:c>
      <x:c r="B772" s="27" t="str">
        <x:v>IBRD</x:v>
      </x:c>
      <x:c r="C772" s="193" t="n">
        <x:v>0.07002320924712714</x:v>
      </x:c>
      <x:c r="D772" s="193" t="n">
        <x:v>0.1</x:v>
      </x:c>
      <x:c r="E772" s="185"/>
      <x:c r="F772" s="27" t="n">
        <x:f t="shared" si="12"/>
        <x:v>3</x:v>
      </x:c>
      <x:c r="G772" s="27" t="str">
        <x:v>Country</x:v>
      </x:c>
      <x:c r="H772" s="27" t="str">
        <x:v>Member</x:v>
      </x:c>
      <x:c r="I772" s="30" t="str">
        <x:v>Universal</x:v>
      </x:c>
      <x:c r="J772" s="151" t="str">
        <x:v>Institution-specific published voting measure</x:v>
      </x:c>
      <x:c r="K772" s="196"/>
      <x:c r="L772" s="196"/>
    </x:row>
    <x:row r="773">
      <x:c r="A773" s="31" t="str">
        <x:v>NAURU</x:v>
      </x:c>
      <x:c r="B773" s="32" t="str">
        <x:v>IBRD</x:v>
      </x:c>
      <x:c r="C773" s="194" t="n">
        <x:v>0.02126093296311736</x:v>
      </x:c>
      <x:c r="D773" s="194" t="n">
        <x:v>0.05</x:v>
      </x:c>
      <x:c r="E773" s="186"/>
      <x:c r="F773" s="32" t="n">
        <x:f t="shared" si="12"/>
        <x:v>3</x:v>
      </x:c>
      <x:c r="G773" s="32" t="str">
        <x:v>Country</x:v>
      </x:c>
      <x:c r="H773" s="32" t="str">
        <x:v>Member</x:v>
      </x:c>
      <x:c r="I773" s="35" t="str">
        <x:v>Universal</x:v>
      </x:c>
      <x:c r="J773" s="151" t="str">
        <x:v>Institution-specific published voting measure</x:v>
      </x:c>
      <x:c r="K773" s="196"/>
      <x:c r="L773" s="196"/>
    </x:row>
    <x:row r="774">
      <x:c r="A774" s="26" t="str">
        <x:v>NEPAL</x:v>
      </x:c>
      <x:c r="B774" s="27" t="str">
        <x:v>IBRD</x:v>
      </x:c>
      <x:c r="C774" s="193" t="n">
        <x:v>0.06218641484433985</x:v>
      </x:c>
      <x:c r="D774" s="193" t="n">
        <x:v>0.09</x:v>
      </x:c>
      <x:c r="E774" s="185"/>
      <x:c r="F774" s="27" t="n">
        <x:f t="shared" si="12"/>
        <x:v>4</x:v>
      </x:c>
      <x:c r="G774" s="27" t="str">
        <x:v>Country</x:v>
      </x:c>
      <x:c r="H774" s="27" t="str">
        <x:v>Member</x:v>
      </x:c>
      <x:c r="I774" s="30" t="str">
        <x:v>Universal</x:v>
      </x:c>
      <x:c r="J774" s="151" t="str">
        <x:v>Institution-specific published voting measure</x:v>
      </x:c>
      <x:c r="K774" s="196"/>
      <x:c r="L774" s="196"/>
    </x:row>
    <x:row r="775">
      <x:c r="A775" s="31" t="str">
        <x:v>NETHERLANDS</x:v>
      </x:c>
      <x:c r="B775" s="32" t="str">
        <x:v>IBRD</x:v>
      </x:c>
      <x:c r="C775" s="194" t="n">
        <x:v>1.9632258422649207</x:v>
      </x:c>
      <x:c r="D775" s="194" t="n">
        <x:v>1.88</x:v>
      </x:c>
      <x:c r="E775" s="186"/>
      <x:c r="F775" s="32" t="n">
        <x:f t="shared" si="12"/>
        <x:v>8</x:v>
      </x:c>
      <x:c r="G775" s="32" t="str">
        <x:v>Country</x:v>
      </x:c>
      <x:c r="H775" s="32" t="str">
        <x:v>Member</x:v>
      </x:c>
      <x:c r="I775" s="35" t="str">
        <x:v>Universal</x:v>
      </x:c>
      <x:c r="J775" s="151" t="str">
        <x:v>Institution-specific published voting measure</x:v>
      </x:c>
      <x:c r="K775" s="196"/>
      <x:c r="L775" s="196"/>
    </x:row>
    <x:row r="776">
      <x:c r="A776" s="26" t="str">
        <x:v>NEW ZEALAND</x:v>
      </x:c>
      <x:c r="B776" s="27" t="str">
        <x:v>IBRD</x:v>
      </x:c>
      <x:c r="C776" s="193" t="n">
        <x:v>0.40856547115642416</x:v>
      </x:c>
      <x:c r="D776" s="193" t="n">
        <x:v>0.42</x:v>
      </x:c>
      <x:c r="E776" s="185"/>
      <x:c r="F776" s="27" t="n">
        <x:f t="shared" si="12"/>
        <x:v>5</x:v>
      </x:c>
      <x:c r="G776" s="27" t="str">
        <x:v>Country</x:v>
      </x:c>
      <x:c r="H776" s="27" t="str">
        <x:v>Member</x:v>
      </x:c>
      <x:c r="I776" s="30" t="str">
        <x:v>Universal</x:v>
      </x:c>
      <x:c r="J776" s="151" t="str">
        <x:v>Institution-specific published voting measure</x:v>
      </x:c>
      <x:c r="K776" s="196"/>
      <x:c r="L776" s="196"/>
    </x:row>
    <x:row r="777">
      <x:c r="A777" s="31" t="str">
        <x:v>NICARAGUA</x:v>
      </x:c>
      <x:c r="B777" s="32" t="str">
        <x:v>IBRD</x:v>
      </x:c>
      <x:c r="C777" s="194" t="n">
        <x:v>0.03860346872484108</x:v>
      </x:c>
      <x:c r="D777" s="194" t="n">
        <x:v>0.07</x:v>
      </x:c>
      <x:c r="E777" s="186"/>
      <x:c r="F777" s="32" t="n">
        <x:f t="shared" si="12"/>
        <x:v>4</x:v>
      </x:c>
      <x:c r="G777" s="32" t="str">
        <x:v>Country</x:v>
      </x:c>
      <x:c r="H777" s="32" t="str">
        <x:v>Member</x:v>
      </x:c>
      <x:c r="I777" s="35" t="str">
        <x:v>Universal</x:v>
      </x:c>
      <x:c r="J777" s="151" t="str">
        <x:v>Institution-specific published voting measure</x:v>
      </x:c>
      <x:c r="K777" s="196"/>
      <x:c r="L777" s="196"/>
    </x:row>
    <x:row r="778">
      <x:c r="A778" s="26" t="str">
        <x:v>NIGER</x:v>
      </x:c>
      <x:c r="B778" s="27" t="str">
        <x:v>IBRD</x:v>
      </x:c>
      <x:c r="C778" s="193" t="n">
        <x:v>0.048907402106283616</x:v>
      </x:c>
      <x:c r="D778" s="193" t="n">
        <x:v>0.08</x:v>
      </x:c>
      <x:c r="E778" s="185"/>
      <x:c r="F778" s="27" t="n">
        <x:f t="shared" si="12"/>
        <x:v>4</x:v>
      </x:c>
      <x:c r="G778" s="27" t="str">
        <x:v>Country</x:v>
      </x:c>
      <x:c r="H778" s="27" t="str">
        <x:v>Member</x:v>
      </x:c>
      <x:c r="I778" s="30" t="str">
        <x:v>Universal</x:v>
      </x:c>
      <x:c r="J778" s="151" t="str">
        <x:v>Institution-specific published voting measure</x:v>
      </x:c>
      <x:c r="K778" s="196"/>
      <x:c r="L778" s="196"/>
    </x:row>
    <x:row r="779">
      <x:c r="A779" s="31" t="str">
        <x:v>NIGERIA</x:v>
      </x:c>
      <x:c r="B779" s="32" t="str">
        <x:v>IBRD</x:v>
      </x:c>
      <x:c r="C779" s="194" t="n">
        <x:v>0.7044770227727812</x:v>
      </x:c>
      <x:c r="D779" s="194" t="n">
        <x:v>0.69</x:v>
      </x:c>
      <x:c r="E779" s="186"/>
      <x:c r="F779" s="32" t="n">
        <x:f t="shared" si="12"/>
        <x:v>5</x:v>
      </x:c>
      <x:c r="G779" s="32" t="str">
        <x:v>Country</x:v>
      </x:c>
      <x:c r="H779" s="32" t="str">
        <x:v>Member</x:v>
      </x:c>
      <x:c r="I779" s="35" t="str">
        <x:v>Universal</x:v>
      </x:c>
      <x:c r="J779" s="151" t="str">
        <x:v>Institution-specific published voting measure</x:v>
      </x:c>
      <x:c r="K779" s="196"/>
      <x:c r="L779" s="196"/>
    </x:row>
    <x:row r="780">
      <x:c r="A780" s="26" t="str">
        <x:v>NORTH MACEDONIA</x:v>
      </x:c>
      <x:c r="B780" s="27" t="str">
        <x:v>IBRD</x:v>
      </x:c>
      <x:c r="C780" s="193" t="n">
        <x:v>0.023256413019382638</x:v>
      </x:c>
      <x:c r="D780" s="193" t="n">
        <x:v>0.05</x:v>
      </x:c>
      <x:c r="E780" s="185"/>
      <x:c r="F780" s="27" t="n">
        <x:f t="shared" si="12"/>
        <x:v>3</x:v>
      </x:c>
      <x:c r="G780" s="27" t="str">
        <x:v>Country</x:v>
      </x:c>
      <x:c r="H780" s="27" t="str">
        <x:v>Member</x:v>
      </x:c>
      <x:c r="I780" s="30" t="str">
        <x:v>Universal</x:v>
      </x:c>
      <x:c r="J780" s="151" t="str">
        <x:v>Institution-specific published voting measure</x:v>
      </x:c>
      <x:c r="K780" s="196"/>
      <x:c r="L780" s="196"/>
    </x:row>
    <x:row r="781">
      <x:c r="A781" s="31" t="str">
        <x:v>NORWAY</x:v>
      </x:c>
      <x:c r="B781" s="32" t="str">
        <x:v>IBRD</x:v>
      </x:c>
      <x:c r="C781" s="194" t="n">
        <x:v>0.6075692549494254</x:v>
      </x:c>
      <x:c r="D781" s="194" t="n">
        <x:v>0.6</x:v>
      </x:c>
      <x:c r="E781" s="186"/>
      <x:c r="F781" s="32" t="n">
        <x:f t="shared" si="12"/>
        <x:v>7</x:v>
      </x:c>
      <x:c r="G781" s="32" t="str">
        <x:v>Country</x:v>
      </x:c>
      <x:c r="H781" s="32" t="str">
        <x:v>Member</x:v>
      </x:c>
      <x:c r="I781" s="35" t="str">
        <x:v>Universal</x:v>
      </x:c>
      <x:c r="J781" s="151" t="str">
        <x:v>Institution-specific published voting measure</x:v>
      </x:c>
      <x:c r="K781" s="196"/>
      <x:c r="L781" s="196"/>
    </x:row>
    <x:row r="782">
      <x:c r="A782" s="26" t="str">
        <x:v>OMAN</x:v>
      </x:c>
      <x:c r="B782" s="27" t="str">
        <x:v>IBRD</x:v>
      </x:c>
      <x:c r="C782" s="193" t="n">
        <x:v>0.08928866215397921</x:v>
      </x:c>
      <x:c r="D782" s="193" t="n">
        <x:v>0.11</x:v>
      </x:c>
      <x:c r="E782" s="185"/>
      <x:c r="F782" s="27" t="n">
        <x:f t="shared" si="12"/>
        <x:v>5</x:v>
      </x:c>
      <x:c r="G782" s="27" t="str">
        <x:v>Country</x:v>
      </x:c>
      <x:c r="H782" s="27" t="str">
        <x:v>Member</x:v>
      </x:c>
      <x:c r="I782" s="30" t="str">
        <x:v>Universal</x:v>
      </x:c>
      <x:c r="J782" s="151" t="str">
        <x:v>Institution-specific published voting measure</x:v>
      </x:c>
      <x:c r="K782" s="196"/>
      <x:c r="L782" s="196"/>
    </x:row>
    <x:row r="783">
      <x:c r="A783" s="31" t="str">
        <x:v>PAKISTAN</x:v>
      </x:c>
      <x:c r="B783" s="32" t="str">
        <x:v>IBRD</x:v>
      </x:c>
      <x:c r="C783" s="194" t="n">
        <x:v>0.5133100333825672</x:v>
      </x:c>
      <x:c r="D783" s="194" t="n">
        <x:v>0.51</x:v>
      </x:c>
      <x:c r="E783" s="186"/>
      <x:c r="F783" s="32" t="n">
        <x:f t="shared" si="12"/>
        <x:v>5</x:v>
      </x:c>
      <x:c r="G783" s="32" t="str">
        <x:v>Country</x:v>
      </x:c>
      <x:c r="H783" s="32" t="str">
        <x:v>Member</x:v>
      </x:c>
      <x:c r="I783" s="35" t="str">
        <x:v>Universal</x:v>
      </x:c>
      <x:c r="J783" s="151" t="str">
        <x:v>Institution-specific published voting measure</x:v>
      </x:c>
      <x:c r="K783" s="196"/>
      <x:c r="L783" s="196"/>
    </x:row>
    <x:row r="784">
      <x:c r="A784" s="26" t="str">
        <x:v>PALAU</x:v>
      </x:c>
      <x:c r="B784" s="27" t="str">
        <x:v>IBRD</x:v>
      </x:c>
      <x:c r="C784" s="193" t="n">
        <x:v>0.0005805032890953545</x:v>
      </x:c>
      <x:c r="D784" s="193" t="n">
        <x:v>0.03</x:v>
      </x:c>
      <x:c r="E784" s="185"/>
      <x:c r="F784" s="27" t="n">
        <x:f t="shared" si="12"/>
        <x:v>3</x:v>
      </x:c>
      <x:c r="G784" s="27" t="str">
        <x:v>Country</x:v>
      </x:c>
      <x:c r="H784" s="27" t="str">
        <x:v>Member</x:v>
      </x:c>
      <x:c r="I784" s="30" t="str">
        <x:v>Universal</x:v>
      </x:c>
      <x:c r="J784" s="151" t="str">
        <x:v>Institution-specific published voting measure</x:v>
      </x:c>
      <x:c r="K784" s="196"/>
      <x:c r="L784" s="196"/>
    </x:row>
    <x:row r="785">
      <x:c r="A785" s="31" t="str">
        <x:v>PANAMA</x:v>
      </x:c>
      <x:c r="B785" s="32" t="str">
        <x:v>IBRD</x:v>
      </x:c>
      <x:c r="C785" s="194" t="n">
        <x:v>0.04128829643690709</x:v>
      </x:c>
      <x:c r="D785" s="194" t="n">
        <x:v>0.07</x:v>
      </x:c>
      <x:c r="E785" s="186"/>
      <x:c r="F785" s="32" t="n">
        <x:f t="shared" si="12"/>
        <x:v>5</x:v>
      </x:c>
      <x:c r="G785" s="32" t="str">
        <x:v>Country</x:v>
      </x:c>
      <x:c r="H785" s="32" t="str">
        <x:v>Member</x:v>
      </x:c>
      <x:c r="I785" s="35" t="str">
        <x:v>Universal</x:v>
      </x:c>
      <x:c r="J785" s="151" t="str">
        <x:v>Institution-specific published voting measure</x:v>
      </x:c>
      <x:c r="K785" s="196"/>
      <x:c r="L785" s="196"/>
    </x:row>
    <x:row r="786">
      <x:c r="A786" s="26" t="str">
        <x:v>PAPUA NEW GUINEA</x:v>
      </x:c>
      <x:c r="B786" s="27" t="str">
        <x:v>IBRD</x:v>
      </x:c>
      <x:c r="C786" s="193" t="n">
        <x:v>0.0824677485071088</x:v>
      </x:c>
      <x:c r="D786" s="193" t="n">
        <x:v>0.11</x:v>
      </x:c>
      <x:c r="E786" s="185"/>
      <x:c r="F786" s="27" t="n">
        <x:f t="shared" si="12"/>
        <x:v>4</x:v>
      </x:c>
      <x:c r="G786" s="27" t="str">
        <x:v>Country</x:v>
      </x:c>
      <x:c r="H786" s="27" t="str">
        <x:v>Member</x:v>
      </x:c>
      <x:c r="I786" s="30" t="str">
        <x:v>Universal</x:v>
      </x:c>
      <x:c r="J786" s="151" t="str">
        <x:v>Institution-specific published voting measure</x:v>
      </x:c>
      <x:c r="K786" s="196"/>
      <x:c r="L786" s="196"/>
    </x:row>
    <x:row r="787">
      <x:c r="A787" s="31" t="str">
        <x:v>PARAGUAY</x:v>
      </x:c>
      <x:c r="B787" s="32" t="str">
        <x:v>IBRD</x:v>
      </x:c>
      <x:c r="C787" s="194" t="n">
        <x:v>0.07390532499295233</x:v>
      </x:c>
      <x:c r="D787" s="194" t="n">
        <x:v>0.1</x:v>
      </x:c>
      <x:c r="E787" s="186"/>
      <x:c r="F787" s="32" t="n">
        <x:f t="shared" si="12"/>
        <x:v>4</x:v>
      </x:c>
      <x:c r="G787" s="32" t="str">
        <x:v>Country</x:v>
      </x:c>
      <x:c r="H787" s="32" t="str">
        <x:v>Member</x:v>
      </x:c>
      <x:c r="I787" s="35" t="str">
        <x:v>Universal</x:v>
      </x:c>
      <x:c r="J787" s="151" t="str">
        <x:v>Institution-specific published voting measure</x:v>
      </x:c>
      <x:c r="K787" s="196"/>
      <x:c r="L787" s="196"/>
    </x:row>
    <x:row r="788">
      <x:c r="A788" s="26" t="str">
        <x:v>PERU</x:v>
      </x:c>
      <x:c r="B788" s="27" t="str">
        <x:v>IBRD</x:v>
      </x:c>
      <x:c r="C788" s="193" t="n">
        <x:v>0.3298709940284352</x:v>
      </x:c>
      <x:c r="D788" s="193" t="n">
        <x:v>0.34</x:v>
      </x:c>
      <x:c r="E788" s="185"/>
      <x:c r="F788" s="27" t="n">
        <x:f t="shared" si="12"/>
        <x:v>5</x:v>
      </x:c>
      <x:c r="G788" s="27" t="str">
        <x:v>Country</x:v>
      </x:c>
      <x:c r="H788" s="27" t="str">
        <x:v>Member</x:v>
      </x:c>
      <x:c r="I788" s="30" t="str">
        <x:v>Universal</x:v>
      </x:c>
      <x:c r="J788" s="151" t="str">
        <x:v>Institution-specific published voting measure</x:v>
      </x:c>
      <x:c r="K788" s="196"/>
      <x:c r="L788" s="196"/>
    </x:row>
    <x:row r="789">
      <x:c r="A789" s="31" t="str">
        <x:v>PHILIPPINES</x:v>
      </x:c>
      <x:c r="B789" s="32" t="str">
        <x:v>IBRD</x:v>
      </x:c>
      <x:c r="C789" s="194" t="n">
        <x:v>0.43127766234227993</x:v>
      </x:c>
      <x:c r="D789" s="194" t="n">
        <x:v>0.44</x:v>
      </x:c>
      <x:c r="E789" s="186"/>
      <x:c r="F789" s="32" t="n">
        <x:f t="shared" si="12"/>
        <x:v>4</x:v>
      </x:c>
      <x:c r="G789" s="32" t="str">
        <x:v>Country</x:v>
      </x:c>
      <x:c r="H789" s="32" t="str">
        <x:v>Member</x:v>
      </x:c>
      <x:c r="I789" s="35" t="str">
        <x:v>Universal</x:v>
      </x:c>
      <x:c r="J789" s="151" t="str">
        <x:v>Institution-specific published voting measure</x:v>
      </x:c>
      <x:c r="K789" s="196"/>
      <x:c r="L789" s="196"/>
    </x:row>
    <x:row r="790">
      <x:c r="A790" s="26" t="str">
        <x:v>POLAND</x:v>
      </x:c>
      <x:c r="B790" s="27" t="str">
        <x:v>IBRD</x:v>
      </x:c>
      <x:c r="C790" s="193" t="n">
        <x:v>0.742826521308643</x:v>
      </x:c>
      <x:c r="D790" s="193" t="n">
        <x:v>0.73</x:v>
      </x:c>
      <x:c r="E790" s="185"/>
      <x:c r="F790" s="27" t="n">
        <x:f t="shared" si="12"/>
        <x:v>5</x:v>
      </x:c>
      <x:c r="G790" s="27" t="str">
        <x:v>Country</x:v>
      </x:c>
      <x:c r="H790" s="27" t="str">
        <x:v>Member</x:v>
      </x:c>
      <x:c r="I790" s="30" t="str">
        <x:v>Universal</x:v>
      </x:c>
      <x:c r="J790" s="151" t="str">
        <x:v>Institution-specific published voting measure</x:v>
      </x:c>
      <x:c r="K790" s="196"/>
      <x:c r="L790" s="196"/>
    </x:row>
    <x:row r="791">
      <x:c r="A791" s="31" t="str">
        <x:v>PORTUGAL</x:v>
      </x:c>
      <x:c r="B791" s="32" t="str">
        <x:v>IBRD</x:v>
      </x:c>
      <x:c r="C791" s="194" t="n">
        <x:v>0.324247368415324</x:v>
      </x:c>
      <x:c r="D791" s="194" t="n">
        <x:v>0.34</x:v>
      </x:c>
      <x:c r="E791" s="186"/>
      <x:c r="F791" s="32" t="n">
        <x:f t="shared" si="12"/>
        <x:v>9</x:v>
      </x:c>
      <x:c r="G791" s="32" t="str">
        <x:v>Country</x:v>
      </x:c>
      <x:c r="H791" s="32" t="str">
        <x:v>Member</x:v>
      </x:c>
      <x:c r="I791" s="35" t="str">
        <x:v>Universal</x:v>
      </x:c>
      <x:c r="J791" s="151" t="str">
        <x:v>Institution-specific published voting measure</x:v>
      </x:c>
      <x:c r="K791" s="196"/>
      <x:c r="L791" s="196"/>
    </x:row>
    <x:row r="792">
      <x:c r="A792" s="26" t="str">
        <x:v>QATAR</x:v>
      </x:c>
      <x:c r="B792" s="27" t="str">
        <x:v>IBRD</x:v>
      </x:c>
      <x:c r="C792" s="193" t="n">
        <x:v>0.1008987279358863</x:v>
      </x:c>
      <x:c r="D792" s="193" t="n">
        <x:v>0.12</x:v>
      </x:c>
      <x:c r="E792" s="185"/>
      <x:c r="F792" s="27" t="n">
        <x:f t="shared" si="12"/>
        <x:v>5</x:v>
      </x:c>
      <x:c r="G792" s="27" t="str">
        <x:v>Country</x:v>
      </x:c>
      <x:c r="H792" s="27" t="str">
        <x:v>Member</x:v>
      </x:c>
      <x:c r="I792" s="30" t="str">
        <x:v>Universal</x:v>
      </x:c>
      <x:c r="J792" s="151" t="str">
        <x:v>Institution-specific published voting measure</x:v>
      </x:c>
      <x:c r="K792" s="196"/>
      <x:c r="L792" s="196"/>
    </x:row>
    <x:row r="793">
      <x:c r="A793" s="31" t="str">
        <x:v>ROMANIA</x:v>
      </x:c>
      <x:c r="B793" s="32" t="str">
        <x:v>IBRD</x:v>
      </x:c>
      <x:c r="C793" s="194" t="n">
        <x:v>0.2978707502170538</x:v>
      </x:c>
      <x:c r="D793" s="194" t="n">
        <x:v>0.31</x:v>
      </x:c>
      <x:c r="E793" s="186"/>
      <x:c r="F793" s="32" t="n">
        <x:f t="shared" si="12"/>
        <x:v>5</x:v>
      </x:c>
      <x:c r="G793" s="32" t="str">
        <x:v>Country</x:v>
      </x:c>
      <x:c r="H793" s="32" t="str">
        <x:v>Member</x:v>
      </x:c>
      <x:c r="I793" s="35" t="str">
        <x:v>Universal</x:v>
      </x:c>
      <x:c r="J793" s="151" t="str">
        <x:v>Institution-specific published voting measure</x:v>
      </x:c>
      <x:c r="K793" s="196"/>
      <x:c r="L793" s="196"/>
    </x:row>
    <x:row r="794">
      <x:c r="A794" s="26" t="str">
        <x:v>RUSSIAN FEDERATION</x:v>
      </x:c>
      <x:c r="B794" s="27" t="str">
        <x:v>IBRD</x:v>
      </x:c>
      <x:c r="C794" s="193" t="n">
        <x:v>2.870625046032097</x:v>
      </x:c>
      <x:c r="D794" s="193" t="n">
        <x:v>2.74</x:v>
      </x:c>
      <x:c r="E794" s="185"/>
      <x:c r="F794" s="27" t="n">
        <x:f t="shared" si="12"/>
        <x:v>4</x:v>
      </x:c>
      <x:c r="G794" s="27" t="str">
        <x:v>Country</x:v>
      </x:c>
      <x:c r="H794" s="27" t="str">
        <x:v>Member</x:v>
      </x:c>
      <x:c r="I794" s="30" t="str">
        <x:v>Universal</x:v>
      </x:c>
      <x:c r="J794" s="151" t="str">
        <x:v>Institution-specific published voting measure</x:v>
      </x:c>
      <x:c r="K794" s="196"/>
      <x:c r="L794" s="196"/>
    </x:row>
    <x:row r="795">
      <x:c r="A795" s="31" t="str">
        <x:v>RWANDA</x:v>
      </x:c>
      <x:c r="B795" s="32" t="str">
        <x:v>IBRD</x:v>
      </x:c>
      <x:c r="C795" s="194" t="n">
        <x:v>0.06643134514584963</x:v>
      </x:c>
      <x:c r="D795" s="194" t="n">
        <x:v>0.09</x:v>
      </x:c>
      <x:c r="E795" s="186"/>
      <x:c r="F795" s="32" t="n">
        <x:f t="shared" si="12"/>
        <x:v>4</x:v>
      </x:c>
      <x:c r="G795" s="32" t="str">
        <x:v>Country</x:v>
      </x:c>
      <x:c r="H795" s="32" t="str">
        <x:v>Member</x:v>
      </x:c>
      <x:c r="I795" s="35" t="str">
        <x:v>Universal</x:v>
      </x:c>
      <x:c r="J795" s="151" t="str">
        <x:v>Institution-specific published voting measure</x:v>
      </x:c>
      <x:c r="K795" s="196"/>
      <x:c r="L795" s="196"/>
    </x:row>
    <x:row r="796">
      <x:c r="A796" s="26" t="str">
        <x:v>SAMOA</x:v>
      </x:c>
      <x:c r="B796" s="27" t="str">
        <x:v>IBRD</x:v>
      </x:c>
      <x:c r="C796" s="193" t="n">
        <x:v>0.034358538423331295</x:v>
      </x:c>
      <x:c r="D796" s="193" t="n">
        <x:v>0.06</x:v>
      </x:c>
      <x:c r="E796" s="185"/>
      <x:c r="F796" s="27" t="n">
        <x:f t="shared" si="12"/>
        <x:v>4</x:v>
      </x:c>
      <x:c r="G796" s="27" t="str">
        <x:v>Country</x:v>
      </x:c>
      <x:c r="H796" s="27" t="str">
        <x:v>Member</x:v>
      </x:c>
      <x:c r="I796" s="30" t="str">
        <x:v>Universal</x:v>
      </x:c>
      <x:c r="J796" s="151" t="str">
        <x:v>Institution-specific published voting measure</x:v>
      </x:c>
      <x:c r="K796" s="196"/>
      <x:c r="L796" s="196"/>
    </x:row>
    <x:row r="797">
      <x:c r="A797" s="31" t="str">
        <x:v>SAN MARINO</x:v>
      </x:c>
      <x:c r="B797" s="32" t="str">
        <x:v>IBRD</x:v>
      </x:c>
      <x:c r="C797" s="194" t="n">
        <x:v>0.021587466063233494</x:v>
      </x:c>
      <x:c r="D797" s="194" t="n">
        <x:v>0.05</x:v>
      </x:c>
      <x:c r="E797" s="186"/>
      <x:c r="F797" s="32" t="n">
        <x:f t="shared" si="12"/>
        <x:v>3</x:v>
      </x:c>
      <x:c r="G797" s="32" t="str">
        <x:v>Country</x:v>
      </x:c>
      <x:c r="H797" s="32" t="str">
        <x:v>Member</x:v>
      </x:c>
      <x:c r="I797" s="35" t="str">
        <x:v>Universal</x:v>
      </x:c>
      <x:c r="J797" s="151" t="str">
        <x:v>Institution-specific published voting measure</x:v>
      </x:c>
      <x:c r="K797" s="196"/>
      <x:c r="L797" s="196"/>
    </x:row>
    <x:row r="798">
      <x:c r="A798" s="26" t="str">
        <x:v>SAO TOME AND PRINCIPE</x:v>
      </x:c>
      <x:c r="B798" s="27" t="str">
        <x:v>IBRD</x:v>
      </x:c>
      <x:c r="C798" s="193" t="n">
        <x:v>0.025578426175764057</x:v>
      </x:c>
      <x:c r="D798" s="193" t="n">
        <x:v>0.05</x:v>
      </x:c>
      <x:c r="E798" s="185"/>
      <x:c r="F798" s="27" t="n">
        <x:f t="shared" si="12"/>
        <x:v>3</x:v>
      </x:c>
      <x:c r="G798" s="27" t="str">
        <x:v>Country</x:v>
      </x:c>
      <x:c r="H798" s="27" t="str">
        <x:v>Member</x:v>
      </x:c>
      <x:c r="I798" s="30" t="str">
        <x:v>Universal</x:v>
      </x:c>
      <x:c r="J798" s="151" t="str">
        <x:v>Institution-specific published voting measure</x:v>
      </x:c>
      <x:c r="K798" s="196"/>
      <x:c r="L798" s="196"/>
    </x:row>
    <x:row r="799">
      <x:c r="A799" s="31" t="str">
        <x:v>SAUDI ARABIA</x:v>
      </x:c>
      <x:c r="B799" s="32" t="str">
        <x:v>IBRD</x:v>
      </x:c>
      <x:c r="C799" s="194" t="n">
        <x:v>2.7924747907376344</x:v>
      </x:c>
      <x:c r="D799" s="194" t="n">
        <x:v>2.67</x:v>
      </x:c>
      <x:c r="E799" s="186"/>
      <x:c r="F799" s="32" t="n">
        <x:f t="shared" si="12"/>
        <x:v>6</x:v>
      </x:c>
      <x:c r="G799" s="32" t="str">
        <x:v>Country</x:v>
      </x:c>
      <x:c r="H799" s="32" t="str">
        <x:v>Member</x:v>
      </x:c>
      <x:c r="I799" s="35" t="str">
        <x:v>Universal</x:v>
      </x:c>
      <x:c r="J799" s="151" t="str">
        <x:v>Institution-specific published voting measure</x:v>
      </x:c>
      <x:c r="K799" s="196"/>
      <x:c r="L799" s="196"/>
    </x:row>
    <x:row r="800">
      <x:c r="A800" s="26" t="str">
        <x:v>SENEGAL</x:v>
      </x:c>
      <x:c r="B800" s="27" t="str">
        <x:v>IBRD</x:v>
      </x:c>
      <x:c r="C800" s="193" t="n">
        <x:v>0.13006901821292785</x:v>
      </x:c>
      <x:c r="D800" s="193" t="n">
        <x:v>0.15</x:v>
      </x:c>
      <x:c r="E800" s="185"/>
      <x:c r="F800" s="27" t="n">
        <x:f t="shared" si="12"/>
        <x:v>5</x:v>
      </x:c>
      <x:c r="G800" s="27" t="str">
        <x:v>Country</x:v>
      </x:c>
      <x:c r="H800" s="27" t="str">
        <x:v>Member</x:v>
      </x:c>
      <x:c r="I800" s="30" t="str">
        <x:v>Universal</x:v>
      </x:c>
      <x:c r="J800" s="151" t="str">
        <x:v>Institution-specific published voting measure</x:v>
      </x:c>
      <x:c r="K800" s="196"/>
      <x:c r="L800" s="196"/>
    </x:row>
    <x:row r="801">
      <x:c r="A801" s="31" t="str">
        <x:v>SERBIA</x:v>
      </x:c>
      <x:c r="B801" s="32" t="str">
        <x:v>IBRD</x:v>
      </x:c>
      <x:c r="C801" s="194" t="n">
        <x:v>0.14995125586444377</x:v>
      </x:c>
      <x:c r="D801" s="194" t="n">
        <x:v>0.17</x:v>
      </x:c>
      <x:c r="E801" s="186"/>
      <x:c r="F801" s="32" t="n">
        <x:f t="shared" si="12"/>
        <x:v>4</x:v>
      </x:c>
      <x:c r="G801" s="32" t="str">
        <x:v>Country</x:v>
      </x:c>
      <x:c r="H801" s="32" t="str">
        <x:v>Member</x:v>
      </x:c>
      <x:c r="I801" s="35" t="str">
        <x:v>Universal</x:v>
      </x:c>
      <x:c r="J801" s="151" t="str">
        <x:v>Institution-specific published voting measure</x:v>
      </x:c>
      <x:c r="K801" s="196"/>
      <x:c r="L801" s="196"/>
    </x:row>
    <x:row r="802">
      <x:c r="A802" s="26" t="str">
        <x:v>SEYCHELLES</x:v>
      </x:c>
      <x:c r="B802" s="27" t="str">
        <x:v>IBRD</x:v>
      </x:c>
      <x:c r="C802" s="193" t="n">
        <x:v>0.010666747937127139</x:v>
      </x:c>
      <x:c r="D802" s="193" t="n">
        <x:v>0.04</x:v>
      </x:c>
      <x:c r="E802" s="185"/>
      <x:c r="F802" s="27" t="n">
        <x:f t="shared" si="12"/>
        <x:v>3</x:v>
      </x:c>
      <x:c r="G802" s="27" t="str">
        <x:v>Country</x:v>
      </x:c>
      <x:c r="H802" s="27" t="str">
        <x:v>Member</x:v>
      </x:c>
      <x:c r="I802" s="30" t="str">
        <x:v>Universal</x:v>
      </x:c>
      <x:c r="J802" s="151" t="str">
        <x:v>Institution-specific published voting measure</x:v>
      </x:c>
      <x:c r="K802" s="196"/>
      <x:c r="L802" s="196"/>
    </x:row>
    <x:row r="803">
      <x:c r="A803" s="31" t="str">
        <x:v>SIERRA LEONE</x:v>
      </x:c>
      <x:c r="B803" s="32" t="str">
        <x:v>IBRD</x:v>
      </x:c>
      <x:c r="C803" s="194" t="n">
        <x:v>0.037841558157903424</x:v>
      </x:c>
      <x:c r="D803" s="194" t="n">
        <x:v>0.07</x:v>
      </x:c>
      <x:c r="E803" s="186"/>
      <x:c r="F803" s="32" t="n">
        <x:f t="shared" si="12"/>
        <x:v>4</x:v>
      </x:c>
      <x:c r="G803" s="32" t="str">
        <x:v>Country</x:v>
      </x:c>
      <x:c r="H803" s="32" t="str">
        <x:v>Member</x:v>
      </x:c>
      <x:c r="I803" s="35" t="str">
        <x:v>Universal</x:v>
      </x:c>
      <x:c r="J803" s="151" t="str">
        <x:v>Institution-specific published voting measure</x:v>
      </x:c>
      <x:c r="K803" s="196"/>
      <x:c r="L803" s="196"/>
    </x:row>
    <x:row r="804">
      <x:c r="A804" s="26" t="str">
        <x:v>SINGAPORE</x:v>
      </x:c>
      <x:c r="B804" s="27" t="str">
        <x:v>IBRD</x:v>
      </x:c>
      <x:c r="C804" s="193" t="n">
        <x:v>0.2579248676361797</x:v>
      </x:c>
      <x:c r="D804" s="193" t="n">
        <x:v>0.27</x:v>
      </x:c>
      <x:c r="E804" s="185"/>
      <x:c r="F804" s="27" t="n">
        <x:f t="shared" si="12"/>
        <x:v>4</x:v>
      </x:c>
      <x:c r="G804" s="27" t="str">
        <x:v>Country</x:v>
      </x:c>
      <x:c r="H804" s="27" t="str">
        <x:v>Member</x:v>
      </x:c>
      <x:c r="I804" s="30" t="str">
        <x:v>Universal</x:v>
      </x:c>
      <x:c r="J804" s="151" t="str">
        <x:v>Institution-specific published voting measure</x:v>
      </x:c>
      <x:c r="K804" s="196"/>
      <x:c r="L804" s="196"/>
    </x:row>
    <x:row r="805">
      <x:c r="A805" s="31" t="str">
        <x:v>SLOVAK REPUBLIC</x:v>
      </x:c>
      <x:c r="B805" s="32" t="str">
        <x:v>IBRD</x:v>
      </x:c>
      <x:c r="C805" s="194" t="n">
        <x:v>0.17360676489507945</x:v>
      </x:c>
      <x:c r="D805" s="194" t="n">
        <x:v>0.19</x:v>
      </x:c>
      <x:c r="E805" s="186"/>
      <x:c r="F805" s="32" t="n">
        <x:f t="shared" si="12"/>
        <x:v>3</x:v>
      </x:c>
      <x:c r="G805" s="32" t="str">
        <x:v>Country</x:v>
      </x:c>
      <x:c r="H805" s="32" t="str">
        <x:v>Member</x:v>
      </x:c>
      <x:c r="I805" s="35" t="str">
        <x:v>Universal</x:v>
      </x:c>
      <x:c r="J805" s="151" t="str">
        <x:v>Institution-specific published voting measure</x:v>
      </x:c>
      <x:c r="K805" s="196"/>
      <x:c r="L805" s="196"/>
    </x:row>
    <x:row r="806">
      <x:c r="A806" s="26" t="str">
        <x:v>SLOVENIA</x:v>
      </x:c>
      <x:c r="B806" s="27" t="str">
        <x:v>IBRD</x:v>
      </x:c>
      <x:c r="C806" s="193" t="n">
        <x:v>0.07390532499295233</x:v>
      </x:c>
      <x:c r="D806" s="193" t="n">
        <x:v>0.1</x:v>
      </x:c>
      <x:c r="E806" s="185"/>
      <x:c r="F806" s="27" t="n">
        <x:f t="shared" si="12"/>
        <x:v>5</x:v>
      </x:c>
      <x:c r="G806" s="27" t="str">
        <x:v>Country</x:v>
      </x:c>
      <x:c r="H806" s="27" t="str">
        <x:v>Member</x:v>
      </x:c>
      <x:c r="I806" s="30" t="str">
        <x:v>Universal</x:v>
      </x:c>
      <x:c r="J806" s="151" t="str">
        <x:v>Institution-specific published voting measure</x:v>
      </x:c>
      <x:c r="K806" s="196"/>
      <x:c r="L806" s="196"/>
    </x:row>
    <x:row r="807">
      <x:c r="A807" s="31" t="str">
        <x:v>SOLOMON ISLANDS</x:v>
      </x:c>
      <x:c r="B807" s="32" t="str">
        <x:v>IBRD</x:v>
      </x:c>
      <x:c r="C807" s="194" t="n">
        <x:v>0.030041045210684597</x:v>
      </x:c>
      <x:c r="D807" s="194" t="n">
        <x:v>0.06</x:v>
      </x:c>
      <x:c r="E807" s="186"/>
      <x:c r="F807" s="32" t="n">
        <x:f t="shared" si="12"/>
        <x:v>3</x:v>
      </x:c>
      <x:c r="G807" s="32" t="str">
        <x:v>Country</x:v>
      </x:c>
      <x:c r="H807" s="32" t="str">
        <x:v>Member</x:v>
      </x:c>
      <x:c r="I807" s="35" t="str">
        <x:v>Universal</x:v>
      </x:c>
      <x:c r="J807" s="151" t="str">
        <x:v>Institution-specific published voting measure</x:v>
      </x:c>
      <x:c r="K807" s="196"/>
      <x:c r="L807" s="196"/>
    </x:row>
    <x:row r="808">
      <x:c r="A808" s="26" t="str">
        <x:v>SOMALIA, FEDERAL REPUBLIC OF</x:v>
      </x:c>
      <x:c r="B808" s="27" t="str">
        <x:v>IBRD</x:v>
      </x:c>
      <x:c r="C808" s="193" t="n">
        <x:v>0.022929879919266503</x:v>
      </x:c>
      <x:c r="D808" s="193" t="n">
        <x:v>0.05</x:v>
      </x:c>
      <x:c r="E808" s="185"/>
      <x:c r="F808" s="27" t="n">
        <x:f t="shared" si="12"/>
        <x:v>2</x:v>
      </x:c>
      <x:c r="G808" s="27" t="str">
        <x:v>Country</x:v>
      </x:c>
      <x:c r="H808" s="27" t="str">
        <x:v>Member</x:v>
      </x:c>
      <x:c r="I808" s="30" t="str">
        <x:v>Universal</x:v>
      </x:c>
      <x:c r="J808" s="151" t="str">
        <x:v>Institution-specific published voting measure</x:v>
      </x:c>
      <x:c r="K808" s="196"/>
      <x:c r="L808" s="196"/>
    </x:row>
    <x:row r="809">
      <x:c r="A809" s="31" t="str">
        <x:v>SOUTH AFRICA</x:v>
      </x:c>
      <x:c r="B809" s="32" t="str">
        <x:v>IBRD</x:v>
      </x:c>
      <x:c r="C809" s="194" t="n">
        <x:v>0.7544003056349817</x:v>
      </x:c>
      <x:c r="D809" s="194" t="n">
        <x:v>0.74</x:v>
      </x:c>
      <x:c r="E809" s="186"/>
      <x:c r="F809" s="32" t="n">
        <x:f t="shared" si="12"/>
        <x:v>5</x:v>
      </x:c>
      <x:c r="G809" s="32" t="str">
        <x:v>Country</x:v>
      </x:c>
      <x:c r="H809" s="32" t="str">
        <x:v>Member</x:v>
      </x:c>
      <x:c r="I809" s="35" t="str">
        <x:v>Universal</x:v>
      </x:c>
      <x:c r="J809" s="151" t="str">
        <x:v>Institution-specific published voting measure</x:v>
      </x:c>
      <x:c r="K809" s="196"/>
      <x:c r="L809" s="196"/>
    </x:row>
    <x:row r="810">
      <x:c r="A810" s="26" t="str">
        <x:v>SOUTH SUDAN</x:v>
      </x:c>
      <x:c r="B810" s="27" t="str">
        <x:v>IBRD</x:v>
      </x:c>
      <x:c r="C810" s="193" t="n">
        <x:v>0.052136451651876525</x:v>
      </x:c>
      <x:c r="D810" s="193" t="n">
        <x:v>0.08</x:v>
      </x:c>
      <x:c r="E810" s="185"/>
      <x:c r="F810" s="27" t="n">
        <x:f t="shared" si="12"/>
        <x:v>3</x:v>
      </x:c>
      <x:c r="G810" s="27" t="str">
        <x:v>Country</x:v>
      </x:c>
      <x:c r="H810" s="27" t="str">
        <x:v>Member</x:v>
      </x:c>
      <x:c r="I810" s="30" t="str">
        <x:v>Universal</x:v>
      </x:c>
      <x:c r="J810" s="151" t="str">
        <x:v>Institution-specific published voting measure</x:v>
      </x:c>
      <x:c r="K810" s="196"/>
      <x:c r="L810" s="196"/>
    </x:row>
    <x:row r="811">
      <x:c r="A811" s="31" t="str">
        <x:v>SPAIN</x:v>
      </x:c>
      <x:c r="B811" s="32" t="str">
        <x:v>IBRD</x:v>
      </x:c>
      <x:c r="C811" s="194" t="n">
        <x:v>1.9191075922936736</x:v>
      </x:c>
      <x:c r="D811" s="194" t="n">
        <x:v>1.84</x:v>
      </x:c>
      <x:c r="E811" s="186"/>
      <x:c r="F811" s="32" t="n">
        <x:f t="shared" si="12"/>
        <x:v>10</x:v>
      </x:c>
      <x:c r="G811" s="32" t="str">
        <x:v>Country</x:v>
      </x:c>
      <x:c r="H811" s="32" t="str">
        <x:v>Member</x:v>
      </x:c>
      <x:c r="I811" s="35" t="str">
        <x:v>Universal</x:v>
      </x:c>
      <x:c r="J811" s="151" t="str">
        <x:v>Institution-specific published voting measure</x:v>
      </x:c>
      <x:c r="K811" s="196"/>
      <x:c r="L811" s="196"/>
    </x:row>
    <x:row r="812">
      <x:c r="A812" s="26" t="str">
        <x:v>SRI LANKA</x:v>
      </x:c>
      <x:c r="B812" s="27" t="str">
        <x:v>IBRD</x:v>
      </x:c>
      <x:c r="C812" s="193" t="n">
        <x:v>0.2279201038810636</x:v>
      </x:c>
      <x:c r="D812" s="193" t="n">
        <x:v>0.24</x:v>
      </x:c>
      <x:c r="E812" s="185"/>
      <x:c r="F812" s="27" t="n">
        <x:f t="shared" si="12"/>
        <x:v>4</x:v>
      </x:c>
      <x:c r="G812" s="27" t="str">
        <x:v>Country</x:v>
      </x:c>
      <x:c r="H812" s="27" t="str">
        <x:v>Member</x:v>
      </x:c>
      <x:c r="I812" s="30" t="str">
        <x:v>Universal</x:v>
      </x:c>
      <x:c r="J812" s="151" t="str">
        <x:v>Institution-specific published voting measure</x:v>
      </x:c>
      <x:c r="K812" s="196"/>
      <x:c r="L812" s="196"/>
    </x:row>
    <x:row r="813">
      <x:c r="A813" s="31" t="str">
        <x:v>ST. KITTS AND NEVIS</x:v>
      </x:c>
      <x:c r="B813" s="32" t="str">
        <x:v>IBRD</x:v>
      </x:c>
      <x:c r="C813" s="194" t="n">
        <x:v>0.009977400281326406</x:v>
      </x:c>
      <x:c r="D813" s="194" t="n">
        <x:v>0.04</x:v>
      </x:c>
      <x:c r="E813" s="186"/>
      <x:c r="F813" s="32" t="n">
        <x:f t="shared" si="12"/>
        <x:v>3</x:v>
      </x:c>
      <x:c r="G813" s="32" t="str">
        <x:v>Country</x:v>
      </x:c>
      <x:c r="H813" s="32" t="str">
        <x:v>Member</x:v>
      </x:c>
      <x:c r="I813" s="35" t="str">
        <x:v>Universal</x:v>
      </x:c>
      <x:c r="J813" s="151" t="str">
        <x:v>Institution-specific published voting measure</x:v>
      </x:c>
      <x:c r="K813" s="196"/>
      <x:c r="L813" s="196"/>
    </x:row>
    <x:row r="814">
      <x:c r="A814" s="26" t="str">
        <x:v>ST. LUCIA</x:v>
      </x:c>
      <x:c r="B814" s="27" t="str">
        <x:v>IBRD</x:v>
      </x:c>
      <x:c r="C814" s="193" t="n">
        <x:v>0.0253607374423533</x:v>
      </x:c>
      <x:c r="D814" s="193" t="n">
        <x:v>0.05</x:v>
      </x:c>
      <x:c r="E814" s="185"/>
      <x:c r="F814" s="27" t="n">
        <x:f t="shared" si="12"/>
        <x:v>3</x:v>
      </x:c>
      <x:c r="G814" s="27" t="str">
        <x:v>Country</x:v>
      </x:c>
      <x:c r="H814" s="27" t="str">
        <x:v>Member</x:v>
      </x:c>
      <x:c r="I814" s="30" t="str">
        <x:v>Universal</x:v>
      </x:c>
      <x:c r="J814" s="151" t="str">
        <x:v>Institution-specific published voting measure</x:v>
      </x:c>
      <x:c r="K814" s="196"/>
      <x:c r="L814" s="196"/>
    </x:row>
    <x:row r="815">
      <x:c r="A815" s="31" t="str">
        <x:v>ST. VINCENT AND THE GRENADINES</x:v>
      </x:c>
      <x:c r="B815" s="32" t="str">
        <x:v>IBRD</x:v>
      </x:c>
      <x:c r="C815" s="194" t="n">
        <x:v>0.014040923304993888</x:v>
      </x:c>
      <x:c r="D815" s="194" t="n">
        <x:v>0.04</x:v>
      </x:c>
      <x:c r="E815" s="186"/>
      <x:c r="F815" s="32" t="n">
        <x:f t="shared" si="12"/>
        <x:v>3</x:v>
      </x:c>
      <x:c r="G815" s="32" t="str">
        <x:v>Country</x:v>
      </x:c>
      <x:c r="H815" s="32" t="str">
        <x:v>Member</x:v>
      </x:c>
      <x:c r="I815" s="35" t="str">
        <x:v>Universal</x:v>
      </x:c>
      <x:c r="J815" s="151" t="str">
        <x:v>Institution-specific published voting measure</x:v>
      </x:c>
      <x:c r="K815" s="196"/>
      <x:c r="L815" s="196"/>
    </x:row>
    <x:row r="816">
      <x:c r="A816" s="26" t="str">
        <x:v>SUDAN</x:v>
      </x:c>
      <x:c r="B816" s="27" t="str">
        <x:v>IBRD</x:v>
      </x:c>
      <x:c r="C816" s="193" t="n">
        <x:v>0.07216381512566626</x:v>
      </x:c>
      <x:c r="D816" s="193" t="n">
        <x:v>0.1</x:v>
      </x:c>
      <x:c r="E816" s="185"/>
      <x:c r="F816" s="27" t="n">
        <x:f t="shared" si="12"/>
        <x:v>6</x:v>
      </x:c>
      <x:c r="G816" s="27" t="str">
        <x:v>Country</x:v>
      </x:c>
      <x:c r="H816" s="27" t="str">
        <x:v>Member</x:v>
      </x:c>
      <x:c r="I816" s="30" t="str">
        <x:v>Universal</x:v>
      </x:c>
      <x:c r="J816" s="151" t="str">
        <x:v>Institution-specific published voting measure</x:v>
      </x:c>
      <x:c r="K816" s="196"/>
      <x:c r="L816" s="196"/>
    </x:row>
    <x:row r="817">
      <x:c r="A817" s="31" t="str">
        <x:v>SURINAME</x:v>
      </x:c>
      <x:c r="B817" s="32" t="str">
        <x:v>IBRD</x:v>
      </x:c>
      <x:c r="C817" s="194" t="n">
        <x:v>0.014947959694205381</x:v>
      </x:c>
      <x:c r="D817" s="194" t="n">
        <x:v>0.04</x:v>
      </x:c>
      <x:c r="E817" s="186"/>
      <x:c r="F817" s="32" t="n">
        <x:f t="shared" si="12"/>
        <x:v>5</x:v>
      </x:c>
      <x:c r="G817" s="32" t="str">
        <x:v>Country</x:v>
      </x:c>
      <x:c r="H817" s="32" t="str">
        <x:v>Member</x:v>
      </x:c>
      <x:c r="I817" s="35" t="str">
        <x:v>Universal</x:v>
      </x:c>
      <x:c r="J817" s="151" t="str">
        <x:v>Institution-specific published voting measure</x:v>
      </x:c>
      <x:c r="K817" s="196"/>
      <x:c r="L817" s="196"/>
    </x:row>
    <x:row r="818">
      <x:c r="A818" s="26" t="str">
        <x:v>SWEDEN</x:v>
      </x:c>
      <x:c r="B818" s="27" t="str">
        <x:v>IBRD</x:v>
      </x:c>
      <x:c r="C818" s="193" t="n">
        <x:v>0.9124060446356235</x:v>
      </x:c>
      <x:c r="D818" s="193" t="n">
        <x:v>0.89</x:v>
      </x:c>
      <x:c r="E818" s="185"/>
      <x:c r="F818" s="27" t="n">
        <x:f t="shared" si="12"/>
        <x:v>8</x:v>
      </x:c>
      <x:c r="G818" s="27" t="str">
        <x:v>Country</x:v>
      </x:c>
      <x:c r="H818" s="27" t="str">
        <x:v>Member</x:v>
      </x:c>
      <x:c r="I818" s="30" t="str">
        <x:v>Universal</x:v>
      </x:c>
      <x:c r="J818" s="151" t="str">
        <x:v>Institution-specific published voting measure</x:v>
      </x:c>
      <x:c r="K818" s="196"/>
      <x:c r="L818" s="196"/>
    </x:row>
    <x:row r="819">
      <x:c r="A819" s="31" t="str">
        <x:v>SWITZERLAND</x:v>
      </x:c>
      <x:c r="B819" s="32" t="str">
        <x:v>IBRD</x:v>
      </x:c>
      <x:c r="C819" s="194" t="n">
        <x:v>1.4835124367387469</x:v>
      </x:c>
      <x:c r="D819" s="194" t="n">
        <x:v>1.43</x:v>
      </x:c>
      <x:c r="E819" s="186"/>
      <x:c r="F819" s="32" t="n">
        <x:f t="shared" si="12"/>
        <x:v>7</x:v>
      </x:c>
      <x:c r="G819" s="32" t="str">
        <x:v>Country</x:v>
      </x:c>
      <x:c r="H819" s="32" t="str">
        <x:v>Member</x:v>
      </x:c>
      <x:c r="I819" s="35" t="str">
        <x:v>Universal</x:v>
      </x:c>
      <x:c r="J819" s="151" t="str">
        <x:v>Institution-specific published voting measure</x:v>
      </x:c>
      <x:c r="K819" s="196"/>
      <x:c r="L819" s="196"/>
    </x:row>
    <x:row r="820">
      <x:c r="A820" s="26" t="str">
        <x:v>SYRIAN ARAB REPUBLIC</x:v>
      </x:c>
      <x:c r="B820" s="27" t="str">
        <x:v>IBRD</x:v>
      </x:c>
      <x:c r="C820" s="193" t="n">
        <x:v>0.08896212905386308</x:v>
      </x:c>
      <x:c r="D820" s="193" t="n">
        <x:v>0.11</x:v>
      </x:c>
      <x:c r="E820" s="185"/>
      <x:c r="F820" s="27" t="n">
        <x:f t="shared" si="12"/>
        <x:v>2</x:v>
      </x:c>
      <x:c r="G820" s="27" t="str">
        <x:v>Country</x:v>
      </x:c>
      <x:c r="H820" s="27" t="str">
        <x:v>Member</x:v>
      </x:c>
      <x:c r="I820" s="30" t="str">
        <x:v>Universal</x:v>
      </x:c>
      <x:c r="J820" s="151" t="str">
        <x:v>Institution-specific published voting measure</x:v>
      </x:c>
      <x:c r="K820" s="196"/>
      <x:c r="L820" s="196"/>
    </x:row>
    <x:row r="821">
      <x:c r="A821" s="31" t="str">
        <x:v>TAJIKISTAN</x:v>
      </x:c>
      <x:c r="B821" s="32" t="str">
        <x:v>IBRD</x:v>
      </x:c>
      <x:c r="C821" s="194" t="n">
        <x:v>0.05326117677449878</x:v>
      </x:c>
      <x:c r="D821" s="194" t="n">
        <x:v>0.08</x:v>
      </x:c>
      <x:c r="E821" s="186"/>
      <x:c r="F821" s="32" t="n">
        <x:f t="shared" si="12"/>
        <x:v>6</x:v>
      </x:c>
      <x:c r="G821" s="32" t="str">
        <x:v>Country</x:v>
      </x:c>
      <x:c r="H821" s="32" t="str">
        <x:v>Member</x:v>
      </x:c>
      <x:c r="I821" s="35" t="str">
        <x:v>Universal</x:v>
      </x:c>
      <x:c r="J821" s="151" t="str">
        <x:v>Institution-specific published voting measure</x:v>
      </x:c>
      <x:c r="K821" s="196"/>
      <x:c r="L821" s="196"/>
    </x:row>
    <x:row r="822">
      <x:c r="A822" s="26" t="str">
        <x:v>TANZANIA</x:v>
      </x:c>
      <x:c r="B822" s="27" t="str">
        <x:v>IBRD</x:v>
      </x:c>
      <x:c r="C822" s="193" t="n">
        <x:v>0.05859455074306235</x:v>
      </x:c>
      <x:c r="D822" s="193" t="n">
        <x:v>0.08</x:v>
      </x:c>
      <x:c r="E822" s="185"/>
      <x:c r="F822" s="27" t="n">
        <x:f t="shared" si="12"/>
        <x:v>3</x:v>
      </x:c>
      <x:c r="G822" s="27" t="str">
        <x:v>Country</x:v>
      </x:c>
      <x:c r="H822" s="27" t="str">
        <x:v>Member</x:v>
      </x:c>
      <x:c r="I822" s="30" t="str">
        <x:v>Universal</x:v>
      </x:c>
      <x:c r="J822" s="151" t="str">
        <x:v>Institution-specific published voting measure</x:v>
      </x:c>
      <x:c r="K822" s="196"/>
      <x:c r="L822" s="196"/>
    </x:row>
    <x:row r="823">
      <x:c r="A823" s="31" t="str">
        <x:v>THAILAND</x:v>
      </x:c>
      <x:c r="B823" s="32" t="str">
        <x:v>IBRD</x:v>
      </x:c>
      <x:c r="C823" s="194" t="n">
        <x:v>0.4989425769774572</x:v>
      </x:c>
      <x:c r="D823" s="194" t="n">
        <x:v>0.5</x:v>
      </x:c>
      <x:c r="E823" s="186"/>
      <x:c r="F823" s="32" t="n">
        <x:f t="shared" si="12"/>
        <x:v>4</x:v>
      </x:c>
      <x:c r="G823" s="32" t="str">
        <x:v>Country</x:v>
      </x:c>
      <x:c r="H823" s="32" t="str">
        <x:v>Member</x:v>
      </x:c>
      <x:c r="I823" s="35" t="str">
        <x:v>Universal</x:v>
      </x:c>
      <x:c r="J823" s="151" t="str">
        <x:v>Institution-specific published voting measure</x:v>
      </x:c>
      <x:c r="K823" s="196"/>
      <x:c r="L823" s="196"/>
    </x:row>
    <x:row r="824">
      <x:c r="A824" s="26" t="str">
        <x:v>TIMOR-LESTE</x:v>
      </x:c>
      <x:c r="B824" s="27" t="str">
        <x:v>IBRD</x:v>
      </x:c>
      <x:c r="C824" s="193" t="n">
        <x:v>0.03330637621184596</x:v>
      </x:c>
      <x:c r="D824" s="193" t="n">
        <x:v>0.06</x:v>
      </x:c>
      <x:c r="E824" s="185"/>
      <x:c r="F824" s="27" t="n">
        <x:f t="shared" si="12"/>
        <x:v>4</x:v>
      </x:c>
      <x:c r="G824" s="27" t="str">
        <x:v>Country</x:v>
      </x:c>
      <x:c r="H824" s="27" t="str">
        <x:v>Member</x:v>
      </x:c>
      <x:c r="I824" s="30" t="str">
        <x:v>Universal</x:v>
      </x:c>
      <x:c r="J824" s="151" t="str">
        <x:v>Institution-specific published voting measure</x:v>
      </x:c>
      <x:c r="K824" s="196"/>
      <x:c r="L824" s="196"/>
    </x:row>
    <x:row r="825">
      <x:c r="A825" s="31" t="str">
        <x:v>TOGO</x:v>
      </x:c>
      <x:c r="B825" s="32" t="str">
        <x:v>IBRD</x:v>
      </x:c>
      <x:c r="C825" s="194" t="n">
        <x:v>0.07063999399179095</x:v>
      </x:c>
      <x:c r="D825" s="194" t="n">
        <x:v>0.1</x:v>
      </x:c>
      <x:c r="E825" s="186"/>
      <x:c r="F825" s="32" t="n">
        <x:f t="shared" si="12"/>
        <x:v>5</x:v>
      </x:c>
      <x:c r="G825" s="32" t="str">
        <x:v>Country</x:v>
      </x:c>
      <x:c r="H825" s="32" t="str">
        <x:v>Member</x:v>
      </x:c>
      <x:c r="I825" s="35" t="str">
        <x:v>Universal</x:v>
      </x:c>
      <x:c r="J825" s="151" t="str">
        <x:v>Institution-specific published voting measure</x:v>
      </x:c>
      <x:c r="K825" s="196"/>
      <x:c r="L825" s="196"/>
    </x:row>
    <x:row r="826">
      <x:c r="A826" s="26" t="str">
        <x:v>TONGA</x:v>
      </x:c>
      <x:c r="B826" s="27" t="str">
        <x:v>IBRD</x:v>
      </x:c>
      <x:c r="C826" s="193" t="n">
        <x:v>0.031165770333306846</x:v>
      </x:c>
      <x:c r="D826" s="193" t="n">
        <x:v>0.06</x:v>
      </x:c>
      <x:c r="E826" s="185"/>
      <x:c r="F826" s="27" t="n">
        <x:f t="shared" si="12"/>
        <x:v>4</x:v>
      </x:c>
      <x:c r="G826" s="27" t="str">
        <x:v>Country</x:v>
      </x:c>
      <x:c r="H826" s="27" t="str">
        <x:v>Member</x:v>
      </x:c>
      <x:c r="I826" s="30" t="str">
        <x:v>Universal</x:v>
      </x:c>
      <x:c r="J826" s="151" t="str">
        <x:v>Institution-specific published voting measure</x:v>
      </x:c>
      <x:c r="K826" s="196"/>
      <x:c r="L826" s="196"/>
    </x:row>
    <x:row r="827">
      <x:c r="A827" s="31" t="str">
        <x:v>TRINIDAD AND TOBAGO</x:v>
      </x:c>
      <x:c r="B827" s="32" t="str">
        <x:v>IBRD</x:v>
      </x:c>
      <x:c r="C827" s="194" t="n">
        <x:v>0.1224861939991198</x:v>
      </x:c>
      <x:c r="D827" s="194" t="n">
        <x:v>0.15</x:v>
      </x:c>
      <x:c r="E827" s="186"/>
      <x:c r="F827" s="32" t="n">
        <x:f t="shared" si="12"/>
        <x:v>5</x:v>
      </x:c>
      <x:c r="G827" s="32" t="str">
        <x:v>Country</x:v>
      </x:c>
      <x:c r="H827" s="32" t="str">
        <x:v>Member</x:v>
      </x:c>
      <x:c r="I827" s="35" t="str">
        <x:v>Universal</x:v>
      </x:c>
      <x:c r="J827" s="151" t="str">
        <x:v>Institution-specific published voting measure</x:v>
      </x:c>
      <x:c r="K827" s="196"/>
      <x:c r="L827" s="196"/>
    </x:row>
    <x:row r="828">
      <x:c r="A828" s="26" t="str">
        <x:v>TUNISIA</x:v>
      </x:c>
      <x:c r="B828" s="27" t="str">
        <x:v>IBRD</x:v>
      </x:c>
      <x:c r="C828" s="193" t="n">
        <x:v>0.07488492429330074</x:v>
      </x:c>
      <x:c r="D828" s="193" t="n">
        <x:v>0.1</x:v>
      </x:c>
      <x:c r="E828" s="185"/>
      <x:c r="F828" s="27" t="n">
        <x:f t="shared" si="12"/>
        <x:v>7</x:v>
      </x:c>
      <x:c r="G828" s="27" t="str">
        <x:v>Country</x:v>
      </x:c>
      <x:c r="H828" s="27" t="str">
        <x:v>Member</x:v>
      </x:c>
      <x:c r="I828" s="30" t="str">
        <x:v>Universal</x:v>
      </x:c>
      <x:c r="J828" s="151" t="str">
        <x:v>Institution-specific published voting measure</x:v>
      </x:c>
      <x:c r="K828" s="196"/>
      <x:c r="L828" s="196"/>
    </x:row>
    <x:row r="829">
      <x:c r="A829" s="31" t="str">
        <x:v>TURKIYE</x:v>
      </x:c>
      <x:c r="B829" s="32" t="str">
        <x:v>IBRD</x:v>
      </x:c>
      <x:c r="C829" s="194" t="n">
        <x:v>1.112679679373521</x:v>
      </x:c>
      <x:c r="D829" s="194" t="n">
        <x:v>1.08</x:v>
      </x:c>
      <x:c r="E829" s="186"/>
      <x:c r="F829" s="32" t="n">
        <x:f t="shared" si="12"/>
        <x:v>2</x:v>
      </x:c>
      <x:c r="G829" s="32" t="str">
        <x:v>Country</x:v>
      </x:c>
      <x:c r="H829" s="32" t="str">
        <x:v>Member</x:v>
      </x:c>
      <x:c r="I829" s="35" t="str">
        <x:v>Universal</x:v>
      </x:c>
      <x:c r="J829" s="151" t="str">
        <x:v>Institution-specific published voting measure</x:v>
      </x:c>
      <x:c r="K829" s="196"/>
      <x:c r="L829" s="196"/>
    </x:row>
    <x:row r="830">
      <x:c r="A830" s="26" t="str">
        <x:v>TURKMENISTAN</x:v>
      </x:c>
      <x:c r="B830" s="27" t="str">
        <x:v>IBRD</x:v>
      </x:c>
      <x:c r="C830" s="193" t="n">
        <x:v>0.022748472641424208</x:v>
      </x:c>
      <x:c r="D830" s="193" t="n">
        <x:v>0.05</x:v>
      </x:c>
      <x:c r="E830" s="185"/>
      <x:c r="F830" s="27" t="n">
        <x:f t="shared" si="12"/>
        <x:v>5</x:v>
      </x:c>
      <x:c r="G830" s="27" t="str">
        <x:v>Country</x:v>
      </x:c>
      <x:c r="H830" s="27" t="str">
        <x:v>Member</x:v>
      </x:c>
      <x:c r="I830" s="30" t="str">
        <x:v>Universal</x:v>
      </x:c>
      <x:c r="J830" s="151" t="str">
        <x:v>Institution-specific published voting measure</x:v>
      </x:c>
      <x:c r="K830" s="196"/>
      <x:c r="L830" s="196"/>
    </x:row>
    <x:row r="831">
      <x:c r="A831" s="31" t="str">
        <x:v>TUVALU</x:v>
      </x:c>
      <x:c r="B831" s="32" t="str">
        <x:v>IBRD</x:v>
      </x:c>
      <x:c r="C831" s="194" t="n">
        <x:v>0.01821329069536675</x:v>
      </x:c>
      <x:c r="D831" s="194" t="n">
        <x:v>0.05</x:v>
      </x:c>
      <x:c r="E831" s="186"/>
      <x:c r="F831" s="32" t="n">
        <x:f t="shared" si="12"/>
        <x:v>3</x:v>
      </x:c>
      <x:c r="G831" s="32" t="str">
        <x:v>Country</x:v>
      </x:c>
      <x:c r="H831" s="32" t="str">
        <x:v>Member</x:v>
      </x:c>
      <x:c r="I831" s="35" t="str">
        <x:v>Universal</x:v>
      </x:c>
      <x:c r="J831" s="151" t="str">
        <x:v>Institution-specific published voting measure</x:v>
      </x:c>
      <x:c r="K831" s="196"/>
      <x:c r="L831" s="196"/>
    </x:row>
    <x:row r="832">
      <x:c r="A832" s="26" t="str">
        <x:v>UGANDA</x:v>
      </x:c>
      <x:c r="B832" s="27" t="str">
        <x:v>IBRD</x:v>
      </x:c>
      <x:c r="C832" s="193" t="n">
        <x:v>0.04110688915906479</x:v>
      </x:c>
      <x:c r="D832" s="193" t="n">
        <x:v>0.07</x:v>
      </x:c>
      <x:c r="E832" s="185"/>
      <x:c r="F832" s="27" t="n">
        <x:f t="shared" si="12"/>
        <x:v>4</x:v>
      </x:c>
      <x:c r="G832" s="27" t="str">
        <x:v>Country</x:v>
      </x:c>
      <x:c r="H832" s="27" t="str">
        <x:v>Member</x:v>
      </x:c>
      <x:c r="I832" s="30" t="str">
        <x:v>Universal</x:v>
      </x:c>
      <x:c r="J832" s="151" t="str">
        <x:v>Institution-specific published voting measure</x:v>
      </x:c>
      <x:c r="K832" s="196"/>
      <x:c r="L832" s="196"/>
    </x:row>
    <x:row r="833">
      <x:c r="A833" s="31" t="str">
        <x:v>UKRAINE</x:v>
      </x:c>
      <x:c r="B833" s="32" t="str">
        <x:v>IBRD</x:v>
      </x:c>
      <x:c r="C833" s="194" t="n">
        <x:v>0.5828615837073045</x:v>
      </x:c>
      <x:c r="D833" s="194" t="n">
        <x:v>0.58</x:v>
      </x:c>
      <x:c r="E833" s="186"/>
      <x:c r="F833" s="32" t="n">
        <x:f t="shared" si="12"/>
        <x:v>3</x:v>
      </x:c>
      <x:c r="G833" s="32" t="str">
        <x:v>Country</x:v>
      </x:c>
      <x:c r="H833" s="32" t="str">
        <x:v>Member</x:v>
      </x:c>
      <x:c r="I833" s="35" t="str">
        <x:v>Universal</x:v>
      </x:c>
      <x:c r="J833" s="151" t="str">
        <x:v>Institution-specific published voting measure</x:v>
      </x:c>
      <x:c r="K833" s="196"/>
      <x:c r="L833" s="196"/>
    </x:row>
    <x:row r="834">
      <x:c r="A834" s="26" t="str">
        <x:v>UNITED ARAB EMIRATES</x:v>
      </x:c>
      <x:c r="B834" s="27" t="str">
        <x:v>IBRD</x:v>
      </x:c>
      <x:c r="C834" s="193" t="n">
        <x:v>0.25553029156866136</x:v>
      </x:c>
      <x:c r="D834" s="193" t="n">
        <x:v>0.27</x:v>
      </x:c>
      <x:c r="E834" s="185"/>
      <x:c r="F834" s="27" t="n">
        <x:f t="shared" si="12"/>
        <x:v>7</x:v>
      </x:c>
      <x:c r="G834" s="27" t="str">
        <x:v>Country</x:v>
      </x:c>
      <x:c r="H834" s="27" t="str">
        <x:v>Member</x:v>
      </x:c>
      <x:c r="I834" s="30" t="str">
        <x:v>Universal</x:v>
      </x:c>
      <x:c r="J834" s="151" t="str">
        <x:v>Institution-specific published voting measure</x:v>
      </x:c>
      <x:c r="K834" s="196"/>
      <x:c r="L834" s="196"/>
    </x:row>
    <x:row r="835">
      <x:c r="A835" s="31" t="str">
        <x:v>UNITED KINGDOM</x:v>
      </x:c>
      <x:c r="B835" s="32" t="str">
        <x:v>IBRD</x:v>
      </x:c>
      <x:c r="C835" s="194" t="n">
        <x:v>3.9405651707459723</x:v>
      </x:c>
      <x:c r="D835" s="194" t="n">
        <x:v>3.75</x:v>
      </x:c>
      <x:c r="E835" s="186"/>
      <x:c r="F835" s="32" t="n">
        <x:f t="shared" ref="F835:F898" si="13">COUNTIF(A835:A1866,A835)</x:f>
        <x:v>2</x:v>
      </x:c>
      <x:c r="G835" s="32" t="str">
        <x:v>Country</x:v>
      </x:c>
      <x:c r="H835" s="32" t="str">
        <x:v>Member</x:v>
      </x:c>
      <x:c r="I835" s="35" t="str">
        <x:v>Universal</x:v>
      </x:c>
      <x:c r="J835" s="151" t="str">
        <x:v>Institution-specific published voting measure</x:v>
      </x:c>
      <x:c r="K835" s="196"/>
      <x:c r="L835" s="196"/>
    </x:row>
    <x:row r="836">
      <x:c r="A836" s="26" t="str">
        <x:v>UNITED STATES</x:v>
      </x:c>
      <x:c r="B836" s="27" t="str">
        <x:v>IBRD</x:v>
      </x:c>
      <x:c r="C836" s="193" t="n">
        <x:v>16.887638871806367</x:v>
      </x:c>
      <x:c r="D836" s="193" t="n">
        <x:v>15.98</x:v>
      </x:c>
      <x:c r="E836" s="185"/>
      <x:c r="F836" s="27" t="n">
        <x:f t="shared" si="13"/>
        <x:v>5</x:v>
      </x:c>
      <x:c r="G836" s="27" t="str">
        <x:v>Country</x:v>
      </x:c>
      <x:c r="H836" s="27" t="str">
        <x:v>Member</x:v>
      </x:c>
      <x:c r="I836" s="30" t="str">
        <x:v>Universal</x:v>
      </x:c>
      <x:c r="J836" s="151" t="str">
        <x:v>Institution-specific published voting measure</x:v>
      </x:c>
      <x:c r="K836" s="196"/>
      <x:c r="L836" s="196"/>
    </x:row>
    <x:row r="837">
      <x:c r="A837" s="31" t="str">
        <x:v>URUGUAY</x:v>
      </x:c>
      <x:c r="B837" s="32" t="str">
        <x:v>IBRD</x:v>
      </x:c>
      <x:c r="C837" s="194" t="n">
        <x:v>0.1415702396281296</x:v>
      </x:c>
      <x:c r="D837" s="194" t="n">
        <x:v>0.16</x:v>
      </x:c>
      <x:c r="E837" s="186"/>
      <x:c r="F837" s="32" t="n">
        <x:f t="shared" si="13"/>
        <x:v>5</x:v>
      </x:c>
      <x:c r="G837" s="32" t="str">
        <x:v>Country</x:v>
      </x:c>
      <x:c r="H837" s="32" t="str">
        <x:v>Member</x:v>
      </x:c>
      <x:c r="I837" s="35" t="str">
        <x:v>Universal</x:v>
      </x:c>
      <x:c r="J837" s="151" t="str">
        <x:v>Institution-specific published voting measure</x:v>
      </x:c>
      <x:c r="K837" s="196"/>
      <x:c r="L837" s="196"/>
    </x:row>
    <x:row r="838">
      <x:c r="A838" s="26" t="str">
        <x:v>UZBEKISTAN</x:v>
      </x:c>
      <x:c r="B838" s="27" t="str">
        <x:v>IBRD</x:v>
      </x:c>
      <x:c r="C838" s="193" t="n">
        <x:v>0.15376080869913203</x:v>
      </x:c>
      <x:c r="D838" s="193" t="n">
        <x:v>0.17</x:v>
      </x:c>
      <x:c r="E838" s="185"/>
      <x:c r="F838" s="27" t="n">
        <x:f t="shared" si="13"/>
        <x:v>6</x:v>
      </x:c>
      <x:c r="G838" s="27" t="str">
        <x:v>Country</x:v>
      </x:c>
      <x:c r="H838" s="27" t="str">
        <x:v>Member</x:v>
      </x:c>
      <x:c r="I838" s="30" t="str">
        <x:v>Universal</x:v>
      </x:c>
      <x:c r="J838" s="151" t="str">
        <x:v>Institution-specific published voting measure</x:v>
      </x:c>
      <x:c r="K838" s="196"/>
      <x:c r="L838" s="196"/>
    </x:row>
    <x:row r="839">
      <x:c r="A839" s="31" t="str">
        <x:v>VANUATU</x:v>
      </x:c>
      <x:c r="B839" s="32" t="str">
        <x:v>IBRD</x:v>
      </x:c>
      <x:c r="C839" s="194" t="n">
        <x:v>0.03385059804537286</x:v>
      </x:c>
      <x:c r="D839" s="194" t="n">
        <x:v>0.06</x:v>
      </x:c>
      <x:c r="E839" s="186"/>
      <x:c r="F839" s="32" t="n">
        <x:f t="shared" si="13"/>
        <x:v>4</x:v>
      </x:c>
      <x:c r="G839" s="32" t="str">
        <x:v>Country</x:v>
      </x:c>
      <x:c r="H839" s="32" t="str">
        <x:v>Member</x:v>
      </x:c>
      <x:c r="I839" s="35" t="str">
        <x:v>Universal</x:v>
      </x:c>
      <x:c r="J839" s="151" t="str">
        <x:v>Institution-specific published voting measure</x:v>
      </x:c>
      <x:c r="K839" s="196"/>
      <x:c r="L839" s="196"/>
    </x:row>
    <x:row r="840">
      <x:c r="A840" s="26" t="str">
        <x:v>VENEZUELA, REPUBLICA BOLIVARIANA DE</x:v>
      </x:c>
      <x:c r="B840" s="27" t="str">
        <x:v>IBRD</x:v>
      </x:c>
      <x:c r="C840" s="193" t="n">
        <x:v>0.738726716829407</x:v>
      </x:c>
      <x:c r="D840" s="193" t="n">
        <x:v>0.73</x:v>
      </x:c>
      <x:c r="E840" s="185"/>
      <x:c r="F840" s="27" t="n">
        <x:f t="shared" si="13"/>
        <x:v>5</x:v>
      </x:c>
      <x:c r="G840" s="27" t="str">
        <x:v>Country</x:v>
      </x:c>
      <x:c r="H840" s="27" t="str">
        <x:v>Member</x:v>
      </x:c>
      <x:c r="I840" s="30" t="str">
        <x:v>Universal</x:v>
      </x:c>
      <x:c r="J840" s="151" t="str">
        <x:v>Institution-specific published voting measure</x:v>
      </x:c>
      <x:c r="K840" s="196"/>
      <x:c r="L840" s="196"/>
    </x:row>
    <x:row r="841">
      <x:c r="A841" s="31" t="str">
        <x:v>VIET NAM</x:v>
      </x:c>
      <x:c r="B841" s="32" t="str">
        <x:v>IBRD</x:v>
      </x:c>
      <x:c r="C841" s="194" t="n">
        <x:v>0.19269081052408923</x:v>
      </x:c>
      <x:c r="D841" s="194" t="n">
        <x:v>0.21</x:v>
      </x:c>
      <x:c r="E841" s="186"/>
      <x:c r="F841" s="32" t="n">
        <x:f t="shared" si="13"/>
        <x:v>4</x:v>
      </x:c>
      <x:c r="G841" s="32" t="str">
        <x:v>Country</x:v>
      </x:c>
      <x:c r="H841" s="32" t="str">
        <x:v>Member</x:v>
      </x:c>
      <x:c r="I841" s="35" t="str">
        <x:v>Universal</x:v>
      </x:c>
      <x:c r="J841" s="151" t="str">
        <x:v>Institution-specific published voting measure</x:v>
      </x:c>
      <x:c r="K841" s="196"/>
      <x:c r="L841" s="196"/>
    </x:row>
    <x:row r="842">
      <x:c r="A842" s="26" t="str">
        <x:v>YEMEN, REPUBLIC OF</x:v>
      </x:c>
      <x:c r="B842" s="27" t="str">
        <x:v>IBRD</x:v>
      </x:c>
      <x:c r="C842" s="193" t="n">
        <x:v>0.08025457971743276</x:v>
      </x:c>
      <x:c r="D842" s="193" t="n">
        <x:v>0.11</x:v>
      </x:c>
      <x:c r="E842" s="185"/>
      <x:c r="F842" s="27" t="n">
        <x:f t="shared" si="13"/>
        <x:v>2</x:v>
      </x:c>
      <x:c r="G842" s="27" t="str">
        <x:v>Country</x:v>
      </x:c>
      <x:c r="H842" s="27" t="str">
        <x:v>Member</x:v>
      </x:c>
      <x:c r="I842" s="30" t="str">
        <x:v>Universal</x:v>
      </x:c>
      <x:c r="J842" s="151" t="str">
        <x:v>Institution-specific published voting measure</x:v>
      </x:c>
      <x:c r="K842" s="196"/>
      <x:c r="L842" s="196"/>
    </x:row>
    <x:row r="843">
      <x:c r="A843" s="31" t="str">
        <x:v>ZAMBIA</x:v>
      </x:c>
      <x:c r="B843" s="32" t="str">
        <x:v>IBRD</x:v>
      </x:c>
      <x:c r="C843" s="194" t="n">
        <x:v>0.1715024404721088</x:v>
      </x:c>
      <x:c r="D843" s="194" t="n">
        <x:v>0.19</x:v>
      </x:c>
      <x:c r="E843" s="186"/>
      <x:c r="F843" s="32" t="n">
        <x:f t="shared" si="13"/>
        <x:v>3</x:v>
      </x:c>
      <x:c r="G843" s="32" t="str">
        <x:v>Country</x:v>
      </x:c>
      <x:c r="H843" s="32" t="str">
        <x:v>Member</x:v>
      </x:c>
      <x:c r="I843" s="35" t="str">
        <x:v>Universal</x:v>
      </x:c>
      <x:c r="J843" s="151" t="str">
        <x:v>Institution-specific published voting measure</x:v>
      </x:c>
      <x:c r="K843" s="196"/>
      <x:c r="L843" s="196"/>
    </x:row>
    <x:row r="844">
      <x:c r="A844" s="26" t="str">
        <x:v>ZIMBABWE</x:v>
      </x:c>
      <x:c r="B844" s="27" t="str">
        <x:v>IBRD</x:v>
      </x:c>
      <x:c r="C844" s="193" t="n">
        <x:v>0.1449806964515648</x:v>
      </x:c>
      <x:c r="D844" s="193" t="n">
        <x:v>0.17</x:v>
      </x:c>
      <x:c r="E844" s="185"/>
      <x:c r="F844" s="27" t="n">
        <x:f t="shared" si="13"/>
        <x:v>3</x:v>
      </x:c>
      <x:c r="G844" s="27" t="str">
        <x:v>Country</x:v>
      </x:c>
      <x:c r="H844" s="27" t="str">
        <x:v>Member</x:v>
      </x:c>
      <x:c r="I844" s="30" t="str">
        <x:v>Universal</x:v>
      </x:c>
      <x:c r="J844" s="151" t="str">
        <x:v>Institution-specific published voting measure</x:v>
      </x:c>
      <x:c r="K844" s="196"/>
      <x:c r="L844" s="196"/>
    </x:row>
    <x:row r="845">
      <x:c r="A845" s="31" t="str" cm="1">
        <x:f t="array" ref="A845:A1033"/>
        <x:v>AFGHANISTAN</x:v>
      </x:c>
      <x:c r="B845" s="32" t="str" cm="1">
        <x:f t="array" ref="B845:B1033"/>
        <x:v>IDA</x:v>
      </x:c>
      <x:c r="C845" s="194" t="n" cm="1">
        <x:f t="array" ref="C845:C1033"/>
        <x:v>0.02</x:v>
      </x:c>
      <x:c r="D845" s="194" t="n" cm="1">
        <x:f t="array" ref="D845:D1033"/>
        <x:v>0.02</x:v>
      </x:c>
      <x:c r="E845" s="186"/>
      <x:c r="F845" s="32" t="n">
        <x:f t="shared" si="13"/>
        <x:v>5</x:v>
      </x:c>
      <x:c r="G845" s="32" t="str">
        <x:v>Country</x:v>
      </x:c>
      <x:c r="H845" s="32" t="str">
        <x:v>Member</x:v>
      </x:c>
      <x:c r="I845" s="35" t="str">
        <x:v>Universal</x:v>
      </x:c>
      <x:c r="J845" s="151" t="str">
        <x:v>Institution-specific published voting measure</x:v>
      </x:c>
      <x:c r="K845" s="196"/>
      <x:c r="L845" s="196"/>
    </x:row>
    <x:row r="846">
      <x:c r="A846" s="26" t="str">
        <x:v>ALBANIA</x:v>
      </x:c>
      <x:c r="B846" s="27" t="str">
        <x:v>IDA</x:v>
      </x:c>
      <x:c r="C846" s="193" t="n">
        <x:v>0.05</x:v>
      </x:c>
      <x:c r="D846" s="193" t="n">
        <x:v>0.05</x:v>
      </x:c>
      <x:c r="E846" s="185"/>
      <x:c r="F846" s="27" t="n">
        <x:f t="shared" si="13"/>
        <x:v>4</x:v>
      </x:c>
      <x:c r="G846" s="27" t="str">
        <x:v>Country</x:v>
      </x:c>
      <x:c r="H846" s="27" t="str">
        <x:v>Member</x:v>
      </x:c>
      <x:c r="I846" s="30" t="str">
        <x:v>Universal</x:v>
      </x:c>
      <x:c r="J846" s="151" t="str">
        <x:v>Institution-specific published voting measure</x:v>
      </x:c>
      <x:c r="K846" s="196"/>
      <x:c r="L846" s="196"/>
    </x:row>
    <x:row r="847">
      <x:c r="A847" s="31" t="str">
        <x:v>ALGERIA</x:v>
      </x:c>
      <x:c r="B847" s="32" t="str">
        <x:v>IDA</x:v>
      </x:c>
      <x:c r="C847" s="194" t="n">
        <x:v>0.5</x:v>
      </x:c>
      <x:c r="D847" s="194" t="n">
        <x:v>0.5</x:v>
      </x:c>
      <x:c r="E847" s="186"/>
      <x:c r="F847" s="32" t="n">
        <x:f t="shared" si="13"/>
        <x:v>8</x:v>
      </x:c>
      <x:c r="G847" s="32" t="str">
        <x:v>Country</x:v>
      </x:c>
      <x:c r="H847" s="32" t="str">
        <x:v>Member</x:v>
      </x:c>
      <x:c r="I847" s="35" t="str">
        <x:v>Universal</x:v>
      </x:c>
      <x:c r="J847" s="151" t="str">
        <x:v>Institution-specific published voting measure</x:v>
      </x:c>
      <x:c r="K847" s="196"/>
      <x:c r="L847" s="196"/>
    </x:row>
    <x:row r="848">
      <x:c r="A848" s="26" t="str">
        <x:v>ANGOLA</x:v>
      </x:c>
      <x:c r="B848" s="27" t="str">
        <x:v>IDA</x:v>
      </x:c>
      <x:c r="C848" s="193" t="n">
        <x:v>0.16</x:v>
      </x:c>
      <x:c r="D848" s="193" t="n">
        <x:v>0.16</x:v>
      </x:c>
      <x:c r="E848" s="185"/>
      <x:c r="F848" s="27" t="n">
        <x:f t="shared" si="13"/>
        <x:v>3</x:v>
      </x:c>
      <x:c r="G848" s="27" t="str">
        <x:v>Country</x:v>
      </x:c>
      <x:c r="H848" s="27" t="str">
        <x:v>Member</x:v>
      </x:c>
      <x:c r="I848" s="30" t="str">
        <x:v>Universal</x:v>
      </x:c>
      <x:c r="J848" s="151" t="str">
        <x:v>Institution-specific published voting measure</x:v>
      </x:c>
      <x:c r="K848" s="196"/>
      <x:c r="L848" s="196"/>
    </x:row>
    <x:row r="849">
      <x:c r="A849" s="31" t="str">
        <x:v>ANTIGUA AND BARBUDA</x:v>
      </x:c>
      <x:c r="B849" s="32" t="str">
        <x:v>IDA</x:v>
      </x:c>
      <x:c r="C849" s="194" t="n">
        <x:v>0.03</x:v>
      </x:c>
      <x:c r="D849" s="194" t="n">
        <x:v>0.03</x:v>
      </x:c>
      <x:c r="E849" s="186"/>
      <x:c r="F849" s="32" t="n">
        <x:f t="shared" si="13"/>
        <x:v>3</x:v>
      </x:c>
      <x:c r="G849" s="32" t="str">
        <x:v>Country</x:v>
      </x:c>
      <x:c r="H849" s="32" t="str">
        <x:v>Member</x:v>
      </x:c>
      <x:c r="I849" s="35" t="str">
        <x:v>Universal</x:v>
      </x:c>
      <x:c r="J849" s="151" t="str">
        <x:v>Institution-specific published voting measure</x:v>
      </x:c>
      <x:c r="K849" s="196"/>
      <x:c r="L849" s="196"/>
    </x:row>
    <x:row r="850">
      <x:c r="A850" s="26" t="str">
        <x:v>ARGENTINA</x:v>
      </x:c>
      <x:c r="B850" s="27" t="str">
        <x:v>IDA</x:v>
      </x:c>
      <x:c r="C850" s="193" t="n">
        <x:v>1.11</x:v>
      </x:c>
      <x:c r="D850" s="193" t="n">
        <x:v>1.11</x:v>
      </x:c>
      <x:c r="E850" s="185"/>
      <x:c r="F850" s="27" t="n">
        <x:f t="shared" si="13"/>
        <x:v>7</x:v>
      </x:c>
      <x:c r="G850" s="27" t="str">
        <x:v>Country</x:v>
      </x:c>
      <x:c r="H850" s="27" t="str">
        <x:v>Member</x:v>
      </x:c>
      <x:c r="I850" s="30" t="str">
        <x:v>Universal</x:v>
      </x:c>
      <x:c r="J850" s="151" t="str">
        <x:v>Institution-specific published voting measure</x:v>
      </x:c>
      <x:c r="K850" s="196"/>
      <x:c r="L850" s="196"/>
    </x:row>
    <x:row r="851">
      <x:c r="A851" s="31" t="str">
        <x:v>ARMENIA</x:v>
      </x:c>
      <x:c r="B851" s="32" t="str">
        <x:v>IDA</x:v>
      </x:c>
      <x:c r="C851" s="194" t="n">
        <x:v>0.07</x:v>
      </x:c>
      <x:c r="D851" s="194" t="n">
        <x:v>0.07</x:v>
      </x:c>
      <x:c r="E851" s="186"/>
      <x:c r="F851" s="32" t="n">
        <x:f t="shared" si="13"/>
        <x:v>4</x:v>
      </x:c>
      <x:c r="G851" s="32" t="str">
        <x:v>Country</x:v>
      </x:c>
      <x:c r="H851" s="32" t="str">
        <x:v>Member</x:v>
      </x:c>
      <x:c r="I851" s="35" t="str">
        <x:v>Universal</x:v>
      </x:c>
      <x:c r="J851" s="151" t="str">
        <x:v>Institution-specific published voting measure</x:v>
      </x:c>
      <x:c r="K851" s="196"/>
      <x:c r="L851" s="196"/>
    </x:row>
    <x:row r="852">
      <x:c r="A852" s="26" t="str">
        <x:v>AUSTRALIA</x:v>
      </x:c>
      <x:c r="B852" s="27" t="str">
        <x:v>IDA</x:v>
      </x:c>
      <x:c r="C852" s="193" t="n">
        <x:v>1.42</x:v>
      </x:c>
      <x:c r="D852" s="193" t="n">
        <x:v>1.42</x:v>
      </x:c>
      <x:c r="E852" s="185"/>
      <x:c r="F852" s="27" t="n">
        <x:f t="shared" si="13"/>
        <x:v>5</x:v>
      </x:c>
      <x:c r="G852" s="27" t="str">
        <x:v>Country</x:v>
      </x:c>
      <x:c r="H852" s="27" t="str">
        <x:v>Member</x:v>
      </x:c>
      <x:c r="I852" s="30" t="str">
        <x:v>Universal</x:v>
      </x:c>
      <x:c r="J852" s="151" t="str">
        <x:v>Institution-specific published voting measure</x:v>
      </x:c>
      <x:c r="K852" s="196"/>
      <x:c r="L852" s="196"/>
    </x:row>
    <x:row r="853">
      <x:c r="A853" s="31" t="str">
        <x:v>AUSTRIA</x:v>
      </x:c>
      <x:c r="B853" s="32" t="str">
        <x:v>IDA</x:v>
      </x:c>
      <x:c r="C853" s="194" t="n">
        <x:v>0.66</x:v>
      </x:c>
      <x:c r="D853" s="194" t="n">
        <x:v>0.66</x:v>
      </x:c>
      <x:c r="E853" s="186"/>
      <x:c r="F853" s="32" t="n">
        <x:f t="shared" si="13"/>
        <x:v>8</x:v>
      </x:c>
      <x:c r="G853" s="32" t="str">
        <x:v>Country</x:v>
      </x:c>
      <x:c r="H853" s="32" t="str">
        <x:v>Member</x:v>
      </x:c>
      <x:c r="I853" s="35" t="str">
        <x:v>Universal</x:v>
      </x:c>
      <x:c r="J853" s="151" t="str">
        <x:v>Institution-specific published voting measure</x:v>
      </x:c>
      <x:c r="K853" s="196"/>
      <x:c r="L853" s="196"/>
    </x:row>
    <x:row r="854">
      <x:c r="A854" s="26" t="str">
        <x:v>AZERBAIJAN</x:v>
      </x:c>
      <x:c r="B854" s="27" t="str">
        <x:v>IDA</x:v>
      </x:c>
      <x:c r="C854" s="193" t="n">
        <x:v>0.1</x:v>
      </x:c>
      <x:c r="D854" s="193" t="n">
        <x:v>0.1</x:v>
      </x:c>
      <x:c r="E854" s="185"/>
      <x:c r="F854" s="27" t="n">
        <x:f t="shared" si="13"/>
        <x:v>6</x:v>
      </x:c>
      <x:c r="G854" s="27" t="str">
        <x:v>Country</x:v>
      </x:c>
      <x:c r="H854" s="27" t="str">
        <x:v>Member</x:v>
      </x:c>
      <x:c r="I854" s="30" t="str">
        <x:v>Universal</x:v>
      </x:c>
      <x:c r="J854" s="151" t="str">
        <x:v>Institution-specific published voting measure</x:v>
      </x:c>
      <x:c r="K854" s="196"/>
      <x:c r="L854" s="196"/>
    </x:row>
    <x:row r="855">
      <x:c r="A855" s="31" t="str">
        <x:v>BAHAMAS, THE</x:v>
      </x:c>
      <x:c r="B855" s="32" t="str">
        <x:v>IDA</x:v>
      </x:c>
      <x:c r="C855" s="194" t="n">
        <x:v>0.06</x:v>
      </x:c>
      <x:c r="D855" s="194" t="n">
        <x:v>0.06</x:v>
      </x:c>
      <x:c r="E855" s="186"/>
      <x:c r="F855" s="32" t="n">
        <x:f t="shared" si="13"/>
        <x:v>2</x:v>
      </x:c>
      <x:c r="G855" s="32" t="str">
        <x:v>Country</x:v>
      </x:c>
      <x:c r="H855" s="32" t="str">
        <x:v>Member</x:v>
      </x:c>
      <x:c r="I855" s="35" t="str">
        <x:v>Universal</x:v>
      </x:c>
      <x:c r="J855" s="151" t="str">
        <x:v>Institution-specific published voting measure</x:v>
      </x:c>
      <x:c r="K855" s="196"/>
      <x:c r="L855" s="196"/>
    </x:row>
    <x:row r="856">
      <x:c r="A856" s="26" t="str">
        <x:v>BAHRAIN</x:v>
      </x:c>
      <x:c r="B856" s="27" t="str">
        <x:v>IDA</x:v>
      </x:c>
      <x:c r="C856" s="193" t="n">
        <x:v>0.06</x:v>
      </x:c>
      <x:c r="D856" s="193" t="n">
        <x:v>0.06</x:v>
      </x:c>
      <x:c r="E856" s="185"/>
      <x:c r="F856" s="27" t="n">
        <x:f t="shared" si="13"/>
        <x:v>5</x:v>
      </x:c>
      <x:c r="G856" s="27" t="str">
        <x:v>Country</x:v>
      </x:c>
      <x:c r="H856" s="27" t="str">
        <x:v>Member</x:v>
      </x:c>
      <x:c r="I856" s="30" t="str">
        <x:v>Universal</x:v>
      </x:c>
      <x:c r="J856" s="151" t="str">
        <x:v>Institution-specific published voting measure</x:v>
      </x:c>
      <x:c r="K856" s="196"/>
      <x:c r="L856" s="196"/>
    </x:row>
    <x:row r="857">
      <x:c r="A857" s="31" t="str">
        <x:v>BANGLADESH</x:v>
      </x:c>
      <x:c r="B857" s="32" t="str">
        <x:v>IDA</x:v>
      </x:c>
      <x:c r="C857" s="194" t="n">
        <x:v>0.29</x:v>
      </x:c>
      <x:c r="D857" s="194" t="n">
        <x:v>0.29</x:v>
      </x:c>
      <x:c r="E857" s="186"/>
      <x:c r="F857" s="32" t="n">
        <x:f t="shared" si="13"/>
        <x:v>6</x:v>
      </x:c>
      <x:c r="G857" s="32" t="str">
        <x:v>Country</x:v>
      </x:c>
      <x:c r="H857" s="32" t="str">
        <x:v>Member</x:v>
      </x:c>
      <x:c r="I857" s="35" t="str">
        <x:v>Universal</x:v>
      </x:c>
      <x:c r="J857" s="151" t="str">
        <x:v>Institution-specific published voting measure</x:v>
      </x:c>
      <x:c r="K857" s="196"/>
      <x:c r="L857" s="196"/>
    </x:row>
    <x:row r="858">
      <x:c r="A858" s="26" t="str">
        <x:v>BARBADOS</x:v>
      </x:c>
      <x:c r="B858" s="27" t="str">
        <x:v>IDA</x:v>
      </x:c>
      <x:c r="C858" s="193" t="n">
        <x:v>0.04</x:v>
      </x:c>
      <x:c r="D858" s="193" t="n">
        <x:v>0.04</x:v>
      </x:c>
      <x:c r="E858" s="185"/>
      <x:c r="F858" s="27" t="n">
        <x:f t="shared" si="13"/>
        <x:v>5</x:v>
      </x:c>
      <x:c r="G858" s="27" t="str">
        <x:v>Country</x:v>
      </x:c>
      <x:c r="H858" s="27" t="str">
        <x:v>Member</x:v>
      </x:c>
      <x:c r="I858" s="30" t="str">
        <x:v>Universal</x:v>
      </x:c>
      <x:c r="J858" s="151" t="str">
        <x:v>Institution-specific published voting measure</x:v>
      </x:c>
      <x:c r="K858" s="196"/>
      <x:c r="L858" s="196"/>
    </x:row>
    <x:row r="859">
      <x:c r="A859" s="31" t="str">
        <x:v>BELARUS</x:v>
      </x:c>
      <x:c r="B859" s="32" t="str">
        <x:v>IDA</x:v>
      </x:c>
      <x:c r="C859" s="194" t="n">
        <x:v>0.16</x:v>
      </x:c>
      <x:c r="D859" s="194" t="n">
        <x:v>0.16</x:v>
      </x:c>
      <x:c r="E859" s="186"/>
      <x:c r="F859" s="32" t="n">
        <x:f t="shared" si="13"/>
        <x:v>4</x:v>
      </x:c>
      <x:c r="G859" s="32" t="str">
        <x:v>Country</x:v>
      </x:c>
      <x:c r="H859" s="32" t="str">
        <x:v>Member</x:v>
      </x:c>
      <x:c r="I859" s="35" t="str">
        <x:v>Universal</x:v>
      </x:c>
      <x:c r="J859" s="151" t="str">
        <x:v>Institution-specific published voting measure</x:v>
      </x:c>
      <x:c r="K859" s="196"/>
      <x:c r="L859" s="196"/>
    </x:row>
    <x:row r="860">
      <x:c r="A860" s="26" t="str">
        <x:v>BELGIUM</x:v>
      </x:c>
      <x:c r="B860" s="27" t="str">
        <x:v>IDA</x:v>
      </x:c>
      <x:c r="C860" s="193" t="n">
        <x:v>1.57</x:v>
      </x:c>
      <x:c r="D860" s="193" t="n">
        <x:v>1.57</x:v>
      </x:c>
      <x:c r="E860" s="185"/>
      <x:c r="F860" s="27" t="n">
        <x:f t="shared" si="13"/>
        <x:v>8</x:v>
      </x:c>
      <x:c r="G860" s="27" t="str">
        <x:v>Country</x:v>
      </x:c>
      <x:c r="H860" s="27" t="str">
        <x:v>Member</x:v>
      </x:c>
      <x:c r="I860" s="30" t="str">
        <x:v>Universal</x:v>
      </x:c>
      <x:c r="J860" s="151" t="str">
        <x:v>Institution-specific published voting measure</x:v>
      </x:c>
      <x:c r="K860" s="196"/>
      <x:c r="L860" s="196"/>
    </x:row>
    <x:row r="861">
      <x:c r="A861" s="31" t="str">
        <x:v>BELIZE</x:v>
      </x:c>
      <x:c r="B861" s="32" t="str">
        <x:v>IDA</x:v>
      </x:c>
      <x:c r="C861" s="194" t="n">
        <x:v>0.02</x:v>
      </x:c>
      <x:c r="D861" s="194" t="n">
        <x:v>0.02</x:v>
      </x:c>
      <x:c r="E861" s="186"/>
      <x:c r="F861" s="32" t="n">
        <x:f t="shared" si="13"/>
        <x:v>5</x:v>
      </x:c>
      <x:c r="G861" s="32" t="str">
        <x:v>Country</x:v>
      </x:c>
      <x:c r="H861" s="32" t="str">
        <x:v>Member</x:v>
      </x:c>
      <x:c r="I861" s="35" t="str">
        <x:v>Universal</x:v>
      </x:c>
      <x:c r="J861" s="151" t="str">
        <x:v>Institution-specific published voting measure</x:v>
      </x:c>
      <x:c r="K861" s="196"/>
      <x:c r="L861" s="196"/>
    </x:row>
    <x:row r="862">
      <x:c r="A862" s="26" t="str">
        <x:v>BENIN</x:v>
      </x:c>
      <x:c r="B862" s="27" t="str">
        <x:v>IDA</x:v>
      </x:c>
      <x:c r="C862" s="193" t="n">
        <x:v>0.06</x:v>
      </x:c>
      <x:c r="D862" s="193" t="n">
        <x:v>0.06</x:v>
      </x:c>
      <x:c r="E862" s="185"/>
      <x:c r="F862" s="27" t="n">
        <x:f t="shared" si="13"/>
        <x:v>6</x:v>
      </x:c>
      <x:c r="G862" s="27" t="str">
        <x:v>Country</x:v>
      </x:c>
      <x:c r="H862" s="27" t="str">
        <x:v>Member</x:v>
      </x:c>
      <x:c r="I862" s="30" t="str">
        <x:v>Universal</x:v>
      </x:c>
      <x:c r="J862" s="151" t="str">
        <x:v>Institution-specific published voting measure</x:v>
      </x:c>
      <x:c r="K862" s="196"/>
      <x:c r="L862" s="196"/>
    </x:row>
    <x:row r="863">
      <x:c r="A863" s="31" t="str">
        <x:v>BHUTAN</x:v>
      </x:c>
      <x:c r="B863" s="32" t="str">
        <x:v>IDA</x:v>
      </x:c>
      <x:c r="C863" s="194" t="n">
        <x:v>0.03</x:v>
      </x:c>
      <x:c r="D863" s="194" t="n">
        <x:v>0.03</x:v>
      </x:c>
      <x:c r="E863" s="186"/>
      <x:c r="F863" s="32" t="n">
        <x:f t="shared" si="13"/>
        <x:v>3</x:v>
      </x:c>
      <x:c r="G863" s="32" t="str">
        <x:v>Country</x:v>
      </x:c>
      <x:c r="H863" s="32" t="str">
        <x:v>Member</x:v>
      </x:c>
      <x:c r="I863" s="35" t="str">
        <x:v>Universal</x:v>
      </x:c>
      <x:c r="J863" s="151" t="str">
        <x:v>Institution-specific published voting measure</x:v>
      </x:c>
      <x:c r="K863" s="196"/>
      <x:c r="L863" s="196"/>
    </x:row>
    <x:row r="864">
      <x:c r="A864" s="26" t="str">
        <x:v>BOLIVIA</x:v>
      </x:c>
      <x:c r="B864" s="27" t="str">
        <x:v>IDA</x:v>
      </x:c>
      <x:c r="C864" s="193" t="n">
        <x:v>0.11</x:v>
      </x:c>
      <x:c r="D864" s="193" t="n">
        <x:v>0.11</x:v>
      </x:c>
      <x:c r="E864" s="185"/>
      <x:c r="F864" s="27" t="n">
        <x:f t="shared" si="13"/>
        <x:v>4</x:v>
      </x:c>
      <x:c r="G864" s="27" t="str">
        <x:v>Country</x:v>
      </x:c>
      <x:c r="H864" s="27" t="str">
        <x:v>Member</x:v>
      </x:c>
      <x:c r="I864" s="30" t="str">
        <x:v>Universal</x:v>
      </x:c>
      <x:c r="J864" s="151" t="str">
        <x:v>Institution-specific published voting measure</x:v>
      </x:c>
      <x:c r="K864" s="196"/>
      <x:c r="L864" s="196"/>
    </x:row>
    <x:row r="865">
      <x:c r="A865" s="31" t="str">
        <x:v>BOSNIA AND HERZEGOVINA</x:v>
      </x:c>
      <x:c r="B865" s="32" t="str">
        <x:v>IDA</x:v>
      </x:c>
      <x:c r="C865" s="194" t="n">
        <x:v>0.04</x:v>
      </x:c>
      <x:c r="D865" s="194" t="n">
        <x:v>0.04</x:v>
      </x:c>
      <x:c r="E865" s="186"/>
      <x:c r="F865" s="32" t="n">
        <x:f t="shared" si="13"/>
        <x:v>3</x:v>
      </x:c>
      <x:c r="G865" s="32" t="str">
        <x:v>Country</x:v>
      </x:c>
      <x:c r="H865" s="32" t="str">
        <x:v>Member</x:v>
      </x:c>
      <x:c r="I865" s="35" t="str">
        <x:v>Universal</x:v>
      </x:c>
      <x:c r="J865" s="151" t="str">
        <x:v>Institution-specific published voting measure</x:v>
      </x:c>
      <x:c r="K865" s="196"/>
      <x:c r="L865" s="196"/>
    </x:row>
    <x:row r="866">
      <x:c r="A866" s="26" t="str">
        <x:v>BOTSWANA</x:v>
      </x:c>
      <x:c r="B866" s="27" t="str">
        <x:v>IDA</x:v>
      </x:c>
      <x:c r="C866" s="193" t="n">
        <x:v>0.03</x:v>
      </x:c>
      <x:c r="D866" s="193" t="n">
        <x:v>0.03</x:v>
      </x:c>
      <x:c r="E866" s="185"/>
      <x:c r="F866" s="27" t="n">
        <x:f t="shared" si="13"/>
        <x:v>3</x:v>
      </x:c>
      <x:c r="G866" s="27" t="str">
        <x:v>Country</x:v>
      </x:c>
      <x:c r="H866" s="27" t="str">
        <x:v>Member</x:v>
      </x:c>
      <x:c r="I866" s="30" t="str">
        <x:v>Universal</x:v>
      </x:c>
      <x:c r="J866" s="151" t="str">
        <x:v>Institution-specific published voting measure</x:v>
      </x:c>
      <x:c r="K866" s="196"/>
      <x:c r="L866" s="196"/>
    </x:row>
    <x:row r="867">
      <x:c r="A867" s="31" t="str">
        <x:v>BRAZIL</x:v>
      </x:c>
      <x:c r="B867" s="32" t="str">
        <x:v>IDA</x:v>
      </x:c>
      <x:c r="C867" s="194" t="n">
        <x:v>2.3</x:v>
      </x:c>
      <x:c r="D867" s="194" t="n">
        <x:v>2.3</x:v>
      </x:c>
      <x:c r="E867" s="186"/>
      <x:c r="F867" s="32" t="n">
        <x:f t="shared" si="13"/>
        <x:v>8</x:v>
      </x:c>
      <x:c r="G867" s="32" t="str">
        <x:v>Country</x:v>
      </x:c>
      <x:c r="H867" s="32" t="str">
        <x:v>Member</x:v>
      </x:c>
      <x:c r="I867" s="35" t="str">
        <x:v>Universal</x:v>
      </x:c>
      <x:c r="J867" s="151" t="str">
        <x:v>Institution-specific published voting measure</x:v>
      </x:c>
      <x:c r="K867" s="196"/>
      <x:c r="L867" s="196"/>
    </x:row>
    <x:row r="868">
      <x:c r="A868" s="26" t="str">
        <x:v>BRUNEI DARUSSALAM</x:v>
      </x:c>
      <x:c r="B868" s="27" t="str">
        <x:v>IDA</x:v>
      </x:c>
      <x:c r="C868" s="193" t="n">
        <x:v>0.09</x:v>
      </x:c>
      <x:c r="D868" s="193" t="n">
        <x:v>0.09</x:v>
      </x:c>
      <x:c r="E868" s="185"/>
      <x:c r="F868" s="27" t="n">
        <x:f t="shared" si="13"/>
        <x:v>5</x:v>
      </x:c>
      <x:c r="G868" s="27" t="str">
        <x:v>Country</x:v>
      </x:c>
      <x:c r="H868" s="27" t="str">
        <x:v>Member</x:v>
      </x:c>
      <x:c r="I868" s="30" t="str">
        <x:v>Universal</x:v>
      </x:c>
      <x:c r="J868" s="151" t="str">
        <x:v>Institution-specific published voting measure</x:v>
      </x:c>
      <x:c r="K868" s="196"/>
      <x:c r="L868" s="196"/>
    </x:row>
    <x:row r="869">
      <x:c r="A869" s="31" t="str">
        <x:v>BULGARIA</x:v>
      </x:c>
      <x:c r="B869" s="32" t="str">
        <x:v>IDA</x:v>
      </x:c>
      <x:c r="C869" s="194" t="n">
        <x:v>0.28</x:v>
      </x:c>
      <x:c r="D869" s="194" t="n">
        <x:v>0.28</x:v>
      </x:c>
      <x:c r="E869" s="186"/>
      <x:c r="F869" s="32" t="n">
        <x:f t="shared" si="13"/>
        <x:v>4</x:v>
      </x:c>
      <x:c r="G869" s="32" t="str">
        <x:v>Country</x:v>
      </x:c>
      <x:c r="H869" s="32" t="str">
        <x:v>Member</x:v>
      </x:c>
      <x:c r="I869" s="35" t="str">
        <x:v>Universal</x:v>
      </x:c>
      <x:c r="J869" s="151" t="str">
        <x:v>Institution-specific published voting measure</x:v>
      </x:c>
      <x:c r="K869" s="196"/>
      <x:c r="L869" s="196"/>
    </x:row>
    <x:row r="870">
      <x:c r="A870" s="26" t="str">
        <x:v>BURKINA FASO</x:v>
      </x:c>
      <x:c r="B870" s="27" t="str">
        <x:v>IDA</x:v>
      </x:c>
      <x:c r="C870" s="193" t="n">
        <x:v>0.06</x:v>
      </x:c>
      <x:c r="D870" s="193" t="n">
        <x:v>0.06</x:v>
      </x:c>
      <x:c r="E870" s="185"/>
      <x:c r="F870" s="27" t="n">
        <x:f t="shared" si="13"/>
        <x:v>4</x:v>
      </x:c>
      <x:c r="G870" s="27" t="str">
        <x:v>Country</x:v>
      </x:c>
      <x:c r="H870" s="27" t="str">
        <x:v>Member</x:v>
      </x:c>
      <x:c r="I870" s="30" t="str">
        <x:v>Universal</x:v>
      </x:c>
      <x:c r="J870" s="151" t="str">
        <x:v>Institution-specific published voting measure</x:v>
      </x:c>
      <x:c r="K870" s="196"/>
      <x:c r="L870" s="196"/>
    </x:row>
    <x:row r="871">
      <x:c r="A871" s="31" t="str">
        <x:v>BURUNDI</x:v>
      </x:c>
      <x:c r="B871" s="32" t="str">
        <x:v>IDA</x:v>
      </x:c>
      <x:c r="C871" s="194" t="n">
        <x:v>0.04</x:v>
      </x:c>
      <x:c r="D871" s="194" t="n">
        <x:v>0.04</x:v>
      </x:c>
      <x:c r="E871" s="186"/>
      <x:c r="F871" s="32" t="n">
        <x:f t="shared" si="13"/>
        <x:v>3</x:v>
      </x:c>
      <x:c r="G871" s="32" t="str">
        <x:v>Country</x:v>
      </x:c>
      <x:c r="H871" s="32" t="str">
        <x:v>Member</x:v>
      </x:c>
      <x:c r="I871" s="35" t="str">
        <x:v>Universal</x:v>
      </x:c>
      <x:c r="J871" s="151" t="str">
        <x:v>Institution-specific published voting measure</x:v>
      </x:c>
      <x:c r="K871" s="196"/>
      <x:c r="L871" s="196"/>
    </x:row>
    <x:row r="872">
      <x:c r="A872" s="26" t="str">
        <x:v>CABO VERDE</x:v>
      </x:c>
      <x:c r="B872" s="27" t="str">
        <x:v>IDA</x:v>
      </x:c>
      <x:c r="C872" s="193" t="n">
        <x:v>0.03</x:v>
      </x:c>
      <x:c r="D872" s="193" t="n">
        <x:v>0.03</x:v>
      </x:c>
      <x:c r="E872" s="185"/>
      <x:c r="F872" s="27" t="n">
        <x:f t="shared" si="13"/>
        <x:v>3</x:v>
      </x:c>
      <x:c r="G872" s="27" t="str">
        <x:v>Country</x:v>
      </x:c>
      <x:c r="H872" s="27" t="str">
        <x:v>Member</x:v>
      </x:c>
      <x:c r="I872" s="30" t="str">
        <x:v>Universal</x:v>
      </x:c>
      <x:c r="J872" s="151" t="str">
        <x:v>Institution-specific published voting measure</x:v>
      </x:c>
      <x:c r="K872" s="196"/>
      <x:c r="L872" s="196"/>
    </x:row>
    <x:row r="873">
      <x:c r="A873" s="31" t="str">
        <x:v>CAMBODIA</x:v>
      </x:c>
      <x:c r="B873" s="32" t="str">
        <x:v>IDA</x:v>
      </x:c>
      <x:c r="C873" s="194" t="n">
        <x:v>0.02</x:v>
      </x:c>
      <x:c r="D873" s="194" t="n">
        <x:v>0.02</x:v>
      </x:c>
      <x:c r="E873" s="186"/>
      <x:c r="F873" s="32" t="n">
        <x:f t="shared" si="13"/>
        <x:v>4</x:v>
      </x:c>
      <x:c r="G873" s="32" t="str">
        <x:v>Country</x:v>
      </x:c>
      <x:c r="H873" s="32" t="str">
        <x:v>Member</x:v>
      </x:c>
      <x:c r="I873" s="35" t="str">
        <x:v>Universal</x:v>
      </x:c>
      <x:c r="J873" s="151" t="str">
        <x:v>Institution-specific published voting measure</x:v>
      </x:c>
      <x:c r="K873" s="196"/>
      <x:c r="L873" s="196"/>
    </x:row>
    <x:row r="874">
      <x:c r="A874" s="26" t="str">
        <x:v>CAMEROON</x:v>
      </x:c>
      <x:c r="B874" s="27" t="str">
        <x:v>IDA</x:v>
      </x:c>
      <x:c r="C874" s="193" t="n">
        <x:v>0.1</x:v>
      </x:c>
      <x:c r="D874" s="193" t="n">
        <x:v>0.1</x:v>
      </x:c>
      <x:c r="E874" s="185"/>
      <x:c r="F874" s="27" t="n">
        <x:f t="shared" si="13"/>
        <x:v>4</x:v>
      </x:c>
      <x:c r="G874" s="27" t="str">
        <x:v>Country</x:v>
      </x:c>
      <x:c r="H874" s="27" t="str">
        <x:v>Member</x:v>
      </x:c>
      <x:c r="I874" s="30" t="str">
        <x:v>Universal</x:v>
      </x:c>
      <x:c r="J874" s="151" t="str">
        <x:v>Institution-specific published voting measure</x:v>
      </x:c>
      <x:c r="K874" s="196"/>
      <x:c r="L874" s="196"/>
    </x:row>
    <x:row r="875">
      <x:c r="A875" s="31" t="str">
        <x:v>CANADA</x:v>
      </x:c>
      <x:c r="B875" s="32" t="str">
        <x:v>IDA</x:v>
      </x:c>
      <x:c r="C875" s="194" t="n">
        <x:v>2.56</x:v>
      </x:c>
      <x:c r="D875" s="194" t="n">
        <x:v>2.56</x:v>
      </x:c>
      <x:c r="E875" s="186"/>
      <x:c r="F875" s="32" t="n">
        <x:f t="shared" si="13"/>
        <x:v>8</x:v>
      </x:c>
      <x:c r="G875" s="32" t="str">
        <x:v>Country</x:v>
      </x:c>
      <x:c r="H875" s="32" t="str">
        <x:v>Member</x:v>
      </x:c>
      <x:c r="I875" s="35" t="str">
        <x:v>Universal</x:v>
      </x:c>
      <x:c r="J875" s="151" t="str">
        <x:v>Institution-specific published voting measure</x:v>
      </x:c>
      <x:c r="K875" s="196"/>
      <x:c r="L875" s="196"/>
    </x:row>
    <x:row r="876">
      <x:c r="A876" s="26" t="str">
        <x:v>CENTRAL AFRICAN REPUBLIC</x:v>
      </x:c>
      <x:c r="B876" s="27" t="str">
        <x:v>IDA</x:v>
      </x:c>
      <x:c r="C876" s="193" t="n">
        <x:v>0.04</x:v>
      </x:c>
      <x:c r="D876" s="193" t="n">
        <x:v>0.04</x:v>
      </x:c>
      <x:c r="E876" s="185"/>
      <x:c r="F876" s="27" t="n">
        <x:f t="shared" si="13"/>
        <x:v>3</x:v>
      </x:c>
      <x:c r="G876" s="27" t="str">
        <x:v>Country</x:v>
      </x:c>
      <x:c r="H876" s="27" t="str">
        <x:v>Member</x:v>
      </x:c>
      <x:c r="I876" s="30" t="str">
        <x:v>Universal</x:v>
      </x:c>
      <x:c r="J876" s="151" t="str">
        <x:v>Institution-specific published voting measure</x:v>
      </x:c>
      <x:c r="K876" s="196"/>
      <x:c r="L876" s="196"/>
    </x:row>
    <x:row r="877">
      <x:c r="A877" s="31" t="str">
        <x:v>CHAD</x:v>
      </x:c>
      <x:c r="B877" s="32" t="str">
        <x:v>IDA</x:v>
      </x:c>
      <x:c r="C877" s="194" t="n">
        <x:v>0.04</x:v>
      </x:c>
      <x:c r="D877" s="194" t="n">
        <x:v>0.04</x:v>
      </x:c>
      <x:c r="E877" s="186"/>
      <x:c r="F877" s="32" t="n">
        <x:f t="shared" si="13"/>
        <x:v>4</x:v>
      </x:c>
      <x:c r="G877" s="32" t="str">
        <x:v>Country</x:v>
      </x:c>
      <x:c r="H877" s="32" t="str">
        <x:v>Member</x:v>
      </x:c>
      <x:c r="I877" s="35" t="str">
        <x:v>Universal</x:v>
      </x:c>
      <x:c r="J877" s="151" t="str">
        <x:v>Institution-specific published voting measure</x:v>
      </x:c>
      <x:c r="K877" s="196"/>
      <x:c r="L877" s="196"/>
    </x:row>
    <x:row r="878">
      <x:c r="A878" s="26" t="str">
        <x:v>CHILE</x:v>
      </x:c>
      <x:c r="B878" s="27" t="str">
        <x:v>IDA</x:v>
      </x:c>
      <x:c r="C878" s="193" t="n">
        <x:v>0.43</x:v>
      </x:c>
      <x:c r="D878" s="193" t="n">
        <x:v>0.43</x:v>
      </x:c>
      <x:c r="E878" s="185"/>
      <x:c r="F878" s="27" t="n">
        <x:f t="shared" si="13"/>
        <x:v>5</x:v>
      </x:c>
      <x:c r="G878" s="27" t="str">
        <x:v>Country</x:v>
      </x:c>
      <x:c r="H878" s="27" t="str">
        <x:v>Member</x:v>
      </x:c>
      <x:c r="I878" s="30" t="str">
        <x:v>Universal</x:v>
      </x:c>
      <x:c r="J878" s="151" t="str">
        <x:v>Institution-specific published voting measure</x:v>
      </x:c>
      <x:c r="K878" s="196"/>
      <x:c r="L878" s="196"/>
    </x:row>
    <x:row r="879">
      <x:c r="A879" s="31" t="str">
        <x:v>CHINA</x:v>
      </x:c>
      <x:c r="B879" s="32" t="str">
        <x:v>IDA</x:v>
      </x:c>
      <x:c r="C879" s="194" t="n">
        <x:v>6.05</x:v>
      </x:c>
      <x:c r="D879" s="194" t="n">
        <x:v>6.05</x:v>
      </x:c>
      <x:c r="E879" s="186"/>
      <x:c r="F879" s="32" t="n">
        <x:f t="shared" si="13"/>
        <x:v>8</x:v>
      </x:c>
      <x:c r="G879" s="32" t="str">
        <x:v>Country</x:v>
      </x:c>
      <x:c r="H879" s="32" t="str">
        <x:v>Member</x:v>
      </x:c>
      <x:c r="I879" s="35" t="str">
        <x:v>Universal</x:v>
      </x:c>
      <x:c r="J879" s="151" t="str">
        <x:v>Institution-specific published voting measure</x:v>
      </x:c>
      <x:c r="K879" s="196"/>
      <x:c r="L879" s="196"/>
    </x:row>
    <x:row r="880">
      <x:c r="A880" s="26" t="str">
        <x:v>COLOMBIA</x:v>
      </x:c>
      <x:c r="B880" s="27" t="str">
        <x:v>IDA</x:v>
      </x:c>
      <x:c r="C880" s="193" t="n">
        <x:v>0.43</x:v>
      </x:c>
      <x:c r="D880" s="193" t="n">
        <x:v>0.43</x:v>
      </x:c>
      <x:c r="E880" s="185"/>
      <x:c r="F880" s="27" t="n">
        <x:f t="shared" si="13"/>
        <x:v>6</x:v>
      </x:c>
      <x:c r="G880" s="27" t="str">
        <x:v>Country</x:v>
      </x:c>
      <x:c r="H880" s="27" t="str">
        <x:v>Member</x:v>
      </x:c>
      <x:c r="I880" s="30" t="str">
        <x:v>Universal</x:v>
      </x:c>
      <x:c r="J880" s="151" t="str">
        <x:v>Institution-specific published voting measure</x:v>
      </x:c>
      <x:c r="K880" s="196"/>
      <x:c r="L880" s="196"/>
    </x:row>
    <x:row r="881">
      <x:c r="A881" s="31" t="str">
        <x:v>COMOROS</x:v>
      </x:c>
      <x:c r="B881" s="32" t="str">
        <x:v>IDA</x:v>
      </x:c>
      <x:c r="C881" s="194" t="n">
        <x:v>0.01</x:v>
      </x:c>
      <x:c r="D881" s="194" t="n">
        <x:v>0.01</x:v>
      </x:c>
      <x:c r="E881" s="186"/>
      <x:c r="F881" s="32" t="n">
        <x:f t="shared" si="13"/>
        <x:v>4</x:v>
      </x:c>
      <x:c r="G881" s="32" t="str">
        <x:v>Country</x:v>
      </x:c>
      <x:c r="H881" s="32" t="str">
        <x:v>Member</x:v>
      </x:c>
      <x:c r="I881" s="35" t="str">
        <x:v>Universal</x:v>
      </x:c>
      <x:c r="J881" s="151" t="str">
        <x:v>Institution-specific published voting measure</x:v>
      </x:c>
      <x:c r="K881" s="196"/>
      <x:c r="L881" s="196"/>
    </x:row>
    <x:row r="882">
      <x:c r="A882" s="26" t="str">
        <x:v>CONGO, DEMOCRATIC REPUBLIC OF</x:v>
      </x:c>
      <x:c r="B882" s="27" t="str">
        <x:v>IDA</x:v>
      </x:c>
      <x:c r="C882" s="193" t="n">
        <x:v>0.12</x:v>
      </x:c>
      <x:c r="D882" s="193" t="n">
        <x:v>0.12</x:v>
      </x:c>
      <x:c r="E882" s="185"/>
      <x:c r="F882" s="27" t="n">
        <x:f t="shared" si="13"/>
        <x:v>2</x:v>
      </x:c>
      <x:c r="G882" s="27" t="str">
        <x:v>Country</x:v>
      </x:c>
      <x:c r="H882" s="27" t="str">
        <x:v>Member</x:v>
      </x:c>
      <x:c r="I882" s="30" t="str">
        <x:v>Universal</x:v>
      </x:c>
      <x:c r="J882" s="151" t="str">
        <x:v>Institution-specific published voting measure</x:v>
      </x:c>
      <x:c r="K882" s="196"/>
      <x:c r="L882" s="196"/>
    </x:row>
    <x:row r="883">
      <x:c r="A883" s="31" t="str">
        <x:v>CONGO, REPUBLIC OF</x:v>
      </x:c>
      <x:c r="B883" s="32" t="str">
        <x:v>IDA</x:v>
      </x:c>
      <x:c r="C883" s="194" t="n">
        <x:v>0.04</x:v>
      </x:c>
      <x:c r="D883" s="194" t="n">
        <x:v>0.04</x:v>
      </x:c>
      <x:c r="E883" s="186"/>
      <x:c r="F883" s="32" t="n">
        <x:f t="shared" si="13"/>
        <x:v>2</x:v>
      </x:c>
      <x:c r="G883" s="32" t="str">
        <x:v>Country</x:v>
      </x:c>
      <x:c r="H883" s="32" t="str">
        <x:v>Member</x:v>
      </x:c>
      <x:c r="I883" s="35" t="str">
        <x:v>Universal</x:v>
      </x:c>
      <x:c r="J883" s="151" t="str">
        <x:v>Institution-specific published voting measure</x:v>
      </x:c>
      <x:c r="K883" s="196"/>
      <x:c r="L883" s="196"/>
    </x:row>
    <x:row r="884">
      <x:c r="A884" s="26" t="str">
        <x:v>COSTA RICA</x:v>
      </x:c>
      <x:c r="B884" s="27" t="str">
        <x:v>IDA</x:v>
      </x:c>
      <x:c r="C884" s="193" t="n">
        <x:v>0.05</x:v>
      </x:c>
      <x:c r="D884" s="193" t="n">
        <x:v>0.05</x:v>
      </x:c>
      <x:c r="E884" s="185"/>
      <x:c r="F884" s="27" t="n">
        <x:f t="shared" si="13"/>
        <x:v>5</x:v>
      </x:c>
      <x:c r="G884" s="27" t="str">
        <x:v>Country</x:v>
      </x:c>
      <x:c r="H884" s="27" t="str">
        <x:v>Member</x:v>
      </x:c>
      <x:c r="I884" s="30" t="str">
        <x:v>Universal</x:v>
      </x:c>
      <x:c r="J884" s="151" t="str">
        <x:v>Institution-specific published voting measure</x:v>
      </x:c>
      <x:c r="K884" s="196"/>
      <x:c r="L884" s="196"/>
    </x:row>
    <x:row r="885">
      <x:c r="A885" s="31" t="str">
        <x:v>COTE D'IVOIRE</x:v>
      </x:c>
      <x:c r="B885" s="32" t="str">
        <x:v>IDA</x:v>
      </x:c>
      <x:c r="C885" s="194" t="n">
        <x:v>0.16</x:v>
      </x:c>
      <x:c r="D885" s="194" t="n">
        <x:v>0.16</x:v>
      </x:c>
      <x:c r="E885" s="186"/>
      <x:c r="F885" s="32" t="n">
        <x:f t="shared" si="13"/>
        <x:v>2</x:v>
      </x:c>
      <x:c r="G885" s="32" t="str">
        <x:v>Country</x:v>
      </x:c>
      <x:c r="H885" s="32" t="str">
        <x:v>Member</x:v>
      </x:c>
      <x:c r="I885" s="35" t="str">
        <x:v>Universal</x:v>
      </x:c>
      <x:c r="J885" s="151" t="str">
        <x:v>Institution-specific published voting measure</x:v>
      </x:c>
      <x:c r="K885" s="196"/>
      <x:c r="L885" s="196"/>
    </x:row>
    <x:row r="886">
      <x:c r="A886" s="26" t="str">
        <x:v>CROATIA</x:v>
      </x:c>
      <x:c r="B886" s="27" t="str">
        <x:v>IDA</x:v>
      </x:c>
      <x:c r="C886" s="193" t="n">
        <x:v>0.12</x:v>
      </x:c>
      <x:c r="D886" s="193" t="n">
        <x:v>0.12</x:v>
      </x:c>
      <x:c r="E886" s="185"/>
      <x:c r="F886" s="27" t="n">
        <x:f t="shared" si="13"/>
        <x:v>6</x:v>
      </x:c>
      <x:c r="G886" s="27" t="str">
        <x:v>Country</x:v>
      </x:c>
      <x:c r="H886" s="27" t="str">
        <x:v>Member</x:v>
      </x:c>
      <x:c r="I886" s="30" t="str">
        <x:v>Universal</x:v>
      </x:c>
      <x:c r="J886" s="151" t="str">
        <x:v>Institution-specific published voting measure</x:v>
      </x:c>
      <x:c r="K886" s="196"/>
      <x:c r="L886" s="196"/>
    </x:row>
    <x:row r="887">
      <x:c r="A887" s="31" t="str">
        <x:v>CYPRUS</x:v>
      </x:c>
      <x:c r="B887" s="32" t="str">
        <x:v>IDA</x:v>
      </x:c>
      <x:c r="C887" s="194" t="n">
        <x:v>0.08</x:v>
      </x:c>
      <x:c r="D887" s="194" t="n">
        <x:v>0.08</x:v>
      </x:c>
      <x:c r="E887" s="186"/>
      <x:c r="F887" s="32" t="n">
        <x:f t="shared" si="13"/>
        <x:v>5</x:v>
      </x:c>
      <x:c r="G887" s="32" t="str">
        <x:v>Country</x:v>
      </x:c>
      <x:c r="H887" s="32" t="str">
        <x:v>Member</x:v>
      </x:c>
      <x:c r="I887" s="35" t="str">
        <x:v>Universal</x:v>
      </x:c>
      <x:c r="J887" s="151" t="str">
        <x:v>Institution-specific published voting measure</x:v>
      </x:c>
      <x:c r="K887" s="196"/>
      <x:c r="L887" s="196"/>
    </x:row>
    <x:row r="888">
      <x:c r="A888" s="26" t="str">
        <x:v>CZECHIA</x:v>
      </x:c>
      <x:c r="B888" s="27" t="str">
        <x:v>IDA</x:v>
      </x:c>
      <x:c r="C888" s="193" t="n">
        <x:v>0.34</x:v>
      </x:c>
      <x:c r="D888" s="193" t="n">
        <x:v>0.34</x:v>
      </x:c>
      <x:c r="E888" s="185"/>
      <x:c r="F888" s="27" t="n">
        <x:f t="shared" si="13"/>
        <x:v>3</x:v>
      </x:c>
      <x:c r="G888" s="27" t="str">
        <x:v>Country</x:v>
      </x:c>
      <x:c r="H888" s="27" t="str">
        <x:v>Member</x:v>
      </x:c>
      <x:c r="I888" s="30" t="str">
        <x:v>Universal</x:v>
      </x:c>
      <x:c r="J888" s="151" t="str">
        <x:v>Institution-specific published voting measure</x:v>
      </x:c>
      <x:c r="K888" s="196"/>
      <x:c r="L888" s="196"/>
    </x:row>
    <x:row r="889">
      <x:c r="A889" s="31" t="str">
        <x:v>DENMARK</x:v>
      </x:c>
      <x:c r="B889" s="32" t="str">
        <x:v>IDA</x:v>
      </x:c>
      <x:c r="C889" s="194" t="n">
        <x:v>0.76</x:v>
      </x:c>
      <x:c r="D889" s="194" t="n">
        <x:v>0.76</x:v>
      </x:c>
      <x:c r="E889" s="186"/>
      <x:c r="F889" s="32" t="n">
        <x:f t="shared" si="13"/>
        <x:v>8</x:v>
      </x:c>
      <x:c r="G889" s="32" t="str">
        <x:v>Country</x:v>
      </x:c>
      <x:c r="H889" s="32" t="str">
        <x:v>Member</x:v>
      </x:c>
      <x:c r="I889" s="35" t="str">
        <x:v>Universal</x:v>
      </x:c>
      <x:c r="J889" s="151" t="str">
        <x:v>Institution-specific published voting measure</x:v>
      </x:c>
      <x:c r="K889" s="196"/>
      <x:c r="L889" s="196"/>
    </x:row>
    <x:row r="890">
      <x:c r="A890" s="26" t="str">
        <x:v>DJIBOUTI</x:v>
      </x:c>
      <x:c r="B890" s="27" t="str">
        <x:v>IDA</x:v>
      </x:c>
      <x:c r="C890" s="193" t="n">
        <x:v>0.03</x:v>
      </x:c>
      <x:c r="D890" s="193" t="n">
        <x:v>0.03</x:v>
      </x:c>
      <x:c r="E890" s="185"/>
      <x:c r="F890" s="27" t="n">
        <x:f t="shared" si="13"/>
        <x:v>4</x:v>
      </x:c>
      <x:c r="G890" s="27" t="str">
        <x:v>Country</x:v>
      </x:c>
      <x:c r="H890" s="27" t="str">
        <x:v>Member</x:v>
      </x:c>
      <x:c r="I890" s="30" t="str">
        <x:v>Universal</x:v>
      </x:c>
      <x:c r="J890" s="151" t="str">
        <x:v>Institution-specific published voting measure</x:v>
      </x:c>
      <x:c r="K890" s="196"/>
      <x:c r="L890" s="196"/>
    </x:row>
    <x:row r="891">
      <x:c r="A891" s="31" t="str">
        <x:v>DOMINICA</x:v>
      </x:c>
      <x:c r="B891" s="32" t="str">
        <x:v>IDA</x:v>
      </x:c>
      <x:c r="C891" s="194" t="n">
        <x:v>0.03</x:v>
      </x:c>
      <x:c r="D891" s="194" t="n">
        <x:v>0.03</x:v>
      </x:c>
      <x:c r="E891" s="186"/>
      <x:c r="F891" s="32" t="n">
        <x:f t="shared" si="13"/>
        <x:v>3</x:v>
      </x:c>
      <x:c r="G891" s="32" t="str">
        <x:v>Country</x:v>
      </x:c>
      <x:c r="H891" s="32" t="str">
        <x:v>Member</x:v>
      </x:c>
      <x:c r="I891" s="35" t="str">
        <x:v>Universal</x:v>
      </x:c>
      <x:c r="J891" s="151" t="str">
        <x:v>Institution-specific published voting measure</x:v>
      </x:c>
      <x:c r="K891" s="196"/>
      <x:c r="L891" s="196"/>
    </x:row>
    <x:row r="892">
      <x:c r="A892" s="26" t="str">
        <x:v>DOMINICAN REPUBLIC</x:v>
      </x:c>
      <x:c r="B892" s="27" t="str">
        <x:v>IDA</x:v>
      </x:c>
      <x:c r="C892" s="193" t="n">
        <x:v>0.11</x:v>
      </x:c>
      <x:c r="D892" s="193" t="n">
        <x:v>0.11</x:v>
      </x:c>
      <x:c r="E892" s="185"/>
      <x:c r="F892" s="27" t="n">
        <x:f t="shared" si="13"/>
        <x:v>5</x:v>
      </x:c>
      <x:c r="G892" s="27" t="str">
        <x:v>Country</x:v>
      </x:c>
      <x:c r="H892" s="27" t="str">
        <x:v>Member</x:v>
      </x:c>
      <x:c r="I892" s="30" t="str">
        <x:v>Universal</x:v>
      </x:c>
      <x:c r="J892" s="151" t="str">
        <x:v>Institution-specific published voting measure</x:v>
      </x:c>
      <x:c r="K892" s="196"/>
      <x:c r="L892" s="196"/>
    </x:row>
    <x:row r="893">
      <x:c r="A893" s="31" t="str">
        <x:v>ECUADOR</x:v>
      </x:c>
      <x:c r="B893" s="32" t="str">
        <x:v>IDA</x:v>
      </x:c>
      <x:c r="C893" s="194" t="n">
        <x:v>0.16</x:v>
      </x:c>
      <x:c r="D893" s="194" t="n">
        <x:v>0.16</x:v>
      </x:c>
      <x:c r="E893" s="186"/>
      <x:c r="F893" s="32" t="n">
        <x:f t="shared" si="13"/>
        <x:v>5</x:v>
      </x:c>
      <x:c r="G893" s="32" t="str">
        <x:v>Country</x:v>
      </x:c>
      <x:c r="H893" s="32" t="str">
        <x:v>Member</x:v>
      </x:c>
      <x:c r="I893" s="35" t="str">
        <x:v>Universal</x:v>
      </x:c>
      <x:c r="J893" s="151" t="str">
        <x:v>Institution-specific published voting measure</x:v>
      </x:c>
      <x:c r="K893" s="196"/>
      <x:c r="L893" s="196"/>
    </x:row>
    <x:row r="894">
      <x:c r="A894" s="26" t="str">
        <x:v>EGYPT, ARAB REPUBLIC OF</x:v>
      </x:c>
      <x:c r="B894" s="27" t="str">
        <x:v>IDA</x:v>
      </x:c>
      <x:c r="C894" s="193" t="n">
        <x:v>0.47</x:v>
      </x:c>
      <x:c r="D894" s="193" t="n">
        <x:v>0.47</x:v>
      </x:c>
      <x:c r="E894" s="185"/>
      <x:c r="F894" s="27" t="n">
        <x:f t="shared" si="13"/>
        <x:v>2</x:v>
      </x:c>
      <x:c r="G894" s="27" t="str">
        <x:v>Country</x:v>
      </x:c>
      <x:c r="H894" s="27" t="str">
        <x:v>Member</x:v>
      </x:c>
      <x:c r="I894" s="30" t="str">
        <x:v>Universal</x:v>
      </x:c>
      <x:c r="J894" s="151" t="str">
        <x:v>Institution-specific published voting measure</x:v>
      </x:c>
      <x:c r="K894" s="196"/>
      <x:c r="L894" s="196"/>
    </x:row>
    <x:row r="895">
      <x:c r="A895" s="31" t="str">
        <x:v>EL SALVADOR</x:v>
      </x:c>
      <x:c r="B895" s="32" t="str">
        <x:v>IDA</x:v>
      </x:c>
      <x:c r="C895" s="194" t="n">
        <x:v>0.02</x:v>
      </x:c>
      <x:c r="D895" s="194" t="n">
        <x:v>0.02</x:v>
      </x:c>
      <x:c r="E895" s="186"/>
      <x:c r="F895" s="32" t="n">
        <x:f t="shared" si="13"/>
        <x:v>5</x:v>
      </x:c>
      <x:c r="G895" s="32" t="str">
        <x:v>Country</x:v>
      </x:c>
      <x:c r="H895" s="32" t="str">
        <x:v>Member</x:v>
      </x:c>
      <x:c r="I895" s="35" t="str">
        <x:v>Universal</x:v>
      </x:c>
      <x:c r="J895" s="151" t="str">
        <x:v>Institution-specific published voting measure</x:v>
      </x:c>
      <x:c r="K895" s="196"/>
      <x:c r="L895" s="196"/>
    </x:row>
    <x:row r="896">
      <x:c r="A896" s="26" t="str">
        <x:v>EQUATORIAL GUINEA</x:v>
      </x:c>
      <x:c r="B896" s="27" t="str">
        <x:v>IDA</x:v>
      </x:c>
      <x:c r="C896" s="193" t="n">
        <x:v>0.03</x:v>
      </x:c>
      <x:c r="D896" s="193" t="n">
        <x:v>0.03</x:v>
      </x:c>
      <x:c r="E896" s="185"/>
      <x:c r="F896" s="27" t="n">
        <x:f t="shared" si="13"/>
        <x:v>3</x:v>
      </x:c>
      <x:c r="G896" s="27" t="str">
        <x:v>Country</x:v>
      </x:c>
      <x:c r="H896" s="27" t="str">
        <x:v>Member</x:v>
      </x:c>
      <x:c r="I896" s="30" t="str">
        <x:v>Universal</x:v>
      </x:c>
      <x:c r="J896" s="151" t="str">
        <x:v>Institution-specific published voting measure</x:v>
      </x:c>
      <x:c r="K896" s="196"/>
      <x:c r="L896" s="196"/>
    </x:row>
    <x:row r="897">
      <x:c r="A897" s="31" t="str">
        <x:v>ERITREA</x:v>
      </x:c>
      <x:c r="B897" s="32" t="str">
        <x:v>IDA</x:v>
      </x:c>
      <x:c r="C897" s="194" t="n">
        <x:v>0.02</x:v>
      </x:c>
      <x:c r="D897" s="194" t="n">
        <x:v>0.02</x:v>
      </x:c>
      <x:c r="E897" s="186"/>
      <x:c r="F897" s="32" t="n">
        <x:f t="shared" si="13"/>
        <x:v>3</x:v>
      </x:c>
      <x:c r="G897" s="32" t="str">
        <x:v>Country</x:v>
      </x:c>
      <x:c r="H897" s="32" t="str">
        <x:v>Member</x:v>
      </x:c>
      <x:c r="I897" s="35" t="str">
        <x:v>Universal</x:v>
      </x:c>
      <x:c r="J897" s="151" t="str">
        <x:v>Institution-specific published voting measure</x:v>
      </x:c>
      <x:c r="K897" s="196"/>
      <x:c r="L897" s="196"/>
    </x:row>
    <x:row r="898">
      <x:c r="A898" s="26" t="str">
        <x:v>ESTONIA</x:v>
      </x:c>
      <x:c r="B898" s="27" t="str">
        <x:v>IDA</x:v>
      </x:c>
      <x:c r="C898" s="193" t="n">
        <x:v>0.05</x:v>
      </x:c>
      <x:c r="D898" s="193" t="n">
        <x:v>0.05</x:v>
      </x:c>
      <x:c r="E898" s="185"/>
      <x:c r="F898" s="27" t="n">
        <x:f t="shared" si="13"/>
        <x:v>4</x:v>
      </x:c>
      <x:c r="G898" s="27" t="str">
        <x:v>Country</x:v>
      </x:c>
      <x:c r="H898" s="27" t="str">
        <x:v>Member</x:v>
      </x:c>
      <x:c r="I898" s="30" t="str">
        <x:v>Universal</x:v>
      </x:c>
      <x:c r="J898" s="151" t="str">
        <x:v>Institution-specific published voting measure</x:v>
      </x:c>
      <x:c r="K898" s="196"/>
      <x:c r="L898" s="196"/>
    </x:row>
    <x:row r="899">
      <x:c r="A899" s="31" t="str">
        <x:v>ESWATINI</x:v>
      </x:c>
      <x:c r="B899" s="32" t="str">
        <x:v>IDA</x:v>
      </x:c>
      <x:c r="C899" s="194" t="n">
        <x:v>0.02</x:v>
      </x:c>
      <x:c r="D899" s="194" t="n">
        <x:v>0.02</x:v>
      </x:c>
      <x:c r="E899" s="186"/>
      <x:c r="F899" s="32" t="n">
        <x:f t="shared" ref="F899:F962" si="14">COUNTIF(A899:A1930,A899)</x:f>
        <x:v>1</x:v>
      </x:c>
      <x:c r="G899" s="32" t="str">
        <x:v>Country</x:v>
      </x:c>
      <x:c r="H899" s="32" t="str">
        <x:v>Member</x:v>
      </x:c>
      <x:c r="I899" s="35" t="str">
        <x:v>Universal</x:v>
      </x:c>
      <x:c r="J899" s="151" t="str">
        <x:v>Institution-specific published voting measure</x:v>
      </x:c>
      <x:c r="K899" s="196"/>
      <x:c r="L899" s="196"/>
    </x:row>
    <x:row r="900">
      <x:c r="A900" s="26" t="str">
        <x:v>ETHIOPIA</x:v>
      </x:c>
      <x:c r="B900" s="27" t="str">
        <x:v>IDA</x:v>
      </x:c>
      <x:c r="C900" s="193" t="n">
        <x:v>0.07</x:v>
      </x:c>
      <x:c r="D900" s="193" t="n">
        <x:v>0.07</x:v>
      </x:c>
      <x:c r="E900" s="185"/>
      <x:c r="F900" s="27" t="n">
        <x:f t="shared" si="14"/>
        <x:v>4</x:v>
      </x:c>
      <x:c r="G900" s="27" t="str">
        <x:v>Country</x:v>
      </x:c>
      <x:c r="H900" s="27" t="str">
        <x:v>Member</x:v>
      </x:c>
      <x:c r="I900" s="30" t="str">
        <x:v>Universal</x:v>
      </x:c>
      <x:c r="J900" s="151" t="str">
        <x:v>Institution-specific published voting measure</x:v>
      </x:c>
      <x:c r="K900" s="196"/>
      <x:c r="L900" s="196"/>
    </x:row>
    <x:row r="901">
      <x:c r="A901" s="31" t="str">
        <x:v>FIJI</x:v>
      </x:c>
      <x:c r="B901" s="32" t="str">
        <x:v>IDA</x:v>
      </x:c>
      <x:c r="C901" s="194" t="n">
        <x:v>0.05</x:v>
      </x:c>
      <x:c r="D901" s="194" t="n">
        <x:v>0.05</x:v>
      </x:c>
      <x:c r="E901" s="186"/>
      <x:c r="F901" s="32" t="n">
        <x:f t="shared" si="14"/>
        <x:v>4</x:v>
      </x:c>
      <x:c r="G901" s="32" t="str">
        <x:v>Country</x:v>
      </x:c>
      <x:c r="H901" s="32" t="str">
        <x:v>Member</x:v>
      </x:c>
      <x:c r="I901" s="35" t="str">
        <x:v>Universal</x:v>
      </x:c>
      <x:c r="J901" s="151" t="str">
        <x:v>Institution-specific published voting measure</x:v>
      </x:c>
      <x:c r="K901" s="196"/>
      <x:c r="L901" s="196"/>
    </x:row>
    <x:row r="902">
      <x:c r="A902" s="26" t="str">
        <x:v>FINLAND</x:v>
      </x:c>
      <x:c r="B902" s="27" t="str">
        <x:v>IDA</x:v>
      </x:c>
      <x:c r="C902" s="193" t="n">
        <x:v>0.5</x:v>
      </x:c>
      <x:c r="D902" s="193" t="n">
        <x:v>0.5</x:v>
      </x:c>
      <x:c r="E902" s="185"/>
      <x:c r="F902" s="27" t="n">
        <x:f t="shared" si="14"/>
        <x:v>8</x:v>
      </x:c>
      <x:c r="G902" s="27" t="str">
        <x:v>Country</x:v>
      </x:c>
      <x:c r="H902" s="27" t="str">
        <x:v>Member</x:v>
      </x:c>
      <x:c r="I902" s="30" t="str">
        <x:v>Universal</x:v>
      </x:c>
      <x:c r="J902" s="151" t="str">
        <x:v>Institution-specific published voting measure</x:v>
      </x:c>
      <x:c r="K902" s="196"/>
      <x:c r="L902" s="196"/>
    </x:row>
    <x:row r="903">
      <x:c r="A903" s="31" t="str">
        <x:v>FRANCE</x:v>
      </x:c>
      <x:c r="B903" s="32" t="str">
        <x:v>IDA</x:v>
      </x:c>
      <x:c r="C903" s="194" t="n">
        <x:v>3.94</x:v>
      </x:c>
      <x:c r="D903" s="194" t="n">
        <x:v>3.94</x:v>
      </x:c>
      <x:c r="E903" s="186"/>
      <x:c r="F903" s="32" t="n">
        <x:f t="shared" si="14"/>
        <x:v>8</x:v>
      </x:c>
      <x:c r="G903" s="32" t="str">
        <x:v>Country</x:v>
      </x:c>
      <x:c r="H903" s="32" t="str">
        <x:v>Member</x:v>
      </x:c>
      <x:c r="I903" s="35" t="str">
        <x:v>Universal</x:v>
      </x:c>
      <x:c r="J903" s="151" t="str">
        <x:v>Institution-specific published voting measure</x:v>
      </x:c>
      <x:c r="K903" s="196"/>
      <x:c r="L903" s="196"/>
    </x:row>
    <x:row r="904">
      <x:c r="A904" s="26" t="str">
        <x:v>GABON</x:v>
      </x:c>
      <x:c r="B904" s="27" t="str">
        <x:v>IDA</x:v>
      </x:c>
      <x:c r="C904" s="193" t="n">
        <x:v>0.04</x:v>
      </x:c>
      <x:c r="D904" s="193" t="n">
        <x:v>0.04</x:v>
      </x:c>
      <x:c r="E904" s="185"/>
      <x:c r="F904" s="27" t="n">
        <x:f t="shared" si="14"/>
        <x:v>4</x:v>
      </x:c>
      <x:c r="G904" s="27" t="str">
        <x:v>Country</x:v>
      </x:c>
      <x:c r="H904" s="27" t="str">
        <x:v>Member</x:v>
      </x:c>
      <x:c r="I904" s="30" t="str">
        <x:v>Universal</x:v>
      </x:c>
      <x:c r="J904" s="151" t="str">
        <x:v>Institution-specific published voting measure</x:v>
      </x:c>
      <x:c r="K904" s="196"/>
      <x:c r="L904" s="196"/>
    </x:row>
    <x:row r="905">
      <x:c r="A905" s="31" t="str">
        <x:v>GAMBIA, THE</x:v>
      </x:c>
      <x:c r="B905" s="32" t="str">
        <x:v>IDA</x:v>
      </x:c>
      <x:c r="C905" s="194" t="n">
        <x:v>0.03</x:v>
      </x:c>
      <x:c r="D905" s="194" t="n">
        <x:v>0.03</x:v>
      </x:c>
      <x:c r="E905" s="186"/>
      <x:c r="F905" s="32" t="n">
        <x:f t="shared" si="14"/>
        <x:v>2</x:v>
      </x:c>
      <x:c r="G905" s="32" t="str">
        <x:v>Country</x:v>
      </x:c>
      <x:c r="H905" s="32" t="str">
        <x:v>Member</x:v>
      </x:c>
      <x:c r="I905" s="35" t="str">
        <x:v>Universal</x:v>
      </x:c>
      <x:c r="J905" s="151" t="str">
        <x:v>Institution-specific published voting measure</x:v>
      </x:c>
      <x:c r="K905" s="196"/>
      <x:c r="L905" s="196"/>
    </x:row>
    <x:row r="906">
      <x:c r="A906" s="26" t="str">
        <x:v>GEORGIA</x:v>
      </x:c>
      <x:c r="B906" s="27" t="str">
        <x:v>IDA</x:v>
      </x:c>
      <x:c r="C906" s="193" t="n">
        <x:v>0.09</x:v>
      </x:c>
      <x:c r="D906" s="193" t="n">
        <x:v>0.09</x:v>
      </x:c>
      <x:c r="E906" s="185"/>
      <x:c r="F906" s="27" t="n">
        <x:f t="shared" si="14"/>
        <x:v>5</x:v>
      </x:c>
      <x:c r="G906" s="27" t="str">
        <x:v>Country</x:v>
      </x:c>
      <x:c r="H906" s="27" t="str">
        <x:v>Member</x:v>
      </x:c>
      <x:c r="I906" s="30" t="str">
        <x:v>Universal</x:v>
      </x:c>
      <x:c r="J906" s="151" t="str">
        <x:v>Institution-specific published voting measure</x:v>
      </x:c>
      <x:c r="K906" s="196"/>
      <x:c r="L906" s="196"/>
    </x:row>
    <x:row r="907">
      <x:c r="A907" s="31" t="str">
        <x:v>GERMANY</x:v>
      </x:c>
      <x:c r="B907" s="32" t="str">
        <x:v>IDA</x:v>
      </x:c>
      <x:c r="C907" s="194" t="n">
        <x:v>4.3</x:v>
      </x:c>
      <x:c r="D907" s="194" t="n">
        <x:v>4.3</x:v>
      </x:c>
      <x:c r="E907" s="186"/>
      <x:c r="F907" s="32" t="n">
        <x:f t="shared" si="14"/>
        <x:v>9</x:v>
      </x:c>
      <x:c r="G907" s="32" t="str">
        <x:v>Country</x:v>
      </x:c>
      <x:c r="H907" s="32" t="str">
        <x:v>Member</x:v>
      </x:c>
      <x:c r="I907" s="35" t="str">
        <x:v>Universal</x:v>
      </x:c>
      <x:c r="J907" s="151" t="str">
        <x:v>Institution-specific published voting measure</x:v>
      </x:c>
      <x:c r="K907" s="196"/>
      <x:c r="L907" s="196"/>
    </x:row>
    <x:row r="908">
      <x:c r="A908" s="26" t="str">
        <x:v>GHANA</x:v>
      </x:c>
      <x:c r="B908" s="27" t="str">
        <x:v>IDA</x:v>
      </x:c>
      <x:c r="C908" s="193" t="n">
        <x:v>0.1</x:v>
      </x:c>
      <x:c r="D908" s="193" t="n">
        <x:v>0.1</x:v>
      </x:c>
      <x:c r="E908" s="185"/>
      <x:c r="F908" s="27" t="n">
        <x:f t="shared" si="14"/>
        <x:v>4</x:v>
      </x:c>
      <x:c r="G908" s="27" t="str">
        <x:v>Country</x:v>
      </x:c>
      <x:c r="H908" s="27" t="str">
        <x:v>Member</x:v>
      </x:c>
      <x:c r="I908" s="30" t="str">
        <x:v>Universal</x:v>
      </x:c>
      <x:c r="J908" s="151" t="str">
        <x:v>Institution-specific published voting measure</x:v>
      </x:c>
      <x:c r="K908" s="196"/>
      <x:c r="L908" s="196"/>
    </x:row>
    <x:row r="909">
      <x:c r="A909" s="31" t="str">
        <x:v>GREECE</x:v>
      </x:c>
      <x:c r="B909" s="32" t="str">
        <x:v>IDA</x:v>
      </x:c>
      <x:c r="C909" s="194" t="n">
        <x:v>0.16</x:v>
      </x:c>
      <x:c r="D909" s="194" t="n">
        <x:v>0.16</x:v>
      </x:c>
      <x:c r="E909" s="186"/>
      <x:c r="F909" s="32" t="n">
        <x:f t="shared" si="14"/>
        <x:v>5</x:v>
      </x:c>
      <x:c r="G909" s="32" t="str">
        <x:v>Country</x:v>
      </x:c>
      <x:c r="H909" s="32" t="str">
        <x:v>Member</x:v>
      </x:c>
      <x:c r="I909" s="35" t="str">
        <x:v>Universal</x:v>
      </x:c>
      <x:c r="J909" s="151" t="str">
        <x:v>Institution-specific published voting measure</x:v>
      </x:c>
      <x:c r="K909" s="196"/>
      <x:c r="L909" s="196"/>
    </x:row>
    <x:row r="910">
      <x:c r="A910" s="26" t="str">
        <x:v>GRENADA</x:v>
      </x:c>
      <x:c r="B910" s="27" t="str">
        <x:v>IDA</x:v>
      </x:c>
      <x:c r="C910" s="193" t="n">
        <x:v>0.03</x:v>
      </x:c>
      <x:c r="D910" s="193" t="n">
        <x:v>0.03</x:v>
      </x:c>
      <x:c r="E910" s="185"/>
      <x:c r="F910" s="27" t="n">
        <x:f t="shared" si="14"/>
        <x:v>3</x:v>
      </x:c>
      <x:c r="G910" s="27" t="str">
        <x:v>Country</x:v>
      </x:c>
      <x:c r="H910" s="27" t="str">
        <x:v>Member</x:v>
      </x:c>
      <x:c r="I910" s="30" t="str">
        <x:v>Universal</x:v>
      </x:c>
      <x:c r="J910" s="151" t="str">
        <x:v>Institution-specific published voting measure</x:v>
      </x:c>
      <x:c r="K910" s="196"/>
      <x:c r="L910" s="196"/>
    </x:row>
    <x:row r="911">
      <x:c r="A911" s="31" t="str">
        <x:v>GUATEMALA</x:v>
      </x:c>
      <x:c r="B911" s="32" t="str">
        <x:v>IDA</x:v>
      </x:c>
      <x:c r="C911" s="194" t="n">
        <x:v>0.07</x:v>
      </x:c>
      <x:c r="D911" s="194" t="n">
        <x:v>0.07</x:v>
      </x:c>
      <x:c r="E911" s="186"/>
      <x:c r="F911" s="32" t="n">
        <x:f t="shared" si="14"/>
        <x:v>4</x:v>
      </x:c>
      <x:c r="G911" s="32" t="str">
        <x:v>Country</x:v>
      </x:c>
      <x:c r="H911" s="32" t="str">
        <x:v>Member</x:v>
      </x:c>
      <x:c r="I911" s="35" t="str">
        <x:v>Universal</x:v>
      </x:c>
      <x:c r="J911" s="151" t="str">
        <x:v>Institution-specific published voting measure</x:v>
      </x:c>
      <x:c r="K911" s="196"/>
      <x:c r="L911" s="196"/>
    </x:row>
    <x:row r="912">
      <x:c r="A912" s="26" t="str">
        <x:v>GUINEA</x:v>
      </x:c>
      <x:c r="B912" s="27" t="str">
        <x:v>IDA</x:v>
      </x:c>
      <x:c r="C912" s="193" t="n">
        <x:v>0.08</x:v>
      </x:c>
      <x:c r="D912" s="193" t="n">
        <x:v>0.08</x:v>
      </x:c>
      <x:c r="E912" s="185"/>
      <x:c r="F912" s="27" t="n">
        <x:f t="shared" si="14"/>
        <x:v>5</x:v>
      </x:c>
      <x:c r="G912" s="27" t="str">
        <x:v>Country</x:v>
      </x:c>
      <x:c r="H912" s="27" t="str">
        <x:v>Member</x:v>
      </x:c>
      <x:c r="I912" s="30" t="str">
        <x:v>Universal</x:v>
      </x:c>
      <x:c r="J912" s="151" t="str">
        <x:v>Institution-specific published voting measure</x:v>
      </x:c>
      <x:c r="K912" s="196"/>
      <x:c r="L912" s="196"/>
    </x:row>
    <x:row r="913">
      <x:c r="A913" s="31" t="str">
        <x:v>GUINEA-BISSAU</x:v>
      </x:c>
      <x:c r="B913" s="32" t="str">
        <x:v>IDA</x:v>
      </x:c>
      <x:c r="C913" s="194" t="n">
        <x:v>0.02</x:v>
      </x:c>
      <x:c r="D913" s="194" t="n">
        <x:v>0.02</x:v>
      </x:c>
      <x:c r="E913" s="186"/>
      <x:c r="F913" s="32" t="n">
        <x:f t="shared" si="14"/>
        <x:v>4</x:v>
      </x:c>
      <x:c r="G913" s="32" t="str">
        <x:v>Country</x:v>
      </x:c>
      <x:c r="H913" s="32" t="str">
        <x:v>Member</x:v>
      </x:c>
      <x:c r="I913" s="35" t="str">
        <x:v>Universal</x:v>
      </x:c>
      <x:c r="J913" s="151" t="str">
        <x:v>Institution-specific published voting measure</x:v>
      </x:c>
      <x:c r="K913" s="196"/>
      <x:c r="L913" s="196"/>
    </x:row>
    <x:row r="914">
      <x:c r="A914" s="26" t="str">
        <x:v>GUYANA</x:v>
      </x:c>
      <x:c r="B914" s="27" t="str">
        <x:v>IDA</x:v>
      </x:c>
      <x:c r="C914" s="193" t="n">
        <x:v>0.06</x:v>
      </x:c>
      <x:c r="D914" s="193" t="n">
        <x:v>0.06</x:v>
      </x:c>
      <x:c r="E914" s="185"/>
      <x:c r="F914" s="27" t="n">
        <x:f t="shared" si="14"/>
        <x:v>5</x:v>
      </x:c>
      <x:c r="G914" s="27" t="str">
        <x:v>Country</x:v>
      </x:c>
      <x:c r="H914" s="27" t="str">
        <x:v>Member</x:v>
      </x:c>
      <x:c r="I914" s="30" t="str">
        <x:v>Universal</x:v>
      </x:c>
      <x:c r="J914" s="151" t="str">
        <x:v>Institution-specific published voting measure</x:v>
      </x:c>
      <x:c r="K914" s="196"/>
      <x:c r="L914" s="196"/>
    </x:row>
    <x:row r="915">
      <x:c r="A915" s="31" t="str">
        <x:v>HAITI</x:v>
      </x:c>
      <x:c r="B915" s="32" t="str">
        <x:v>IDA</x:v>
      </x:c>
      <x:c r="C915" s="194" t="n">
        <x:v>0.07</x:v>
      </x:c>
      <x:c r="D915" s="194" t="n">
        <x:v>0.07</x:v>
      </x:c>
      <x:c r="E915" s="186"/>
      <x:c r="F915" s="32" t="n">
        <x:f t="shared" si="14"/>
        <x:v>4</x:v>
      </x:c>
      <x:c r="G915" s="32" t="str">
        <x:v>Country</x:v>
      </x:c>
      <x:c r="H915" s="32" t="str">
        <x:v>Member</x:v>
      </x:c>
      <x:c r="I915" s="35" t="str">
        <x:v>Universal</x:v>
      </x:c>
      <x:c r="J915" s="151" t="str">
        <x:v>Institution-specific published voting measure</x:v>
      </x:c>
      <x:c r="K915" s="196"/>
      <x:c r="L915" s="196"/>
    </x:row>
    <x:row r="916">
      <x:c r="A916" s="26" t="str">
        <x:v>HONDURAS</x:v>
      </x:c>
      <x:c r="B916" s="27" t="str">
        <x:v>IDA</x:v>
      </x:c>
      <x:c r="C916" s="193" t="n">
        <x:v>0.03</x:v>
      </x:c>
      <x:c r="D916" s="193" t="n">
        <x:v>0.03</x:v>
      </x:c>
      <x:c r="E916" s="185"/>
      <x:c r="F916" s="27" t="n">
        <x:f t="shared" si="14"/>
        <x:v>5</x:v>
      </x:c>
      <x:c r="G916" s="27" t="str">
        <x:v>Country</x:v>
      </x:c>
      <x:c r="H916" s="27" t="str">
        <x:v>Member</x:v>
      </x:c>
      <x:c r="I916" s="30" t="str">
        <x:v>Universal</x:v>
      </x:c>
      <x:c r="J916" s="151" t="str">
        <x:v>Institution-specific published voting measure</x:v>
      </x:c>
      <x:c r="K916" s="196"/>
      <x:c r="L916" s="196"/>
    </x:row>
    <x:row r="917">
      <x:c r="A917" s="31" t="str">
        <x:v>HUNGARY</x:v>
      </x:c>
      <x:c r="B917" s="32" t="str">
        <x:v>IDA</x:v>
      </x:c>
      <x:c r="C917" s="194" t="n">
        <x:v>0.45</x:v>
      </x:c>
      <x:c r="D917" s="194" t="n">
        <x:v>0.45</x:v>
      </x:c>
      <x:c r="E917" s="186"/>
      <x:c r="F917" s="32" t="n">
        <x:f t="shared" si="14"/>
        <x:v>5</x:v>
      </x:c>
      <x:c r="G917" s="32" t="str">
        <x:v>Country</x:v>
      </x:c>
      <x:c r="H917" s="32" t="str">
        <x:v>Member</x:v>
      </x:c>
      <x:c r="I917" s="35" t="str">
        <x:v>Universal</x:v>
      </x:c>
      <x:c r="J917" s="151" t="str">
        <x:v>Institution-specific published voting measure</x:v>
      </x:c>
      <x:c r="K917" s="196"/>
      <x:c r="L917" s="196"/>
    </x:row>
    <x:row r="918">
      <x:c r="A918" s="26" t="str">
        <x:v>ICELAND</x:v>
      </x:c>
      <x:c r="B918" s="27" t="str">
        <x:v>IDA</x:v>
      </x:c>
      <x:c r="C918" s="193" t="n">
        <x:v>0.07</x:v>
      </x:c>
      <x:c r="D918" s="193" t="n">
        <x:v>0.07</x:v>
      </x:c>
      <x:c r="E918" s="185"/>
      <x:c r="F918" s="27" t="n">
        <x:f t="shared" si="14"/>
        <x:v>4</x:v>
      </x:c>
      <x:c r="G918" s="27" t="str">
        <x:v>Country</x:v>
      </x:c>
      <x:c r="H918" s="27" t="str">
        <x:v>Member</x:v>
      </x:c>
      <x:c r="I918" s="30" t="str">
        <x:v>Universal</x:v>
      </x:c>
      <x:c r="J918" s="151" t="str">
        <x:v>Institution-specific published voting measure</x:v>
      </x:c>
      <x:c r="K918" s="196"/>
      <x:c r="L918" s="196"/>
    </x:row>
    <x:row r="919">
      <x:c r="A919" s="31" t="str">
        <x:v>INDIA</x:v>
      </x:c>
      <x:c r="B919" s="32" t="str">
        <x:v>IDA</x:v>
      </x:c>
      <x:c r="C919" s="194" t="n">
        <x:v>3.09</x:v>
      </x:c>
      <x:c r="D919" s="194" t="n">
        <x:v>3.09</x:v>
      </x:c>
      <x:c r="E919" s="186"/>
      <x:c r="F919" s="32" t="n">
        <x:f t="shared" si="14"/>
        <x:v>7</x:v>
      </x:c>
      <x:c r="G919" s="32" t="str">
        <x:v>Country</x:v>
      </x:c>
      <x:c r="H919" s="32" t="str">
        <x:v>Member</x:v>
      </x:c>
      <x:c r="I919" s="35" t="str">
        <x:v>Universal</x:v>
      </x:c>
      <x:c r="J919" s="151" t="str">
        <x:v>Institution-specific published voting measure</x:v>
      </x:c>
      <x:c r="K919" s="196"/>
      <x:c r="L919" s="196"/>
    </x:row>
    <x:row r="920">
      <x:c r="A920" s="26" t="str">
        <x:v>INDONESIA</x:v>
      </x:c>
      <x:c r="B920" s="27" t="str">
        <x:v>IDA</x:v>
      </x:c>
      <x:c r="C920" s="193" t="n">
        <x:v>1.05</x:v>
      </x:c>
      <x:c r="D920" s="193" t="n">
        <x:v>1.05</x:v>
      </x:c>
      <x:c r="E920" s="185"/>
      <x:c r="F920" s="27" t="n">
        <x:f t="shared" si="14"/>
        <x:v>5</x:v>
      </x:c>
      <x:c r="G920" s="27" t="str">
        <x:v>Country</x:v>
      </x:c>
      <x:c r="H920" s="27" t="str">
        <x:v>Member</x:v>
      </x:c>
      <x:c r="I920" s="30" t="str">
        <x:v>Universal</x:v>
      </x:c>
      <x:c r="J920" s="151" t="str">
        <x:v>Institution-specific published voting measure</x:v>
      </x:c>
      <x:c r="K920" s="196"/>
      <x:c r="L920" s="196"/>
    </x:row>
    <x:row r="921">
      <x:c r="A921" s="31" t="str">
        <x:v>IRAN, ISLAMIC REPUBLIC OF</x:v>
      </x:c>
      <x:c r="B921" s="32" t="str">
        <x:v>IDA</x:v>
      </x:c>
      <x:c r="C921" s="194" t="n">
        <x:v>1.39</x:v>
      </x:c>
      <x:c r="D921" s="194" t="n">
        <x:v>1.39</x:v>
      </x:c>
      <x:c r="E921" s="186"/>
      <x:c r="F921" s="32" t="n">
        <x:f t="shared" si="14"/>
        <x:v>2</x:v>
      </x:c>
      <x:c r="G921" s="32" t="str">
        <x:v>Country</x:v>
      </x:c>
      <x:c r="H921" s="32" t="str">
        <x:v>Member</x:v>
      </x:c>
      <x:c r="I921" s="35" t="str">
        <x:v>Universal</x:v>
      </x:c>
      <x:c r="J921" s="151" t="str">
        <x:v>Institution-specific published voting measure</x:v>
      </x:c>
      <x:c r="K921" s="196"/>
      <x:c r="L921" s="196"/>
    </x:row>
    <x:row r="922">
      <x:c r="A922" s="26" t="str">
        <x:v>IRAQ</x:v>
      </x:c>
      <x:c r="B922" s="27" t="str">
        <x:v>IDA</x:v>
      </x:c>
      <x:c r="C922" s="193" t="n">
        <x:v>0.18</x:v>
      </x:c>
      <x:c r="D922" s="193" t="n">
        <x:v>0.18</x:v>
      </x:c>
      <x:c r="E922" s="185"/>
      <x:c r="F922" s="27" t="n">
        <x:f t="shared" si="14"/>
        <x:v>6</x:v>
      </x:c>
      <x:c r="G922" s="27" t="str">
        <x:v>Country</x:v>
      </x:c>
      <x:c r="H922" s="27" t="str">
        <x:v>Member</x:v>
      </x:c>
      <x:c r="I922" s="30" t="str">
        <x:v>Universal</x:v>
      </x:c>
      <x:c r="J922" s="151" t="str">
        <x:v>Institution-specific published voting measure</x:v>
      </x:c>
      <x:c r="K922" s="196"/>
      <x:c r="L922" s="196"/>
    </x:row>
    <x:row r="923">
      <x:c r="A923" s="31" t="str">
        <x:v>IRELAND</x:v>
      </x:c>
      <x:c r="B923" s="32" t="str">
        <x:v>IDA</x:v>
      </x:c>
      <x:c r="C923" s="194" t="n">
        <x:v>0.34</x:v>
      </x:c>
      <x:c r="D923" s="194" t="n">
        <x:v>0.34</x:v>
      </x:c>
      <x:c r="E923" s="186"/>
      <x:c r="F923" s="32" t="n">
        <x:f t="shared" si="14"/>
        <x:v>7</x:v>
      </x:c>
      <x:c r="G923" s="32" t="str">
        <x:v>Country</x:v>
      </x:c>
      <x:c r="H923" s="32" t="str">
        <x:v>Member</x:v>
      </x:c>
      <x:c r="I923" s="35" t="str">
        <x:v>Universal</x:v>
      </x:c>
      <x:c r="J923" s="151" t="str">
        <x:v>Institution-specific published voting measure</x:v>
      </x:c>
      <x:c r="K923" s="196"/>
      <x:c r="L923" s="196"/>
    </x:row>
    <x:row r="924">
      <x:c r="A924" s="26" t="str">
        <x:v>ISRAEL</x:v>
      </x:c>
      <x:c r="B924" s="27" t="str">
        <x:v>IDA</x:v>
      </x:c>
      <x:c r="C924" s="193" t="n">
        <x:v>0.27</x:v>
      </x:c>
      <x:c r="D924" s="193" t="n">
        <x:v>0.27</x:v>
      </x:c>
      <x:c r="E924" s="185"/>
      <x:c r="F924" s="27" t="n">
        <x:f t="shared" si="14"/>
        <x:v>5</x:v>
      </x:c>
      <x:c r="G924" s="27" t="str">
        <x:v>Country</x:v>
      </x:c>
      <x:c r="H924" s="27" t="str">
        <x:v>Member</x:v>
      </x:c>
      <x:c r="I924" s="30" t="str">
        <x:v>Universal</x:v>
      </x:c>
      <x:c r="J924" s="151" t="str">
        <x:v>Institution-specific published voting measure</x:v>
      </x:c>
      <x:c r="K924" s="196"/>
      <x:c r="L924" s="196"/>
    </x:row>
    <x:row r="925">
      <x:c r="A925" s="31" t="str">
        <x:v>ITALY</x:v>
      </x:c>
      <x:c r="B925" s="32" t="str">
        <x:v>IDA</x:v>
      </x:c>
      <x:c r="C925" s="194" t="n">
        <x:v>2.76</x:v>
      </x:c>
      <x:c r="D925" s="194" t="n">
        <x:v>2.76</x:v>
      </x:c>
      <x:c r="E925" s="186"/>
      <x:c r="F925" s="32" t="n">
        <x:f t="shared" si="14"/>
        <x:v>9</x:v>
      </x:c>
      <x:c r="G925" s="32" t="str">
        <x:v>Country</x:v>
      </x:c>
      <x:c r="H925" s="32" t="str">
        <x:v>Member</x:v>
      </x:c>
      <x:c r="I925" s="35" t="str">
        <x:v>Universal</x:v>
      </x:c>
      <x:c r="J925" s="151" t="str">
        <x:v>Institution-specific published voting measure</x:v>
      </x:c>
      <x:c r="K925" s="196"/>
      <x:c r="L925" s="196"/>
    </x:row>
    <x:row r="926">
      <x:c r="A926" s="26" t="str">
        <x:v>JAMAICA</x:v>
      </x:c>
      <x:c r="B926" s="27" t="str">
        <x:v>IDA</x:v>
      </x:c>
      <x:c r="C926" s="193" t="n">
        <x:v>0.14</x:v>
      </x:c>
      <x:c r="D926" s="193" t="n">
        <x:v>0.14</x:v>
      </x:c>
      <x:c r="E926" s="185"/>
      <x:c r="F926" s="27" t="n">
        <x:f t="shared" si="14"/>
        <x:v>5</x:v>
      </x:c>
      <x:c r="G926" s="27" t="str">
        <x:v>Country</x:v>
      </x:c>
      <x:c r="H926" s="27" t="str">
        <x:v>Member</x:v>
      </x:c>
      <x:c r="I926" s="30" t="str">
        <x:v>Universal</x:v>
      </x:c>
      <x:c r="J926" s="151" t="str">
        <x:v>Institution-specific published voting measure</x:v>
      </x:c>
      <x:c r="K926" s="196"/>
      <x:c r="L926" s="196"/>
    </x:row>
    <x:row r="927">
      <x:c r="A927" s="31" t="str">
        <x:v>JAPAN</x:v>
      </x:c>
      <x:c r="B927" s="32" t="str">
        <x:v>IDA</x:v>
      </x:c>
      <x:c r="C927" s="194" t="n">
        <x:v>7.25</x:v>
      </x:c>
      <x:c r="D927" s="194" t="n">
        <x:v>7.25</x:v>
      </x:c>
      <x:c r="E927" s="186"/>
      <x:c r="F927" s="32" t="n">
        <x:f t="shared" si="14"/>
        <x:v>6</x:v>
      </x:c>
      <x:c r="G927" s="32" t="str">
        <x:v>Country</x:v>
      </x:c>
      <x:c r="H927" s="32" t="str">
        <x:v>Member</x:v>
      </x:c>
      <x:c r="I927" s="35" t="str">
        <x:v>Universal</x:v>
      </x:c>
      <x:c r="J927" s="151" t="str">
        <x:v>Institution-specific published voting measure</x:v>
      </x:c>
      <x:c r="K927" s="196"/>
      <x:c r="L927" s="196"/>
    </x:row>
    <x:row r="928">
      <x:c r="A928" s="26" t="str">
        <x:v>JORDAN</x:v>
      </x:c>
      <x:c r="B928" s="27" t="str">
        <x:v>IDA</x:v>
      </x:c>
      <x:c r="C928" s="193" t="n">
        <x:v>0.08</x:v>
      </x:c>
      <x:c r="D928" s="193" t="n">
        <x:v>0.08</x:v>
      </x:c>
      <x:c r="E928" s="185"/>
      <x:c r="F928" s="27" t="n">
        <x:f t="shared" si="14"/>
        <x:v>6</x:v>
      </x:c>
      <x:c r="G928" s="27" t="str">
        <x:v>Country</x:v>
      </x:c>
      <x:c r="H928" s="27" t="str">
        <x:v>Member</x:v>
      </x:c>
      <x:c r="I928" s="30" t="str">
        <x:v>Universal</x:v>
      </x:c>
      <x:c r="J928" s="151" t="str">
        <x:v>Institution-specific published voting measure</x:v>
      </x:c>
      <x:c r="K928" s="196"/>
      <x:c r="L928" s="196"/>
    </x:row>
    <x:row r="929">
      <x:c r="A929" s="31" t="str">
        <x:v>KAZAKHSTAN</x:v>
      </x:c>
      <x:c r="B929" s="32" t="str">
        <x:v>IDA</x:v>
      </x:c>
      <x:c r="C929" s="194" t="n">
        <x:v>0.17</x:v>
      </x:c>
      <x:c r="D929" s="194" t="n">
        <x:v>0.17</x:v>
      </x:c>
      <x:c r="E929" s="186"/>
      <x:c r="F929" s="32" t="n">
        <x:f t="shared" si="14"/>
        <x:v>6</x:v>
      </x:c>
      <x:c r="G929" s="32" t="str">
        <x:v>Country</x:v>
      </x:c>
      <x:c r="H929" s="32" t="str">
        <x:v>Member</x:v>
      </x:c>
      <x:c r="I929" s="35" t="str">
        <x:v>Universal</x:v>
      </x:c>
      <x:c r="J929" s="151" t="str">
        <x:v>Institution-specific published voting measure</x:v>
      </x:c>
      <x:c r="K929" s="196"/>
      <x:c r="L929" s="196"/>
    </x:row>
    <x:row r="930">
      <x:c r="A930" s="26" t="str">
        <x:v>KENYA</x:v>
      </x:c>
      <x:c r="B930" s="27" t="str">
        <x:v>IDA</x:v>
      </x:c>
      <x:c r="C930" s="193" t="n">
        <x:v>0.15</x:v>
      </x:c>
      <x:c r="D930" s="193" t="n">
        <x:v>0.15</x:v>
      </x:c>
      <x:c r="E930" s="185"/>
      <x:c r="F930" s="27" t="n">
        <x:f t="shared" si="14"/>
        <x:v>4</x:v>
      </x:c>
      <x:c r="G930" s="27" t="str">
        <x:v>Country</x:v>
      </x:c>
      <x:c r="H930" s="27" t="str">
        <x:v>Member</x:v>
      </x:c>
      <x:c r="I930" s="30" t="str">
        <x:v>Universal</x:v>
      </x:c>
      <x:c r="J930" s="151" t="str">
        <x:v>Institution-specific published voting measure</x:v>
      </x:c>
      <x:c r="K930" s="196"/>
      <x:c r="L930" s="196"/>
    </x:row>
    <x:row r="931">
      <x:c r="A931" s="31" t="str">
        <x:v>KIRIBATI</x:v>
      </x:c>
      <x:c r="B931" s="32" t="str">
        <x:v>IDA</x:v>
      </x:c>
      <x:c r="C931" s="194" t="n">
        <x:v>0.03</x:v>
      </x:c>
      <x:c r="D931" s="194" t="n">
        <x:v>0.03</x:v>
      </x:c>
      <x:c r="E931" s="186"/>
      <x:c r="F931" s="32" t="n">
        <x:f t="shared" si="14"/>
        <x:v>3</x:v>
      </x:c>
      <x:c r="G931" s="32" t="str">
        <x:v>Country</x:v>
      </x:c>
      <x:c r="H931" s="32" t="str">
        <x:v>Member</x:v>
      </x:c>
      <x:c r="I931" s="35" t="str">
        <x:v>Universal</x:v>
      </x:c>
      <x:c r="J931" s="151" t="str">
        <x:v>Institution-specific published voting measure</x:v>
      </x:c>
      <x:c r="K931" s="196"/>
      <x:c r="L931" s="196"/>
    </x:row>
    <x:row r="932">
      <x:c r="A932" s="26" t="str">
        <x:v>KOREA, REPUBLIC OF</x:v>
      </x:c>
      <x:c r="B932" s="27" t="str">
        <x:v>IDA</x:v>
      </x:c>
      <x:c r="C932" s="193" t="n">
        <x:v>1.64</x:v>
      </x:c>
      <x:c r="D932" s="193" t="n">
        <x:v>1.64</x:v>
      </x:c>
      <x:c r="E932" s="185"/>
      <x:c r="F932" s="27" t="n">
        <x:f t="shared" si="14"/>
        <x:v>8</x:v>
      </x:c>
      <x:c r="G932" s="27" t="str">
        <x:v>Country</x:v>
      </x:c>
      <x:c r="H932" s="27" t="str">
        <x:v>Member</x:v>
      </x:c>
      <x:c r="I932" s="30" t="str">
        <x:v>Universal</x:v>
      </x:c>
      <x:c r="J932" s="151" t="str">
        <x:v>Institution-specific published voting measure</x:v>
      </x:c>
      <x:c r="K932" s="196"/>
      <x:c r="L932" s="196"/>
    </x:row>
    <x:row r="933">
      <x:c r="A933" s="31" t="str">
        <x:v>KOSOVO</x:v>
      </x:c>
      <x:c r="B933" s="32" t="str">
        <x:v>IDA</x:v>
      </x:c>
      <x:c r="C933" s="194" t="n">
        <x:v>0.06</x:v>
      </x:c>
      <x:c r="D933" s="194" t="n">
        <x:v>0.06</x:v>
      </x:c>
      <x:c r="E933" s="186"/>
      <x:c r="F933" s="32" t="n">
        <x:f t="shared" si="14"/>
        <x:v>3</x:v>
      </x:c>
      <x:c r="G933" s="32" t="str">
        <x:v>Country</x:v>
      </x:c>
      <x:c r="H933" s="32" t="str">
        <x:v>Member</x:v>
      </x:c>
      <x:c r="I933" s="35" t="str">
        <x:v>Universal</x:v>
      </x:c>
      <x:c r="J933" s="151" t="str">
        <x:v>Institution-specific published voting measure</x:v>
      </x:c>
      <x:c r="K933" s="196"/>
      <x:c r="L933" s="196"/>
    </x:row>
    <x:row r="934">
      <x:c r="A934" s="26" t="str">
        <x:v>KUWAIT</x:v>
      </x:c>
      <x:c r="B934" s="27" t="str">
        <x:v>IDA</x:v>
      </x:c>
      <x:c r="C934" s="193" t="n">
        <x:v>0.81</x:v>
      </x:c>
      <x:c r="D934" s="193" t="n">
        <x:v>0.81</x:v>
      </x:c>
      <x:c r="E934" s="185"/>
      <x:c r="F934" s="27" t="n">
        <x:f t="shared" si="14"/>
        <x:v>5</x:v>
      </x:c>
      <x:c r="G934" s="27" t="str">
        <x:v>Country</x:v>
      </x:c>
      <x:c r="H934" s="27" t="str">
        <x:v>Member</x:v>
      </x:c>
      <x:c r="I934" s="30" t="str">
        <x:v>Universal</x:v>
      </x:c>
      <x:c r="J934" s="151" t="str">
        <x:v>Institution-specific published voting measure</x:v>
      </x:c>
      <x:c r="K934" s="196"/>
      <x:c r="L934" s="196"/>
    </x:row>
    <x:row r="935">
      <x:c r="A935" s="31" t="str">
        <x:v>KYRGYZ REPUBLIC</x:v>
      </x:c>
      <x:c r="B935" s="32" t="str">
        <x:v>IDA</x:v>
      </x:c>
      <x:c r="C935" s="194" t="n">
        <x:v>0.05</x:v>
      </x:c>
      <x:c r="D935" s="194" t="n">
        <x:v>0.05</x:v>
      </x:c>
      <x:c r="E935" s="186"/>
      <x:c r="F935" s="32" t="n">
        <x:f t="shared" si="14"/>
        <x:v>6</x:v>
      </x:c>
      <x:c r="G935" s="32" t="str">
        <x:v>Country</x:v>
      </x:c>
      <x:c r="H935" s="32" t="str">
        <x:v>Member</x:v>
      </x:c>
      <x:c r="I935" s="35" t="str">
        <x:v>Universal</x:v>
      </x:c>
      <x:c r="J935" s="151" t="str">
        <x:v>Institution-specific published voting measure</x:v>
      </x:c>
      <x:c r="K935" s="196"/>
      <x:c r="L935" s="196"/>
    </x:row>
    <x:row r="936">
      <x:c r="A936" s="26" t="str">
        <x:v>LAO PEOPLE'S DEMOCRATIC REPUBLIC</x:v>
      </x:c>
      <x:c r="B936" s="27" t="str">
        <x:v>IDA</x:v>
      </x:c>
      <x:c r="C936" s="193" t="n">
        <x:v>0.01</x:v>
      </x:c>
      <x:c r="D936" s="193" t="n">
        <x:v>0.01</x:v>
      </x:c>
      <x:c r="E936" s="185"/>
      <x:c r="F936" s="27" t="n">
        <x:f t="shared" si="14"/>
        <x:v>3</x:v>
      </x:c>
      <x:c r="G936" s="27" t="str">
        <x:v>Country</x:v>
      </x:c>
      <x:c r="H936" s="27" t="str">
        <x:v>Member</x:v>
      </x:c>
      <x:c r="I936" s="30" t="str">
        <x:v>Universal</x:v>
      </x:c>
      <x:c r="J936" s="151" t="str">
        <x:v>Institution-specific published voting measure</x:v>
      </x:c>
      <x:c r="K936" s="196"/>
      <x:c r="L936" s="196"/>
    </x:row>
    <x:row r="937">
      <x:c r="A937" s="31" t="str">
        <x:v>LATVIA</x:v>
      </x:c>
      <x:c r="B937" s="32" t="str">
        <x:v>IDA</x:v>
      </x:c>
      <x:c r="C937" s="194" t="n">
        <x:v>0.07</x:v>
      </x:c>
      <x:c r="D937" s="194" t="n">
        <x:v>0.07</x:v>
      </x:c>
      <x:c r="E937" s="186"/>
      <x:c r="F937" s="32" t="n">
        <x:f t="shared" si="14"/>
        <x:v>4</x:v>
      </x:c>
      <x:c r="G937" s="32" t="str">
        <x:v>Country</x:v>
      </x:c>
      <x:c r="H937" s="32" t="str">
        <x:v>Member</x:v>
      </x:c>
      <x:c r="I937" s="35" t="str">
        <x:v>Universal</x:v>
      </x:c>
      <x:c r="J937" s="151" t="str">
        <x:v>Institution-specific published voting measure</x:v>
      </x:c>
      <x:c r="K937" s="196"/>
      <x:c r="L937" s="196"/>
    </x:row>
    <x:row r="938">
      <x:c r="A938" s="26" t="str">
        <x:v>LEBANON</x:v>
      </x:c>
      <x:c r="B938" s="27" t="str">
        <x:v>IDA</x:v>
      </x:c>
      <x:c r="C938" s="193" t="n">
        <x:v>0.04</x:v>
      </x:c>
      <x:c r="D938" s="193" t="n">
        <x:v>0.04</x:v>
      </x:c>
      <x:c r="E938" s="185"/>
      <x:c r="F938" s="27" t="n">
        <x:f t="shared" si="14"/>
        <x:v>5</x:v>
      </x:c>
      <x:c r="G938" s="27" t="str">
        <x:v>Country</x:v>
      </x:c>
      <x:c r="H938" s="27" t="str">
        <x:v>Member</x:v>
      </x:c>
      <x:c r="I938" s="30" t="str">
        <x:v>Universal</x:v>
      </x:c>
      <x:c r="J938" s="151" t="str">
        <x:v>Institution-specific published voting measure</x:v>
      </x:c>
      <x:c r="K938" s="196"/>
      <x:c r="L938" s="196"/>
    </x:row>
    <x:row r="939">
      <x:c r="A939" s="31" t="str">
        <x:v>LESOTHO</x:v>
      </x:c>
      <x:c r="B939" s="32" t="str">
        <x:v>IDA</x:v>
      </x:c>
      <x:c r="C939" s="194" t="n">
        <x:v>0.04</x:v>
      </x:c>
      <x:c r="D939" s="194" t="n">
        <x:v>0.04</x:v>
      </x:c>
      <x:c r="E939" s="186"/>
      <x:c r="F939" s="32" t="n">
        <x:f t="shared" si="14"/>
        <x:v>3</x:v>
      </x:c>
      <x:c r="G939" s="32" t="str">
        <x:v>Country</x:v>
      </x:c>
      <x:c r="H939" s="32" t="str">
        <x:v>Member</x:v>
      </x:c>
      <x:c r="I939" s="35" t="str">
        <x:v>Universal</x:v>
      </x:c>
      <x:c r="J939" s="151" t="str">
        <x:v>Institution-specific published voting measure</x:v>
      </x:c>
      <x:c r="K939" s="196"/>
      <x:c r="L939" s="196"/>
    </x:row>
    <x:row r="940">
      <x:c r="A940" s="26" t="str">
        <x:v>LIBERIA</x:v>
      </x:c>
      <x:c r="B940" s="27" t="str">
        <x:v>IDA</x:v>
      </x:c>
      <x:c r="C940" s="193" t="n">
        <x:v>0.03</x:v>
      </x:c>
      <x:c r="D940" s="193" t="n">
        <x:v>0.03</x:v>
      </x:c>
      <x:c r="E940" s="185"/>
      <x:c r="F940" s="27" t="n">
        <x:f t="shared" si="14"/>
        <x:v>4</x:v>
      </x:c>
      <x:c r="G940" s="27" t="str">
        <x:v>Country</x:v>
      </x:c>
      <x:c r="H940" s="27" t="str">
        <x:v>Member</x:v>
      </x:c>
      <x:c r="I940" s="30" t="str">
        <x:v>Universal</x:v>
      </x:c>
      <x:c r="J940" s="151" t="str">
        <x:v>Institution-specific published voting measure</x:v>
      </x:c>
      <x:c r="K940" s="196"/>
      <x:c r="L940" s="196"/>
    </x:row>
    <x:row r="941">
      <x:c r="A941" s="31" t="str">
        <x:v>LIBYA</x:v>
      </x:c>
      <x:c r="B941" s="32" t="str">
        <x:v>IDA</x:v>
      </x:c>
      <x:c r="C941" s="194" t="n">
        <x:v>0.42</x:v>
      </x:c>
      <x:c r="D941" s="194" t="n">
        <x:v>0.42</x:v>
      </x:c>
      <x:c r="E941" s="186"/>
      <x:c r="F941" s="32" t="n">
        <x:f t="shared" si="14"/>
        <x:v>7</x:v>
      </x:c>
      <x:c r="G941" s="32" t="str">
        <x:v>Country</x:v>
      </x:c>
      <x:c r="H941" s="32" t="str">
        <x:v>Member</x:v>
      </x:c>
      <x:c r="I941" s="35" t="str">
        <x:v>Universal</x:v>
      </x:c>
      <x:c r="J941" s="151" t="str">
        <x:v>Institution-specific published voting measure</x:v>
      </x:c>
      <x:c r="K941" s="196"/>
      <x:c r="L941" s="196"/>
    </x:row>
    <x:row r="942">
      <x:c r="A942" s="26" t="str">
        <x:v>LITHUANIA</x:v>
      </x:c>
      <x:c r="B942" s="27" t="str">
        <x:v>IDA</x:v>
      </x:c>
      <x:c r="C942" s="193" t="n">
        <x:v>0.08</x:v>
      </x:c>
      <x:c r="D942" s="193" t="n">
        <x:v>0.08</x:v>
      </x:c>
      <x:c r="E942" s="185"/>
      <x:c r="F942" s="27" t="n">
        <x:f t="shared" si="14"/>
        <x:v>4</x:v>
      </x:c>
      <x:c r="G942" s="27" t="str">
        <x:v>Country</x:v>
      </x:c>
      <x:c r="H942" s="27" t="str">
        <x:v>Member</x:v>
      </x:c>
      <x:c r="I942" s="30" t="str">
        <x:v>Universal</x:v>
      </x:c>
      <x:c r="J942" s="151" t="str">
        <x:v>Institution-specific published voting measure</x:v>
      </x:c>
      <x:c r="K942" s="196"/>
      <x:c r="L942" s="196"/>
    </x:row>
    <x:row r="943">
      <x:c r="A943" s="31" t="str">
        <x:v>LUXEMBOURG</x:v>
      </x:c>
      <x:c r="B943" s="32" t="str">
        <x:v>IDA</x:v>
      </x:c>
      <x:c r="C943" s="194" t="n">
        <x:v>0.1</x:v>
      </x:c>
      <x:c r="D943" s="194" t="n">
        <x:v>0.1</x:v>
      </x:c>
      <x:c r="E943" s="186"/>
      <x:c r="F943" s="32" t="n">
        <x:f t="shared" si="14"/>
        <x:v>7</x:v>
      </x:c>
      <x:c r="G943" s="32" t="str">
        <x:v>Country</x:v>
      </x:c>
      <x:c r="H943" s="32" t="str">
        <x:v>Member</x:v>
      </x:c>
      <x:c r="I943" s="35" t="str">
        <x:v>Universal</x:v>
      </x:c>
      <x:c r="J943" s="151" t="str">
        <x:v>Institution-specific published voting measure</x:v>
      </x:c>
      <x:c r="K943" s="196"/>
      <x:c r="L943" s="196"/>
    </x:row>
    <x:row r="944">
      <x:c r="A944" s="26" t="str">
        <x:v>MADAGASCAR</x:v>
      </x:c>
      <x:c r="B944" s="27" t="str">
        <x:v>IDA</x:v>
      </x:c>
      <x:c r="C944" s="193" t="n">
        <x:v>0.09</x:v>
      </x:c>
      <x:c r="D944" s="193" t="n">
        <x:v>0.09</x:v>
      </x:c>
      <x:c r="E944" s="185"/>
      <x:c r="F944" s="27" t="n">
        <x:f t="shared" si="14"/>
        <x:v>4</x:v>
      </x:c>
      <x:c r="G944" s="27" t="str">
        <x:v>Country</x:v>
      </x:c>
      <x:c r="H944" s="27" t="str">
        <x:v>Member</x:v>
      </x:c>
      <x:c r="I944" s="30" t="str">
        <x:v>Universal</x:v>
      </x:c>
      <x:c r="J944" s="151" t="str">
        <x:v>Institution-specific published voting measure</x:v>
      </x:c>
      <x:c r="K944" s="196"/>
      <x:c r="L944" s="196"/>
    </x:row>
    <x:row r="945">
      <x:c r="A945" s="31" t="str">
        <x:v>MALAWI</x:v>
      </x:c>
      <x:c r="B945" s="32" t="str">
        <x:v>IDA</x:v>
      </x:c>
      <x:c r="C945" s="194" t="n">
        <x:v>0.06</x:v>
      </x:c>
      <x:c r="D945" s="194" t="n">
        <x:v>0.06</x:v>
      </x:c>
      <x:c r="E945" s="186"/>
      <x:c r="F945" s="32" t="n">
        <x:f t="shared" si="14"/>
        <x:v>3</x:v>
      </x:c>
      <x:c r="G945" s="32" t="str">
        <x:v>Country</x:v>
      </x:c>
      <x:c r="H945" s="32" t="str">
        <x:v>Member</x:v>
      </x:c>
      <x:c r="I945" s="35" t="str">
        <x:v>Universal</x:v>
      </x:c>
      <x:c r="J945" s="151" t="str">
        <x:v>Institution-specific published voting measure</x:v>
      </x:c>
      <x:c r="K945" s="196"/>
      <x:c r="L945" s="196"/>
    </x:row>
    <x:row r="946">
      <x:c r="A946" s="26" t="str">
        <x:v>MALAYSIA</x:v>
      </x:c>
      <x:c r="B946" s="27" t="str">
        <x:v>IDA</x:v>
      </x:c>
      <x:c r="C946" s="193" t="n">
        <x:v>0.38</x:v>
      </x:c>
      <x:c r="D946" s="193" t="n">
        <x:v>0.38</x:v>
      </x:c>
      <x:c r="E946" s="185"/>
      <x:c r="F946" s="27" t="n">
        <x:f t="shared" si="14"/>
        <x:v>5</x:v>
      </x:c>
      <x:c r="G946" s="27" t="str">
        <x:v>Country</x:v>
      </x:c>
      <x:c r="H946" s="27" t="str">
        <x:v>Member</x:v>
      </x:c>
      <x:c r="I946" s="30" t="str">
        <x:v>Universal</x:v>
      </x:c>
      <x:c r="J946" s="151" t="str">
        <x:v>Institution-specific published voting measure</x:v>
      </x:c>
      <x:c r="K946" s="196"/>
      <x:c r="L946" s="196"/>
    </x:row>
    <x:row r="947">
      <x:c r="A947" s="31" t="str">
        <x:v>MALDIVES</x:v>
      </x:c>
      <x:c r="B947" s="32" t="str">
        <x:v>IDA</x:v>
      </x:c>
      <x:c r="C947" s="194" t="n">
        <x:v>0.02</x:v>
      </x:c>
      <x:c r="D947" s="194" t="n">
        <x:v>0.02</x:v>
      </x:c>
      <x:c r="E947" s="186"/>
      <x:c r="F947" s="32" t="n">
        <x:f t="shared" si="14"/>
        <x:v>5</x:v>
      </x:c>
      <x:c r="G947" s="32" t="str">
        <x:v>Country</x:v>
      </x:c>
      <x:c r="H947" s="32" t="str">
        <x:v>Member</x:v>
      </x:c>
      <x:c r="I947" s="35" t="str">
        <x:v>Universal</x:v>
      </x:c>
      <x:c r="J947" s="151" t="str">
        <x:v>Institution-specific published voting measure</x:v>
      </x:c>
      <x:c r="K947" s="196"/>
      <x:c r="L947" s="196"/>
    </x:row>
    <x:row r="948">
      <x:c r="A948" s="26" t="str">
        <x:v>MALI</x:v>
      </x:c>
      <x:c r="B948" s="27" t="str">
        <x:v>IDA</x:v>
      </x:c>
      <x:c r="C948" s="193" t="n">
        <x:v>0.07</x:v>
      </x:c>
      <x:c r="D948" s="193" t="n">
        <x:v>0.07</x:v>
      </x:c>
      <x:c r="E948" s="185"/>
      <x:c r="F948" s="27" t="n">
        <x:f t="shared" si="14"/>
        <x:v>4</x:v>
      </x:c>
      <x:c r="G948" s="27" t="str">
        <x:v>Country</x:v>
      </x:c>
      <x:c r="H948" s="27" t="str">
        <x:v>Member</x:v>
      </x:c>
      <x:c r="I948" s="30" t="str">
        <x:v>Universal</x:v>
      </x:c>
      <x:c r="J948" s="151" t="str">
        <x:v>Institution-specific published voting measure</x:v>
      </x:c>
      <x:c r="K948" s="196"/>
      <x:c r="L948" s="196"/>
    </x:row>
    <x:row r="949">
      <x:c r="A949" s="31" t="str">
        <x:v>MALTA</x:v>
      </x:c>
      <x:c r="B949" s="32" t="str">
        <x:v>IDA</x:v>
      </x:c>
      <x:c r="C949" s="194" t="n">
        <x:v>0.06</x:v>
      </x:c>
      <x:c r="D949" s="194" t="n">
        <x:v>0.06</x:v>
      </x:c>
      <x:c r="E949" s="186"/>
      <x:c r="F949" s="32" t="n">
        <x:f t="shared" si="14"/>
        <x:v>5</x:v>
      </x:c>
      <x:c r="G949" s="32" t="str">
        <x:v>Country</x:v>
      </x:c>
      <x:c r="H949" s="32" t="str">
        <x:v>Member</x:v>
      </x:c>
      <x:c r="I949" s="35" t="str">
        <x:v>Universal</x:v>
      </x:c>
      <x:c r="J949" s="151" t="str">
        <x:v>Institution-specific published voting measure</x:v>
      </x:c>
      <x:c r="K949" s="196"/>
      <x:c r="L949" s="196"/>
    </x:row>
    <x:row r="950">
      <x:c r="A950" s="26" t="str">
        <x:v>MARSHALL ISLANDS</x:v>
      </x:c>
      <x:c r="B950" s="27" t="str">
        <x:v>IDA</x:v>
      </x:c>
      <x:c r="C950" s="193" t="n">
        <x:v>0.02</x:v>
      </x:c>
      <x:c r="D950" s="193" t="n">
        <x:v>0.02</x:v>
      </x:c>
      <x:c r="E950" s="185"/>
      <x:c r="F950" s="27" t="n">
        <x:f t="shared" si="14"/>
        <x:v>3</x:v>
      </x:c>
      <x:c r="G950" s="27" t="str">
        <x:v>Country</x:v>
      </x:c>
      <x:c r="H950" s="27" t="str">
        <x:v>Member</x:v>
      </x:c>
      <x:c r="I950" s="30" t="str">
        <x:v>Universal</x:v>
      </x:c>
      <x:c r="J950" s="151" t="str">
        <x:v>Institution-specific published voting measure</x:v>
      </x:c>
      <x:c r="K950" s="196"/>
      <x:c r="L950" s="196"/>
    </x:row>
    <x:row r="951">
      <x:c r="A951" s="31" t="str">
        <x:v>MAURITANIA</x:v>
      </x:c>
      <x:c r="B951" s="32" t="str">
        <x:v>IDA</x:v>
      </x:c>
      <x:c r="C951" s="194" t="n">
        <x:v>0.06</x:v>
      </x:c>
      <x:c r="D951" s="194" t="n">
        <x:v>0.06</x:v>
      </x:c>
      <x:c r="E951" s="186"/>
      <x:c r="F951" s="32" t="n">
        <x:f t="shared" si="14"/>
        <x:v>5</x:v>
      </x:c>
      <x:c r="G951" s="32" t="str">
        <x:v>Country</x:v>
      </x:c>
      <x:c r="H951" s="32" t="str">
        <x:v>Member</x:v>
      </x:c>
      <x:c r="I951" s="35" t="str">
        <x:v>Universal</x:v>
      </x:c>
      <x:c r="J951" s="151" t="str">
        <x:v>Institution-specific published voting measure</x:v>
      </x:c>
      <x:c r="K951" s="196"/>
      <x:c r="L951" s="196"/>
    </x:row>
    <x:row r="952">
      <x:c r="A952" s="26" t="str">
        <x:v>MAURITIUS</x:v>
      </x:c>
      <x:c r="B952" s="27" t="str">
        <x:v>IDA</x:v>
      </x:c>
      <x:c r="C952" s="193" t="n">
        <x:v>0.06</x:v>
      </x:c>
      <x:c r="D952" s="193" t="n">
        <x:v>0.06</x:v>
      </x:c>
      <x:c r="E952" s="185"/>
      <x:c r="F952" s="27" t="n">
        <x:f t="shared" si="14"/>
        <x:v>3</x:v>
      </x:c>
      <x:c r="G952" s="27" t="str">
        <x:v>Country</x:v>
      </x:c>
      <x:c r="H952" s="27" t="str">
        <x:v>Member</x:v>
      </x:c>
      <x:c r="I952" s="30" t="str">
        <x:v>Universal</x:v>
      </x:c>
      <x:c r="J952" s="151" t="str">
        <x:v>Institution-specific published voting measure</x:v>
      </x:c>
      <x:c r="K952" s="196"/>
      <x:c r="L952" s="196"/>
    </x:row>
    <x:row r="953">
      <x:c r="A953" s="31" t="str">
        <x:v>MEXICO</x:v>
      </x:c>
      <x:c r="B953" s="32" t="str">
        <x:v>IDA</x:v>
      </x:c>
      <x:c r="C953" s="194" t="n">
        <x:v>1.73</x:v>
      </x:c>
      <x:c r="D953" s="194" t="n">
        <x:v>1.73</x:v>
      </x:c>
      <x:c r="E953" s="186"/>
      <x:c r="F953" s="32" t="n">
        <x:f t="shared" si="14"/>
        <x:v>7</x:v>
      </x:c>
      <x:c r="G953" s="32" t="str">
        <x:v>Country</x:v>
      </x:c>
      <x:c r="H953" s="32" t="str">
        <x:v>Member</x:v>
      </x:c>
      <x:c r="I953" s="35" t="str">
        <x:v>Universal</x:v>
      </x:c>
      <x:c r="J953" s="151" t="str">
        <x:v>Institution-specific published voting measure</x:v>
      </x:c>
      <x:c r="K953" s="196"/>
      <x:c r="L953" s="196"/>
    </x:row>
    <x:row r="954">
      <x:c r="A954" s="26" t="str">
        <x:v>MICRONESIA, FEDERATED STATES OF</x:v>
      </x:c>
      <x:c r="B954" s="27" t="str">
        <x:v>IDA</x:v>
      </x:c>
      <x:c r="C954" s="193" t="n">
        <x:v>0.02</x:v>
      </x:c>
      <x:c r="D954" s="193" t="n">
        <x:v>0.02</x:v>
      </x:c>
      <x:c r="E954" s="185"/>
      <x:c r="F954" s="27" t="n">
        <x:f t="shared" si="14"/>
        <x:v>3</x:v>
      </x:c>
      <x:c r="G954" s="27" t="str">
        <x:v>Country</x:v>
      </x:c>
      <x:c r="H954" s="27" t="str">
        <x:v>Member</x:v>
      </x:c>
      <x:c r="I954" s="30" t="str">
        <x:v>Universal</x:v>
      </x:c>
      <x:c r="J954" s="151" t="str">
        <x:v>Institution-specific published voting measure</x:v>
      </x:c>
      <x:c r="K954" s="196"/>
      <x:c r="L954" s="196"/>
    </x:row>
    <x:row r="955">
      <x:c r="A955" s="31" t="str">
        <x:v>MOLDOVA</x:v>
      </x:c>
      <x:c r="B955" s="32" t="str">
        <x:v>IDA</x:v>
      </x:c>
      <x:c r="C955" s="194" t="n">
        <x:v>0.09</x:v>
      </x:c>
      <x:c r="D955" s="194" t="n">
        <x:v>0.09</x:v>
      </x:c>
      <x:c r="E955" s="186"/>
      <x:c r="F955" s="32" t="n">
        <x:f t="shared" si="14"/>
        <x:v>3</x:v>
      </x:c>
      <x:c r="G955" s="32" t="str">
        <x:v>Country</x:v>
      </x:c>
      <x:c r="H955" s="32" t="str">
        <x:v>Member</x:v>
      </x:c>
      <x:c r="I955" s="35" t="str">
        <x:v>Universal</x:v>
      </x:c>
      <x:c r="J955" s="151" t="str">
        <x:v>Institution-specific published voting measure</x:v>
      </x:c>
      <x:c r="K955" s="196"/>
      <x:c r="L955" s="196"/>
    </x:row>
    <x:row r="956">
      <x:c r="A956" s="26" t="str">
        <x:v>MONGOLIA</x:v>
      </x:c>
      <x:c r="B956" s="27" t="str">
        <x:v>IDA</x:v>
      </x:c>
      <x:c r="C956" s="193" t="n">
        <x:v>0.03</x:v>
      </x:c>
      <x:c r="D956" s="193" t="n">
        <x:v>0.03</x:v>
      </x:c>
      <x:c r="E956" s="185"/>
      <x:c r="F956" s="27" t="n">
        <x:f t="shared" si="14"/>
        <x:v>5</x:v>
      </x:c>
      <x:c r="G956" s="27" t="str">
        <x:v>Country</x:v>
      </x:c>
      <x:c r="H956" s="27" t="str">
        <x:v>Member</x:v>
      </x:c>
      <x:c r="I956" s="30" t="str">
        <x:v>Universal</x:v>
      </x:c>
      <x:c r="J956" s="151" t="str">
        <x:v>Institution-specific published voting measure</x:v>
      </x:c>
      <x:c r="K956" s="196"/>
      <x:c r="L956" s="196"/>
    </x:row>
    <x:row r="957">
      <x:c r="A957" s="31" t="str">
        <x:v>MONTENEGRO</x:v>
      </x:c>
      <x:c r="B957" s="32" t="str">
        <x:v>IDA</x:v>
      </x:c>
      <x:c r="C957" s="194" t="n">
        <x:v>0.04</x:v>
      </x:c>
      <x:c r="D957" s="194" t="n">
        <x:v>0.04</x:v>
      </x:c>
      <x:c r="E957" s="186"/>
      <x:c r="F957" s="32" t="n">
        <x:f t="shared" si="14"/>
        <x:v>3</x:v>
      </x:c>
      <x:c r="G957" s="32" t="str">
        <x:v>Country</x:v>
      </x:c>
      <x:c r="H957" s="32" t="str">
        <x:v>Member</x:v>
      </x:c>
      <x:c r="I957" s="35" t="str">
        <x:v>Universal</x:v>
      </x:c>
      <x:c r="J957" s="151" t="str">
        <x:v>Institution-specific published voting measure</x:v>
      </x:c>
      <x:c r="K957" s="196"/>
      <x:c r="L957" s="196"/>
    </x:row>
    <x:row r="958">
      <x:c r="A958" s="26" t="str">
        <x:v>MOROCCO</x:v>
      </x:c>
      <x:c r="B958" s="27" t="str">
        <x:v>IDA</x:v>
      </x:c>
      <x:c r="C958" s="193" t="n">
        <x:v>0.29</x:v>
      </x:c>
      <x:c r="D958" s="193" t="n">
        <x:v>0.29</x:v>
      </x:c>
      <x:c r="E958" s="185"/>
      <x:c r="F958" s="27" t="n">
        <x:f t="shared" si="14"/>
        <x:v>7</x:v>
      </x:c>
      <x:c r="G958" s="27" t="str">
        <x:v>Country</x:v>
      </x:c>
      <x:c r="H958" s="27" t="str">
        <x:v>Member</x:v>
      </x:c>
      <x:c r="I958" s="30" t="str">
        <x:v>Universal</x:v>
      </x:c>
      <x:c r="J958" s="151" t="str">
        <x:v>Institution-specific published voting measure</x:v>
      </x:c>
      <x:c r="K958" s="196"/>
      <x:c r="L958" s="196"/>
    </x:row>
    <x:row r="959">
      <x:c r="A959" s="31" t="str">
        <x:v>MOZAMBIQUE</x:v>
      </x:c>
      <x:c r="B959" s="32" t="str">
        <x:v>IDA</x:v>
      </x:c>
      <x:c r="C959" s="194" t="n">
        <x:v>0.05</x:v>
      </x:c>
      <x:c r="D959" s="194" t="n">
        <x:v>0.05</x:v>
      </x:c>
      <x:c r="E959" s="186"/>
      <x:c r="F959" s="32" t="n">
        <x:f t="shared" si="14"/>
        <x:v>4</x:v>
      </x:c>
      <x:c r="G959" s="32" t="str">
        <x:v>Country</x:v>
      </x:c>
      <x:c r="H959" s="32" t="str">
        <x:v>Member</x:v>
      </x:c>
      <x:c r="I959" s="35" t="str">
        <x:v>Universal</x:v>
      </x:c>
      <x:c r="J959" s="151" t="str">
        <x:v>Institution-specific published voting measure</x:v>
      </x:c>
      <x:c r="K959" s="196"/>
      <x:c r="L959" s="196"/>
    </x:row>
    <x:row r="960">
      <x:c r="A960" s="26" t="str">
        <x:v>MYANMAR</x:v>
      </x:c>
      <x:c r="B960" s="27" t="str">
        <x:v>IDA</x:v>
      </x:c>
      <x:c r="C960" s="193" t="n">
        <x:v>0.13</x:v>
      </x:c>
      <x:c r="D960" s="193" t="n">
        <x:v>0.13</x:v>
      </x:c>
      <x:c r="E960" s="185"/>
      <x:c r="F960" s="27" t="n">
        <x:f t="shared" si="14"/>
        <x:v>4</x:v>
      </x:c>
      <x:c r="G960" s="27" t="str">
        <x:v>Country</x:v>
      </x:c>
      <x:c r="H960" s="27" t="str">
        <x:v>Member</x:v>
      </x:c>
      <x:c r="I960" s="30" t="str">
        <x:v>Universal</x:v>
      </x:c>
      <x:c r="J960" s="151" t="str">
        <x:v>Institution-specific published voting measure</x:v>
      </x:c>
      <x:c r="K960" s="196"/>
      <x:c r="L960" s="196"/>
    </x:row>
    <x:row r="961">
      <x:c r="A961" s="31" t="str">
        <x:v>NAMIBIA</x:v>
      </x:c>
      <x:c r="B961" s="32" t="str">
        <x:v>IDA</x:v>
      </x:c>
      <x:c r="C961" s="194" t="n">
        <x:v>0.07</x:v>
      </x:c>
      <x:c r="D961" s="194" t="n">
        <x:v>0.07</x:v>
      </x:c>
      <x:c r="E961" s="186"/>
      <x:c r="F961" s="32" t="n">
        <x:f t="shared" si="14"/>
        <x:v>3</x:v>
      </x:c>
      <x:c r="G961" s="32" t="str">
        <x:v>Country</x:v>
      </x:c>
      <x:c r="H961" s="32" t="str">
        <x:v>Member</x:v>
      </x:c>
      <x:c r="I961" s="35" t="str">
        <x:v>Universal</x:v>
      </x:c>
      <x:c r="J961" s="151" t="str">
        <x:v>Institution-specific published voting measure</x:v>
      </x:c>
      <x:c r="K961" s="196"/>
      <x:c r="L961" s="196"/>
    </x:row>
    <x:row r="962">
      <x:c r="A962" s="26" t="str">
        <x:v>NAURU</x:v>
      </x:c>
      <x:c r="B962" s="27" t="str">
        <x:v>IDA</x:v>
      </x:c>
      <x:c r="C962" s="193" t="n">
        <x:v>0.02</x:v>
      </x:c>
      <x:c r="D962" s="193" t="n">
        <x:v>0.02</x:v>
      </x:c>
      <x:c r="E962" s="185"/>
      <x:c r="F962" s="27" t="n">
        <x:f t="shared" si="14"/>
        <x:v>3</x:v>
      </x:c>
      <x:c r="G962" s="27" t="str">
        <x:v>Country</x:v>
      </x:c>
      <x:c r="H962" s="27" t="str">
        <x:v>Member</x:v>
      </x:c>
      <x:c r="I962" s="30" t="str">
        <x:v>Universal</x:v>
      </x:c>
      <x:c r="J962" s="151" t="str">
        <x:v>Institution-specific published voting measure</x:v>
      </x:c>
      <x:c r="K962" s="196"/>
      <x:c r="L962" s="196"/>
    </x:row>
    <x:row r="963">
      <x:c r="A963" s="31" t="str">
        <x:v>NEPAL</x:v>
      </x:c>
      <x:c r="B963" s="32" t="str">
        <x:v>IDA</x:v>
      </x:c>
      <x:c r="C963" s="194" t="n">
        <x:v>0.06</x:v>
      </x:c>
      <x:c r="D963" s="194" t="n">
        <x:v>0.06</x:v>
      </x:c>
      <x:c r="E963" s="186"/>
      <x:c r="F963" s="32" t="n">
        <x:f t="shared" ref="F963:F1026" si="15">COUNTIF(A963:A1994,A963)</x:f>
        <x:v>1</x:v>
      </x:c>
      <x:c r="G963" s="32" t="str">
        <x:v>Country</x:v>
      </x:c>
      <x:c r="H963" s="32" t="str">
        <x:v>Member</x:v>
      </x:c>
      <x:c r="I963" s="35" t="str">
        <x:v>Universal</x:v>
      </x:c>
      <x:c r="J963" s="151" t="str">
        <x:v>Institution-specific published voting measure</x:v>
      </x:c>
      <x:c r="K963" s="196"/>
      <x:c r="L963" s="196"/>
    </x:row>
    <x:row r="964">
      <x:c r="A964" s="26" t="str">
        <x:v>NETHERLANDS</x:v>
      </x:c>
      <x:c r="B964" s="27" t="str">
        <x:v>IDA</x:v>
      </x:c>
      <x:c r="C964" s="193" t="n">
        <x:v>1.96</x:v>
      </x:c>
      <x:c r="D964" s="193" t="n">
        <x:v>1.96</x:v>
      </x:c>
      <x:c r="E964" s="185"/>
      <x:c r="F964" s="27" t="n">
        <x:f t="shared" si="15"/>
        <x:v>8</x:v>
      </x:c>
      <x:c r="G964" s="27" t="str">
        <x:v>Country</x:v>
      </x:c>
      <x:c r="H964" s="27" t="str">
        <x:v>Member</x:v>
      </x:c>
      <x:c r="I964" s="30" t="str">
        <x:v>Universal</x:v>
      </x:c>
      <x:c r="J964" s="151" t="str">
        <x:v>Institution-specific published voting measure</x:v>
      </x:c>
      <x:c r="K964" s="196"/>
      <x:c r="L964" s="196"/>
    </x:row>
    <x:row r="965">
      <x:c r="A965" s="31" t="str">
        <x:v>NEW ZEALAND</x:v>
      </x:c>
      <x:c r="B965" s="32" t="str">
        <x:v>IDA</x:v>
      </x:c>
      <x:c r="C965" s="194" t="n">
        <x:v>0.41</x:v>
      </x:c>
      <x:c r="D965" s="194" t="n">
        <x:v>0.41</x:v>
      </x:c>
      <x:c r="E965" s="186"/>
      <x:c r="F965" s="32" t="n">
        <x:f t="shared" si="15"/>
        <x:v>5</x:v>
      </x:c>
      <x:c r="G965" s="32" t="str">
        <x:v>Country</x:v>
      </x:c>
      <x:c r="H965" s="32" t="str">
        <x:v>Member</x:v>
      </x:c>
      <x:c r="I965" s="35" t="str">
        <x:v>Universal</x:v>
      </x:c>
      <x:c r="J965" s="151" t="str">
        <x:v>Institution-specific published voting measure</x:v>
      </x:c>
      <x:c r="K965" s="196"/>
      <x:c r="L965" s="196"/>
    </x:row>
    <x:row r="966">
      <x:c r="A966" s="26" t="str">
        <x:v>NICARAGUA</x:v>
      </x:c>
      <x:c r="B966" s="27" t="str">
        <x:v>IDA</x:v>
      </x:c>
      <x:c r="C966" s="193" t="n">
        <x:v>0.04</x:v>
      </x:c>
      <x:c r="D966" s="193" t="n">
        <x:v>0.04</x:v>
      </x:c>
      <x:c r="E966" s="185"/>
      <x:c r="F966" s="27" t="n">
        <x:f t="shared" si="15"/>
        <x:v>4</x:v>
      </x:c>
      <x:c r="G966" s="27" t="str">
        <x:v>Country</x:v>
      </x:c>
      <x:c r="H966" s="27" t="str">
        <x:v>Member</x:v>
      </x:c>
      <x:c r="I966" s="30" t="str">
        <x:v>Universal</x:v>
      </x:c>
      <x:c r="J966" s="151" t="str">
        <x:v>Institution-specific published voting measure</x:v>
      </x:c>
      <x:c r="K966" s="196"/>
      <x:c r="L966" s="196"/>
    </x:row>
    <x:row r="967">
      <x:c r="A967" s="31" t="str">
        <x:v>NIGER</x:v>
      </x:c>
      <x:c r="B967" s="32" t="str">
        <x:v>IDA</x:v>
      </x:c>
      <x:c r="C967" s="194" t="n">
        <x:v>0.05</x:v>
      </x:c>
      <x:c r="D967" s="194" t="n">
        <x:v>0.05</x:v>
      </x:c>
      <x:c r="E967" s="186"/>
      <x:c r="F967" s="32" t="n">
        <x:f t="shared" si="15"/>
        <x:v>4</x:v>
      </x:c>
      <x:c r="G967" s="32" t="str">
        <x:v>Country</x:v>
      </x:c>
      <x:c r="H967" s="32" t="str">
        <x:v>Member</x:v>
      </x:c>
      <x:c r="I967" s="35" t="str">
        <x:v>Universal</x:v>
      </x:c>
      <x:c r="J967" s="151" t="str">
        <x:v>Institution-specific published voting measure</x:v>
      </x:c>
      <x:c r="K967" s="196"/>
      <x:c r="L967" s="196"/>
    </x:row>
    <x:row r="968">
      <x:c r="A968" s="26" t="str">
        <x:v>NIGERIA</x:v>
      </x:c>
      <x:c r="B968" s="27" t="str">
        <x:v>IDA</x:v>
      </x:c>
      <x:c r="C968" s="193" t="n">
        <x:v>0.7</x:v>
      </x:c>
      <x:c r="D968" s="193" t="n">
        <x:v>0.7</x:v>
      </x:c>
      <x:c r="E968" s="185"/>
      <x:c r="F968" s="27" t="n">
        <x:f t="shared" si="15"/>
        <x:v>5</x:v>
      </x:c>
      <x:c r="G968" s="27" t="str">
        <x:v>Country</x:v>
      </x:c>
      <x:c r="H968" s="27" t="str">
        <x:v>Member</x:v>
      </x:c>
      <x:c r="I968" s="30" t="str">
        <x:v>Universal</x:v>
      </x:c>
      <x:c r="J968" s="151" t="str">
        <x:v>Institution-specific published voting measure</x:v>
      </x:c>
      <x:c r="K968" s="196"/>
      <x:c r="L968" s="196"/>
    </x:row>
    <x:row r="969">
      <x:c r="A969" s="31" t="str">
        <x:v>NORTH MACEDONIA</x:v>
      </x:c>
      <x:c r="B969" s="32" t="str">
        <x:v>IDA</x:v>
      </x:c>
      <x:c r="C969" s="194" t="n">
        <x:v>0.02</x:v>
      </x:c>
      <x:c r="D969" s="194" t="n">
        <x:v>0.02</x:v>
      </x:c>
      <x:c r="E969" s="186"/>
      <x:c r="F969" s="32" t="n">
        <x:f t="shared" si="15"/>
        <x:v>3</x:v>
      </x:c>
      <x:c r="G969" s="32" t="str">
        <x:v>Country</x:v>
      </x:c>
      <x:c r="H969" s="32" t="str">
        <x:v>Member</x:v>
      </x:c>
      <x:c r="I969" s="35" t="str">
        <x:v>Universal</x:v>
      </x:c>
      <x:c r="J969" s="151" t="str">
        <x:v>Institution-specific published voting measure</x:v>
      </x:c>
      <x:c r="K969" s="196"/>
      <x:c r="L969" s="196"/>
    </x:row>
    <x:row r="970">
      <x:c r="A970" s="26" t="str">
        <x:v>NORWAY</x:v>
      </x:c>
      <x:c r="B970" s="27" t="str">
        <x:v>IDA</x:v>
      </x:c>
      <x:c r="C970" s="193" t="n">
        <x:v>0.61</x:v>
      </x:c>
      <x:c r="D970" s="193" t="n">
        <x:v>0.61</x:v>
      </x:c>
      <x:c r="E970" s="185"/>
      <x:c r="F970" s="27" t="n">
        <x:f t="shared" si="15"/>
        <x:v>7</x:v>
      </x:c>
      <x:c r="G970" s="27" t="str">
        <x:v>Country</x:v>
      </x:c>
      <x:c r="H970" s="27" t="str">
        <x:v>Member</x:v>
      </x:c>
      <x:c r="I970" s="30" t="str">
        <x:v>Universal</x:v>
      </x:c>
      <x:c r="J970" s="151" t="str">
        <x:v>Institution-specific published voting measure</x:v>
      </x:c>
      <x:c r="K970" s="196"/>
      <x:c r="L970" s="196"/>
    </x:row>
    <x:row r="971">
      <x:c r="A971" s="31" t="str">
        <x:v>OMAN</x:v>
      </x:c>
      <x:c r="B971" s="32" t="str">
        <x:v>IDA</x:v>
      </x:c>
      <x:c r="C971" s="194" t="n">
        <x:v>0.09</x:v>
      </x:c>
      <x:c r="D971" s="194" t="n">
        <x:v>0.09</x:v>
      </x:c>
      <x:c r="E971" s="186"/>
      <x:c r="F971" s="32" t="n">
        <x:f t="shared" si="15"/>
        <x:v>5</x:v>
      </x:c>
      <x:c r="G971" s="32" t="str">
        <x:v>Country</x:v>
      </x:c>
      <x:c r="H971" s="32" t="str">
        <x:v>Member</x:v>
      </x:c>
      <x:c r="I971" s="35" t="str">
        <x:v>Universal</x:v>
      </x:c>
      <x:c r="J971" s="151" t="str">
        <x:v>Institution-specific published voting measure</x:v>
      </x:c>
      <x:c r="K971" s="196"/>
      <x:c r="L971" s="196"/>
    </x:row>
    <x:row r="972">
      <x:c r="A972" s="26" t="str">
        <x:v>PAKISTAN</x:v>
      </x:c>
      <x:c r="B972" s="27" t="str">
        <x:v>IDA</x:v>
      </x:c>
      <x:c r="C972" s="193" t="n">
        <x:v>0.51</x:v>
      </x:c>
      <x:c r="D972" s="193" t="n">
        <x:v>0.51</x:v>
      </x:c>
      <x:c r="E972" s="185"/>
      <x:c r="F972" s="27" t="n">
        <x:f t="shared" si="15"/>
        <x:v>5</x:v>
      </x:c>
      <x:c r="G972" s="27" t="str">
        <x:v>Country</x:v>
      </x:c>
      <x:c r="H972" s="27" t="str">
        <x:v>Member</x:v>
      </x:c>
      <x:c r="I972" s="30" t="str">
        <x:v>Universal</x:v>
      </x:c>
      <x:c r="J972" s="151" t="str">
        <x:v>Institution-specific published voting measure</x:v>
      </x:c>
      <x:c r="K972" s="196"/>
      <x:c r="L972" s="196"/>
    </x:row>
    <x:row r="973">
      <x:c r="A973" s="31" t="str">
        <x:v>PALAU</x:v>
      </x:c>
      <x:c r="B973" s="32" t="str">
        <x:v>IDA</x:v>
      </x:c>
      <x:c r="C973" s="194" t="n">
        <x:v>0</x:v>
      </x:c>
      <x:c r="D973" s="194" t="n">
        <x:v>0</x:v>
      </x:c>
      <x:c r="E973" s="186"/>
      <x:c r="F973" s="32" t="n">
        <x:f t="shared" si="15"/>
        <x:v>3</x:v>
      </x:c>
      <x:c r="G973" s="32" t="str">
        <x:v>Country</x:v>
      </x:c>
      <x:c r="H973" s="32" t="str">
        <x:v>Member</x:v>
      </x:c>
      <x:c r="I973" s="35" t="str">
        <x:v>Universal</x:v>
      </x:c>
      <x:c r="J973" s="151" t="str">
        <x:v>Institution-specific published voting measure</x:v>
      </x:c>
      <x:c r="K973" s="196"/>
      <x:c r="L973" s="196"/>
    </x:row>
    <x:row r="974">
      <x:c r="A974" s="26" t="str">
        <x:v>PANAMA</x:v>
      </x:c>
      <x:c r="B974" s="27" t="str">
        <x:v>IDA</x:v>
      </x:c>
      <x:c r="C974" s="193" t="n">
        <x:v>0.04</x:v>
      </x:c>
      <x:c r="D974" s="193" t="n">
        <x:v>0.04</x:v>
      </x:c>
      <x:c r="E974" s="185"/>
      <x:c r="F974" s="27" t="n">
        <x:f t="shared" si="15"/>
        <x:v>5</x:v>
      </x:c>
      <x:c r="G974" s="27" t="str">
        <x:v>Country</x:v>
      </x:c>
      <x:c r="H974" s="27" t="str">
        <x:v>Member</x:v>
      </x:c>
      <x:c r="I974" s="30" t="str">
        <x:v>Universal</x:v>
      </x:c>
      <x:c r="J974" s="151" t="str">
        <x:v>Institution-specific published voting measure</x:v>
      </x:c>
      <x:c r="K974" s="196"/>
      <x:c r="L974" s="196"/>
    </x:row>
    <x:row r="975">
      <x:c r="A975" s="31" t="str">
        <x:v>PAPUA NEW GUINEA</x:v>
      </x:c>
      <x:c r="B975" s="32" t="str">
        <x:v>IDA</x:v>
      </x:c>
      <x:c r="C975" s="194" t="n">
        <x:v>0.08</x:v>
      </x:c>
      <x:c r="D975" s="194" t="n">
        <x:v>0.08</x:v>
      </x:c>
      <x:c r="E975" s="186"/>
      <x:c r="F975" s="32" t="n">
        <x:f t="shared" si="15"/>
        <x:v>4</x:v>
      </x:c>
      <x:c r="G975" s="32" t="str">
        <x:v>Country</x:v>
      </x:c>
      <x:c r="H975" s="32" t="str">
        <x:v>Member</x:v>
      </x:c>
      <x:c r="I975" s="35" t="str">
        <x:v>Universal</x:v>
      </x:c>
      <x:c r="J975" s="151" t="str">
        <x:v>Institution-specific published voting measure</x:v>
      </x:c>
      <x:c r="K975" s="196"/>
      <x:c r="L975" s="196"/>
    </x:row>
    <x:row r="976">
      <x:c r="A976" s="26" t="str">
        <x:v>PARAGUAY</x:v>
      </x:c>
      <x:c r="B976" s="27" t="str">
        <x:v>IDA</x:v>
      </x:c>
      <x:c r="C976" s="193" t="n">
        <x:v>0.07</x:v>
      </x:c>
      <x:c r="D976" s="193" t="n">
        <x:v>0.07</x:v>
      </x:c>
      <x:c r="E976" s="185"/>
      <x:c r="F976" s="27" t="n">
        <x:f t="shared" si="15"/>
        <x:v>4</x:v>
      </x:c>
      <x:c r="G976" s="27" t="str">
        <x:v>Country</x:v>
      </x:c>
      <x:c r="H976" s="27" t="str">
        <x:v>Member</x:v>
      </x:c>
      <x:c r="I976" s="30" t="str">
        <x:v>Universal</x:v>
      </x:c>
      <x:c r="J976" s="151" t="str">
        <x:v>Institution-specific published voting measure</x:v>
      </x:c>
      <x:c r="K976" s="196"/>
      <x:c r="L976" s="196"/>
    </x:row>
    <x:row r="977">
      <x:c r="A977" s="31" t="str">
        <x:v>PERU</x:v>
      </x:c>
      <x:c r="B977" s="32" t="str">
        <x:v>IDA</x:v>
      </x:c>
      <x:c r="C977" s="194" t="n">
        <x:v>0.33</x:v>
      </x:c>
      <x:c r="D977" s="194" t="n">
        <x:v>0.33</x:v>
      </x:c>
      <x:c r="E977" s="186"/>
      <x:c r="F977" s="32" t="n">
        <x:f t="shared" si="15"/>
        <x:v>5</x:v>
      </x:c>
      <x:c r="G977" s="32" t="str">
        <x:v>Country</x:v>
      </x:c>
      <x:c r="H977" s="32" t="str">
        <x:v>Member</x:v>
      </x:c>
      <x:c r="I977" s="35" t="str">
        <x:v>Universal</x:v>
      </x:c>
      <x:c r="J977" s="151" t="str">
        <x:v>Institution-specific published voting measure</x:v>
      </x:c>
      <x:c r="K977" s="196"/>
      <x:c r="L977" s="196"/>
    </x:row>
    <x:row r="978">
      <x:c r="A978" s="26" t="str">
        <x:v>PHILIPPINES</x:v>
      </x:c>
      <x:c r="B978" s="27" t="str">
        <x:v>IDA</x:v>
      </x:c>
      <x:c r="C978" s="193" t="n">
        <x:v>0.43</x:v>
      </x:c>
      <x:c r="D978" s="193" t="n">
        <x:v>0.43</x:v>
      </x:c>
      <x:c r="E978" s="185"/>
      <x:c r="F978" s="27" t="n">
        <x:f t="shared" si="15"/>
        <x:v>4</x:v>
      </x:c>
      <x:c r="G978" s="27" t="str">
        <x:v>Country</x:v>
      </x:c>
      <x:c r="H978" s="27" t="str">
        <x:v>Member</x:v>
      </x:c>
      <x:c r="I978" s="30" t="str">
        <x:v>Universal</x:v>
      </x:c>
      <x:c r="J978" s="151" t="str">
        <x:v>Institution-specific published voting measure</x:v>
      </x:c>
      <x:c r="K978" s="196"/>
      <x:c r="L978" s="196"/>
    </x:row>
    <x:row r="979">
      <x:c r="A979" s="31" t="str">
        <x:v>POLAND</x:v>
      </x:c>
      <x:c r="B979" s="32" t="str">
        <x:v>IDA</x:v>
      </x:c>
      <x:c r="C979" s="194" t="n">
        <x:v>0.74</x:v>
      </x:c>
      <x:c r="D979" s="194" t="n">
        <x:v>0.74</x:v>
      </x:c>
      <x:c r="E979" s="186"/>
      <x:c r="F979" s="32" t="n">
        <x:f t="shared" si="15"/>
        <x:v>5</x:v>
      </x:c>
      <x:c r="G979" s="32" t="str">
        <x:v>Country</x:v>
      </x:c>
      <x:c r="H979" s="32" t="str">
        <x:v>Member</x:v>
      </x:c>
      <x:c r="I979" s="35" t="str">
        <x:v>Universal</x:v>
      </x:c>
      <x:c r="J979" s="151" t="str">
        <x:v>Institution-specific published voting measure</x:v>
      </x:c>
      <x:c r="K979" s="196"/>
      <x:c r="L979" s="196"/>
    </x:row>
    <x:row r="980">
      <x:c r="A980" s="26" t="str">
        <x:v>PORTUGAL</x:v>
      </x:c>
      <x:c r="B980" s="27" t="str">
        <x:v>IDA</x:v>
      </x:c>
      <x:c r="C980" s="193" t="n">
        <x:v>0.32</x:v>
      </x:c>
      <x:c r="D980" s="193" t="n">
        <x:v>0.32</x:v>
      </x:c>
      <x:c r="E980" s="185"/>
      <x:c r="F980" s="27" t="n">
        <x:f t="shared" si="15"/>
        <x:v>9</x:v>
      </x:c>
      <x:c r="G980" s="27" t="str">
        <x:v>Country</x:v>
      </x:c>
      <x:c r="H980" s="27" t="str">
        <x:v>Member</x:v>
      </x:c>
      <x:c r="I980" s="30" t="str">
        <x:v>Universal</x:v>
      </x:c>
      <x:c r="J980" s="151" t="str">
        <x:v>Institution-specific published voting measure</x:v>
      </x:c>
      <x:c r="K980" s="196"/>
      <x:c r="L980" s="196"/>
    </x:row>
    <x:row r="981">
      <x:c r="A981" s="31" t="str">
        <x:v>QATAR</x:v>
      </x:c>
      <x:c r="B981" s="32" t="str">
        <x:v>IDA</x:v>
      </x:c>
      <x:c r="C981" s="194" t="n">
        <x:v>0.1</x:v>
      </x:c>
      <x:c r="D981" s="194" t="n">
        <x:v>0.1</x:v>
      </x:c>
      <x:c r="E981" s="186"/>
      <x:c r="F981" s="32" t="n">
        <x:f t="shared" si="15"/>
        <x:v>5</x:v>
      </x:c>
      <x:c r="G981" s="32" t="str">
        <x:v>Country</x:v>
      </x:c>
      <x:c r="H981" s="32" t="str">
        <x:v>Member</x:v>
      </x:c>
      <x:c r="I981" s="35" t="str">
        <x:v>Universal</x:v>
      </x:c>
      <x:c r="J981" s="151" t="str">
        <x:v>Institution-specific published voting measure</x:v>
      </x:c>
      <x:c r="K981" s="196"/>
      <x:c r="L981" s="196"/>
    </x:row>
    <x:row r="982">
      <x:c r="A982" s="26" t="str">
        <x:v>ROMANIA</x:v>
      </x:c>
      <x:c r="B982" s="27" t="str">
        <x:v>IDA</x:v>
      </x:c>
      <x:c r="C982" s="193" t="n">
        <x:v>0.3</x:v>
      </x:c>
      <x:c r="D982" s="193" t="n">
        <x:v>0.3</x:v>
      </x:c>
      <x:c r="E982" s="185"/>
      <x:c r="F982" s="27" t="n">
        <x:f t="shared" si="15"/>
        <x:v>5</x:v>
      </x:c>
      <x:c r="G982" s="27" t="str">
        <x:v>Country</x:v>
      </x:c>
      <x:c r="H982" s="27" t="str">
        <x:v>Member</x:v>
      </x:c>
      <x:c r="I982" s="30" t="str">
        <x:v>Universal</x:v>
      </x:c>
      <x:c r="J982" s="151" t="str">
        <x:v>Institution-specific published voting measure</x:v>
      </x:c>
      <x:c r="K982" s="196"/>
      <x:c r="L982" s="196"/>
    </x:row>
    <x:row r="983">
      <x:c r="A983" s="31" t="str">
        <x:v>RUSSIAN FEDERATION</x:v>
      </x:c>
      <x:c r="B983" s="32" t="str">
        <x:v>IDA</x:v>
      </x:c>
      <x:c r="C983" s="194" t="n">
        <x:v>2.87</x:v>
      </x:c>
      <x:c r="D983" s="194" t="n">
        <x:v>2.87</x:v>
      </x:c>
      <x:c r="E983" s="186"/>
      <x:c r="F983" s="32" t="n">
        <x:f t="shared" si="15"/>
        <x:v>4</x:v>
      </x:c>
      <x:c r="G983" s="32" t="str">
        <x:v>Country</x:v>
      </x:c>
      <x:c r="H983" s="32" t="str">
        <x:v>Member</x:v>
      </x:c>
      <x:c r="I983" s="35" t="str">
        <x:v>Universal</x:v>
      </x:c>
      <x:c r="J983" s="151" t="str">
        <x:v>Institution-specific published voting measure</x:v>
      </x:c>
      <x:c r="K983" s="196"/>
      <x:c r="L983" s="196"/>
    </x:row>
    <x:row r="984">
      <x:c r="A984" s="26" t="str">
        <x:v>RWANDA</x:v>
      </x:c>
      <x:c r="B984" s="27" t="str">
        <x:v>IDA</x:v>
      </x:c>
      <x:c r="C984" s="193" t="n">
        <x:v>0.07</x:v>
      </x:c>
      <x:c r="D984" s="193" t="n">
        <x:v>0.07</x:v>
      </x:c>
      <x:c r="E984" s="185"/>
      <x:c r="F984" s="27" t="n">
        <x:f t="shared" si="15"/>
        <x:v>4</x:v>
      </x:c>
      <x:c r="G984" s="27" t="str">
        <x:v>Country</x:v>
      </x:c>
      <x:c r="H984" s="27" t="str">
        <x:v>Member</x:v>
      </x:c>
      <x:c r="I984" s="30" t="str">
        <x:v>Universal</x:v>
      </x:c>
      <x:c r="J984" s="151" t="str">
        <x:v>Institution-specific published voting measure</x:v>
      </x:c>
      <x:c r="K984" s="196"/>
      <x:c r="L984" s="196"/>
    </x:row>
    <x:row r="985">
      <x:c r="A985" s="31" t="str">
        <x:v>SAMOA</x:v>
      </x:c>
      <x:c r="B985" s="32" t="str">
        <x:v>IDA</x:v>
      </x:c>
      <x:c r="C985" s="194" t="n">
        <x:v>0.03</x:v>
      </x:c>
      <x:c r="D985" s="194" t="n">
        <x:v>0.03</x:v>
      </x:c>
      <x:c r="E985" s="186"/>
      <x:c r="F985" s="32" t="n">
        <x:f t="shared" si="15"/>
        <x:v>4</x:v>
      </x:c>
      <x:c r="G985" s="32" t="str">
        <x:v>Country</x:v>
      </x:c>
      <x:c r="H985" s="32" t="str">
        <x:v>Member</x:v>
      </x:c>
      <x:c r="I985" s="35" t="str">
        <x:v>Universal</x:v>
      </x:c>
      <x:c r="J985" s="151" t="str">
        <x:v>Institution-specific published voting measure</x:v>
      </x:c>
      <x:c r="K985" s="196"/>
      <x:c r="L985" s="196"/>
    </x:row>
    <x:row r="986">
      <x:c r="A986" s="26" t="str">
        <x:v>SAN MARINO</x:v>
      </x:c>
      <x:c r="B986" s="27" t="str">
        <x:v>IDA</x:v>
      </x:c>
      <x:c r="C986" s="193" t="n">
        <x:v>0.02</x:v>
      </x:c>
      <x:c r="D986" s="193" t="n">
        <x:v>0.02</x:v>
      </x:c>
      <x:c r="E986" s="185"/>
      <x:c r="F986" s="27" t="n">
        <x:f t="shared" si="15"/>
        <x:v>3</x:v>
      </x:c>
      <x:c r="G986" s="27" t="str">
        <x:v>Country</x:v>
      </x:c>
      <x:c r="H986" s="27" t="str">
        <x:v>Member</x:v>
      </x:c>
      <x:c r="I986" s="30" t="str">
        <x:v>Universal</x:v>
      </x:c>
      <x:c r="J986" s="151" t="str">
        <x:v>Institution-specific published voting measure</x:v>
      </x:c>
      <x:c r="K986" s="196"/>
      <x:c r="L986" s="196"/>
    </x:row>
    <x:row r="987">
      <x:c r="A987" s="31" t="str">
        <x:v>SAO TOME AND PRINCIPE</x:v>
      </x:c>
      <x:c r="B987" s="32" t="str">
        <x:v>IDA</x:v>
      </x:c>
      <x:c r="C987" s="194" t="n">
        <x:v>0.03</x:v>
      </x:c>
      <x:c r="D987" s="194" t="n">
        <x:v>0.03</x:v>
      </x:c>
      <x:c r="E987" s="186"/>
      <x:c r="F987" s="32" t="n">
        <x:f t="shared" si="15"/>
        <x:v>3</x:v>
      </x:c>
      <x:c r="G987" s="32" t="str">
        <x:v>Country</x:v>
      </x:c>
      <x:c r="H987" s="32" t="str">
        <x:v>Member</x:v>
      </x:c>
      <x:c r="I987" s="35" t="str">
        <x:v>Universal</x:v>
      </x:c>
      <x:c r="J987" s="151" t="str">
        <x:v>Institution-specific published voting measure</x:v>
      </x:c>
      <x:c r="K987" s="196"/>
      <x:c r="L987" s="196"/>
    </x:row>
    <x:row r="988">
      <x:c r="A988" s="26" t="str">
        <x:v>SAUDI ARABIA</x:v>
      </x:c>
      <x:c r="B988" s="27" t="str">
        <x:v>IDA</x:v>
      </x:c>
      <x:c r="C988" s="193" t="n">
        <x:v>2.79</x:v>
      </x:c>
      <x:c r="D988" s="193" t="n">
        <x:v>2.79</x:v>
      </x:c>
      <x:c r="E988" s="185"/>
      <x:c r="F988" s="27" t="n">
        <x:f t="shared" si="15"/>
        <x:v>6</x:v>
      </x:c>
      <x:c r="G988" s="27" t="str">
        <x:v>Country</x:v>
      </x:c>
      <x:c r="H988" s="27" t="str">
        <x:v>Member</x:v>
      </x:c>
      <x:c r="I988" s="30" t="str">
        <x:v>Universal</x:v>
      </x:c>
      <x:c r="J988" s="151" t="str">
        <x:v>Institution-specific published voting measure</x:v>
      </x:c>
      <x:c r="K988" s="196"/>
      <x:c r="L988" s="196"/>
    </x:row>
    <x:row r="989">
      <x:c r="A989" s="31" t="str">
        <x:v>SENEGAL</x:v>
      </x:c>
      <x:c r="B989" s="32" t="str">
        <x:v>IDA</x:v>
      </x:c>
      <x:c r="C989" s="194" t="n">
        <x:v>0.13</x:v>
      </x:c>
      <x:c r="D989" s="194" t="n">
        <x:v>0.13</x:v>
      </x:c>
      <x:c r="E989" s="186"/>
      <x:c r="F989" s="32" t="n">
        <x:f t="shared" si="15"/>
        <x:v>5</x:v>
      </x:c>
      <x:c r="G989" s="32" t="str">
        <x:v>Country</x:v>
      </x:c>
      <x:c r="H989" s="32" t="str">
        <x:v>Member</x:v>
      </x:c>
      <x:c r="I989" s="35" t="str">
        <x:v>Universal</x:v>
      </x:c>
      <x:c r="J989" s="151" t="str">
        <x:v>Institution-specific published voting measure</x:v>
      </x:c>
      <x:c r="K989" s="196"/>
      <x:c r="L989" s="196"/>
    </x:row>
    <x:row r="990">
      <x:c r="A990" s="26" t="str">
        <x:v>SERBIA</x:v>
      </x:c>
      <x:c r="B990" s="27" t="str">
        <x:v>IDA</x:v>
      </x:c>
      <x:c r="C990" s="193" t="n">
        <x:v>0.15</x:v>
      </x:c>
      <x:c r="D990" s="193" t="n">
        <x:v>0.15</x:v>
      </x:c>
      <x:c r="E990" s="185"/>
      <x:c r="F990" s="27" t="n">
        <x:f t="shared" si="15"/>
        <x:v>4</x:v>
      </x:c>
      <x:c r="G990" s="27" t="str">
        <x:v>Country</x:v>
      </x:c>
      <x:c r="H990" s="27" t="str">
        <x:v>Member</x:v>
      </x:c>
      <x:c r="I990" s="30" t="str">
        <x:v>Universal</x:v>
      </x:c>
      <x:c r="J990" s="151" t="str">
        <x:v>Institution-specific published voting measure</x:v>
      </x:c>
      <x:c r="K990" s="196"/>
      <x:c r="L990" s="196"/>
    </x:row>
    <x:row r="991">
      <x:c r="A991" s="31" t="str">
        <x:v>SEYCHELLES</x:v>
      </x:c>
      <x:c r="B991" s="32" t="str">
        <x:v>IDA</x:v>
      </x:c>
      <x:c r="C991" s="194" t="n">
        <x:v>0.01</x:v>
      </x:c>
      <x:c r="D991" s="194" t="n">
        <x:v>0.01</x:v>
      </x:c>
      <x:c r="E991" s="186"/>
      <x:c r="F991" s="32" t="n">
        <x:f t="shared" si="15"/>
        <x:v>3</x:v>
      </x:c>
      <x:c r="G991" s="32" t="str">
        <x:v>Country</x:v>
      </x:c>
      <x:c r="H991" s="32" t="str">
        <x:v>Member</x:v>
      </x:c>
      <x:c r="I991" s="35" t="str">
        <x:v>Universal</x:v>
      </x:c>
      <x:c r="J991" s="151" t="str">
        <x:v>Institution-specific published voting measure</x:v>
      </x:c>
      <x:c r="K991" s="196"/>
      <x:c r="L991" s="196"/>
    </x:row>
    <x:row r="992">
      <x:c r="A992" s="26" t="str">
        <x:v>SIERRA LEONE</x:v>
      </x:c>
      <x:c r="B992" s="27" t="str">
        <x:v>IDA</x:v>
      </x:c>
      <x:c r="C992" s="193" t="n">
        <x:v>0.04</x:v>
      </x:c>
      <x:c r="D992" s="193" t="n">
        <x:v>0.04</x:v>
      </x:c>
      <x:c r="E992" s="185"/>
      <x:c r="F992" s="27" t="n">
        <x:f t="shared" si="15"/>
        <x:v>4</x:v>
      </x:c>
      <x:c r="G992" s="27" t="str">
        <x:v>Country</x:v>
      </x:c>
      <x:c r="H992" s="27" t="str">
        <x:v>Member</x:v>
      </x:c>
      <x:c r="I992" s="30" t="str">
        <x:v>Universal</x:v>
      </x:c>
      <x:c r="J992" s="151" t="str">
        <x:v>Institution-specific published voting measure</x:v>
      </x:c>
      <x:c r="K992" s="196"/>
      <x:c r="L992" s="196"/>
    </x:row>
    <x:row r="993">
      <x:c r="A993" s="31" t="str">
        <x:v>SINGAPORE</x:v>
      </x:c>
      <x:c r="B993" s="32" t="str">
        <x:v>IDA</x:v>
      </x:c>
      <x:c r="C993" s="194" t="n">
        <x:v>0.26</x:v>
      </x:c>
      <x:c r="D993" s="194" t="n">
        <x:v>0.26</x:v>
      </x:c>
      <x:c r="E993" s="186"/>
      <x:c r="F993" s="32" t="n">
        <x:f t="shared" si="15"/>
        <x:v>4</x:v>
      </x:c>
      <x:c r="G993" s="32" t="str">
        <x:v>Country</x:v>
      </x:c>
      <x:c r="H993" s="32" t="str">
        <x:v>Member</x:v>
      </x:c>
      <x:c r="I993" s="35" t="str">
        <x:v>Universal</x:v>
      </x:c>
      <x:c r="J993" s="151" t="str">
        <x:v>Institution-specific published voting measure</x:v>
      </x:c>
      <x:c r="K993" s="196"/>
      <x:c r="L993" s="196"/>
    </x:row>
    <x:row r="994">
      <x:c r="A994" s="26" t="str">
        <x:v>SLOVAK REPUBLIC</x:v>
      </x:c>
      <x:c r="B994" s="27" t="str">
        <x:v>IDA</x:v>
      </x:c>
      <x:c r="C994" s="193" t="n">
        <x:v>0.17</x:v>
      </x:c>
      <x:c r="D994" s="193" t="n">
        <x:v>0.17</x:v>
      </x:c>
      <x:c r="E994" s="185"/>
      <x:c r="F994" s="27" t="n">
        <x:f t="shared" si="15"/>
        <x:v>3</x:v>
      </x:c>
      <x:c r="G994" s="27" t="str">
        <x:v>Country</x:v>
      </x:c>
      <x:c r="H994" s="27" t="str">
        <x:v>Member</x:v>
      </x:c>
      <x:c r="I994" s="30" t="str">
        <x:v>Universal</x:v>
      </x:c>
      <x:c r="J994" s="151" t="str">
        <x:v>Institution-specific published voting measure</x:v>
      </x:c>
      <x:c r="K994" s="196"/>
      <x:c r="L994" s="196"/>
    </x:row>
    <x:row r="995">
      <x:c r="A995" s="31" t="str">
        <x:v>SLOVENIA</x:v>
      </x:c>
      <x:c r="B995" s="32" t="str">
        <x:v>IDA</x:v>
      </x:c>
      <x:c r="C995" s="194" t="n">
        <x:v>0.07</x:v>
      </x:c>
      <x:c r="D995" s="194" t="n">
        <x:v>0.07</x:v>
      </x:c>
      <x:c r="E995" s="186"/>
      <x:c r="F995" s="32" t="n">
        <x:f t="shared" si="15"/>
        <x:v>5</x:v>
      </x:c>
      <x:c r="G995" s="32" t="str">
        <x:v>Country</x:v>
      </x:c>
      <x:c r="H995" s="32" t="str">
        <x:v>Member</x:v>
      </x:c>
      <x:c r="I995" s="35" t="str">
        <x:v>Universal</x:v>
      </x:c>
      <x:c r="J995" s="151" t="str">
        <x:v>Institution-specific published voting measure</x:v>
      </x:c>
      <x:c r="K995" s="196"/>
      <x:c r="L995" s="196"/>
    </x:row>
    <x:row r="996">
      <x:c r="A996" s="26" t="str">
        <x:v>SOLOMON ISLANDS</x:v>
      </x:c>
      <x:c r="B996" s="27" t="str">
        <x:v>IDA</x:v>
      </x:c>
      <x:c r="C996" s="193" t="n">
        <x:v>0.03</x:v>
      </x:c>
      <x:c r="D996" s="193" t="n">
        <x:v>0.03</x:v>
      </x:c>
      <x:c r="E996" s="185"/>
      <x:c r="F996" s="27" t="n">
        <x:f t="shared" si="15"/>
        <x:v>3</x:v>
      </x:c>
      <x:c r="G996" s="27" t="str">
        <x:v>Country</x:v>
      </x:c>
      <x:c r="H996" s="27" t="str">
        <x:v>Member</x:v>
      </x:c>
      <x:c r="I996" s="30" t="str">
        <x:v>Universal</x:v>
      </x:c>
      <x:c r="J996" s="151" t="str">
        <x:v>Institution-specific published voting measure</x:v>
      </x:c>
      <x:c r="K996" s="196"/>
      <x:c r="L996" s="196"/>
    </x:row>
    <x:row r="997">
      <x:c r="A997" s="31" t="str">
        <x:v>SOMALIA, FEDERAL REPUBLIC OF</x:v>
      </x:c>
      <x:c r="B997" s="32" t="str">
        <x:v>IDA</x:v>
      </x:c>
      <x:c r="C997" s="194" t="n">
        <x:v>0.02</x:v>
      </x:c>
      <x:c r="D997" s="194" t="n">
        <x:v>0.02</x:v>
      </x:c>
      <x:c r="E997" s="186"/>
      <x:c r="F997" s="32" t="n">
        <x:f t="shared" si="15"/>
        <x:v>2</x:v>
      </x:c>
      <x:c r="G997" s="32" t="str">
        <x:v>Country</x:v>
      </x:c>
      <x:c r="H997" s="32" t="str">
        <x:v>Member</x:v>
      </x:c>
      <x:c r="I997" s="35" t="str">
        <x:v>Universal</x:v>
      </x:c>
      <x:c r="J997" s="151" t="str">
        <x:v>Institution-specific published voting measure</x:v>
      </x:c>
      <x:c r="K997" s="196"/>
      <x:c r="L997" s="196"/>
    </x:row>
    <x:row r="998">
      <x:c r="A998" s="26" t="str">
        <x:v>SOUTH AFRICA</x:v>
      </x:c>
      <x:c r="B998" s="27" t="str">
        <x:v>IDA</x:v>
      </x:c>
      <x:c r="C998" s="193" t="n">
        <x:v>0.75</x:v>
      </x:c>
      <x:c r="D998" s="193" t="n">
        <x:v>0.75</x:v>
      </x:c>
      <x:c r="E998" s="185"/>
      <x:c r="F998" s="27" t="n">
        <x:f t="shared" si="15"/>
        <x:v>5</x:v>
      </x:c>
      <x:c r="G998" s="27" t="str">
        <x:v>Country</x:v>
      </x:c>
      <x:c r="H998" s="27" t="str">
        <x:v>Member</x:v>
      </x:c>
      <x:c r="I998" s="30" t="str">
        <x:v>Universal</x:v>
      </x:c>
      <x:c r="J998" s="151" t="str">
        <x:v>Institution-specific published voting measure</x:v>
      </x:c>
      <x:c r="K998" s="196"/>
      <x:c r="L998" s="196"/>
    </x:row>
    <x:row r="999">
      <x:c r="A999" s="31" t="str">
        <x:v>SOUTH SUDAN</x:v>
      </x:c>
      <x:c r="B999" s="32" t="str">
        <x:v>IDA</x:v>
      </x:c>
      <x:c r="C999" s="194" t="n">
        <x:v>0.05</x:v>
      </x:c>
      <x:c r="D999" s="194" t="n">
        <x:v>0.05</x:v>
      </x:c>
      <x:c r="E999" s="186"/>
      <x:c r="F999" s="32" t="n">
        <x:f t="shared" si="15"/>
        <x:v>3</x:v>
      </x:c>
      <x:c r="G999" s="32" t="str">
        <x:v>Country</x:v>
      </x:c>
      <x:c r="H999" s="32" t="str">
        <x:v>Member</x:v>
      </x:c>
      <x:c r="I999" s="35" t="str">
        <x:v>Universal</x:v>
      </x:c>
      <x:c r="J999" s="151" t="str">
        <x:v>Institution-specific published voting measure</x:v>
      </x:c>
      <x:c r="K999" s="196"/>
      <x:c r="L999" s="196"/>
    </x:row>
    <x:row r="1000">
      <x:c r="A1000" s="26" t="str">
        <x:v>SPAIN</x:v>
      </x:c>
      <x:c r="B1000" s="27" t="str">
        <x:v>IDA</x:v>
      </x:c>
      <x:c r="C1000" s="193" t="n">
        <x:v>1.92</x:v>
      </x:c>
      <x:c r="D1000" s="193" t="n">
        <x:v>1.92</x:v>
      </x:c>
      <x:c r="E1000" s="185"/>
      <x:c r="F1000" s="27" t="n">
        <x:f t="shared" si="15"/>
        <x:v>10</x:v>
      </x:c>
      <x:c r="G1000" s="27" t="str">
        <x:v>Country</x:v>
      </x:c>
      <x:c r="H1000" s="27" t="str">
        <x:v>Member</x:v>
      </x:c>
      <x:c r="I1000" s="30" t="str">
        <x:v>Universal</x:v>
      </x:c>
      <x:c r="J1000" s="151" t="str">
        <x:v>Institution-specific published voting measure</x:v>
      </x:c>
      <x:c r="K1000" s="196"/>
      <x:c r="L1000" s="196"/>
    </x:row>
    <x:row r="1001">
      <x:c r="A1001" s="31" t="str">
        <x:v>SRI LANKA</x:v>
      </x:c>
      <x:c r="B1001" s="32" t="str">
        <x:v>IDA</x:v>
      </x:c>
      <x:c r="C1001" s="194" t="n">
        <x:v>0.23</x:v>
      </x:c>
      <x:c r="D1001" s="194" t="n">
        <x:v>0.23</x:v>
      </x:c>
      <x:c r="E1001" s="186"/>
      <x:c r="F1001" s="32" t="n">
        <x:f t="shared" si="15"/>
        <x:v>4</x:v>
      </x:c>
      <x:c r="G1001" s="32" t="str">
        <x:v>Country</x:v>
      </x:c>
      <x:c r="H1001" s="32" t="str">
        <x:v>Member</x:v>
      </x:c>
      <x:c r="I1001" s="35" t="str">
        <x:v>Universal</x:v>
      </x:c>
      <x:c r="J1001" s="151" t="str">
        <x:v>Institution-specific published voting measure</x:v>
      </x:c>
      <x:c r="K1001" s="196"/>
      <x:c r="L1001" s="196"/>
    </x:row>
    <x:row r="1002">
      <x:c r="A1002" s="26" t="str">
        <x:v>ST. KITTS AND NEVIS</x:v>
      </x:c>
      <x:c r="B1002" s="27" t="str">
        <x:v>IDA</x:v>
      </x:c>
      <x:c r="C1002" s="193" t="n">
        <x:v>0.01</x:v>
      </x:c>
      <x:c r="D1002" s="193" t="n">
        <x:v>0.01</x:v>
      </x:c>
      <x:c r="E1002" s="185"/>
      <x:c r="F1002" s="27" t="n">
        <x:f t="shared" si="15"/>
        <x:v>3</x:v>
      </x:c>
      <x:c r="G1002" s="27" t="str">
        <x:v>Country</x:v>
      </x:c>
      <x:c r="H1002" s="27" t="str">
        <x:v>Member</x:v>
      </x:c>
      <x:c r="I1002" s="30" t="str">
        <x:v>Universal</x:v>
      </x:c>
      <x:c r="J1002" s="151" t="str">
        <x:v>Institution-specific published voting measure</x:v>
      </x:c>
      <x:c r="K1002" s="196"/>
      <x:c r="L1002" s="196"/>
    </x:row>
    <x:row r="1003">
      <x:c r="A1003" s="31" t="str">
        <x:v>ST. LUCIA</x:v>
      </x:c>
      <x:c r="B1003" s="32" t="str">
        <x:v>IDA</x:v>
      </x:c>
      <x:c r="C1003" s="194" t="n">
        <x:v>0.03</x:v>
      </x:c>
      <x:c r="D1003" s="194" t="n">
        <x:v>0.03</x:v>
      </x:c>
      <x:c r="E1003" s="186"/>
      <x:c r="F1003" s="32" t="n">
        <x:f t="shared" si="15"/>
        <x:v>3</x:v>
      </x:c>
      <x:c r="G1003" s="32" t="str">
        <x:v>Country</x:v>
      </x:c>
      <x:c r="H1003" s="32" t="str">
        <x:v>Member</x:v>
      </x:c>
      <x:c r="I1003" s="35" t="str">
        <x:v>Universal</x:v>
      </x:c>
      <x:c r="J1003" s="151" t="str">
        <x:v>Institution-specific published voting measure</x:v>
      </x:c>
      <x:c r="K1003" s="196"/>
      <x:c r="L1003" s="196"/>
    </x:row>
    <x:row r="1004">
      <x:c r="A1004" s="26" t="str">
        <x:v>ST. VINCENT AND THE GRENADINES</x:v>
      </x:c>
      <x:c r="B1004" s="27" t="str">
        <x:v>IDA</x:v>
      </x:c>
      <x:c r="C1004" s="193" t="n">
        <x:v>0.01</x:v>
      </x:c>
      <x:c r="D1004" s="193" t="n">
        <x:v>0.01</x:v>
      </x:c>
      <x:c r="E1004" s="185"/>
      <x:c r="F1004" s="27" t="n">
        <x:f t="shared" si="15"/>
        <x:v>3</x:v>
      </x:c>
      <x:c r="G1004" s="27" t="str">
        <x:v>Country</x:v>
      </x:c>
      <x:c r="H1004" s="27" t="str">
        <x:v>Member</x:v>
      </x:c>
      <x:c r="I1004" s="30" t="str">
        <x:v>Universal</x:v>
      </x:c>
      <x:c r="J1004" s="151" t="str">
        <x:v>Institution-specific published voting measure</x:v>
      </x:c>
      <x:c r="K1004" s="196"/>
      <x:c r="L1004" s="196"/>
    </x:row>
    <x:row r="1005">
      <x:c r="A1005" s="31" t="str">
        <x:v>SUDAN</x:v>
      </x:c>
      <x:c r="B1005" s="32" t="str">
        <x:v>IDA</x:v>
      </x:c>
      <x:c r="C1005" s="194" t="n">
        <x:v>0.07</x:v>
      </x:c>
      <x:c r="D1005" s="194" t="n">
        <x:v>0.07</x:v>
      </x:c>
      <x:c r="E1005" s="186"/>
      <x:c r="F1005" s="32" t="n">
        <x:f t="shared" si="15"/>
        <x:v>6</x:v>
      </x:c>
      <x:c r="G1005" s="32" t="str">
        <x:v>Country</x:v>
      </x:c>
      <x:c r="H1005" s="32" t="str">
        <x:v>Member</x:v>
      </x:c>
      <x:c r="I1005" s="35" t="str">
        <x:v>Universal</x:v>
      </x:c>
      <x:c r="J1005" s="151" t="str">
        <x:v>Institution-specific published voting measure</x:v>
      </x:c>
      <x:c r="K1005" s="196"/>
      <x:c r="L1005" s="196"/>
    </x:row>
    <x:row r="1006">
      <x:c r="A1006" s="26" t="str">
        <x:v>SURINAME</x:v>
      </x:c>
      <x:c r="B1006" s="27" t="str">
        <x:v>IDA</x:v>
      </x:c>
      <x:c r="C1006" s="193" t="n">
        <x:v>0.01</x:v>
      </x:c>
      <x:c r="D1006" s="193" t="n">
        <x:v>0.01</x:v>
      </x:c>
      <x:c r="E1006" s="185"/>
      <x:c r="F1006" s="27" t="n">
        <x:f t="shared" si="15"/>
        <x:v>5</x:v>
      </x:c>
      <x:c r="G1006" s="27" t="str">
        <x:v>Country</x:v>
      </x:c>
      <x:c r="H1006" s="27" t="str">
        <x:v>Member</x:v>
      </x:c>
      <x:c r="I1006" s="30" t="str">
        <x:v>Universal</x:v>
      </x:c>
      <x:c r="J1006" s="151" t="str">
        <x:v>Institution-specific published voting measure</x:v>
      </x:c>
      <x:c r="K1006" s="196"/>
      <x:c r="L1006" s="196"/>
    </x:row>
    <x:row r="1007">
      <x:c r="A1007" s="31" t="str">
        <x:v>SWEDEN</x:v>
      </x:c>
      <x:c r="B1007" s="32" t="str">
        <x:v>IDA</x:v>
      </x:c>
      <x:c r="C1007" s="194" t="n">
        <x:v>0.91</x:v>
      </x:c>
      <x:c r="D1007" s="194" t="n">
        <x:v>0.91</x:v>
      </x:c>
      <x:c r="E1007" s="186"/>
      <x:c r="F1007" s="32" t="n">
        <x:f t="shared" si="15"/>
        <x:v>8</x:v>
      </x:c>
      <x:c r="G1007" s="32" t="str">
        <x:v>Country</x:v>
      </x:c>
      <x:c r="H1007" s="32" t="str">
        <x:v>Member</x:v>
      </x:c>
      <x:c r="I1007" s="35" t="str">
        <x:v>Universal</x:v>
      </x:c>
      <x:c r="J1007" s="151" t="str">
        <x:v>Institution-specific published voting measure</x:v>
      </x:c>
      <x:c r="K1007" s="196"/>
      <x:c r="L1007" s="196"/>
    </x:row>
    <x:row r="1008">
      <x:c r="A1008" s="26" t="str">
        <x:v>SWITZERLAND</x:v>
      </x:c>
      <x:c r="B1008" s="27" t="str">
        <x:v>IDA</x:v>
      </x:c>
      <x:c r="C1008" s="193" t="n">
        <x:v>1.48</x:v>
      </x:c>
      <x:c r="D1008" s="193" t="n">
        <x:v>1.48</x:v>
      </x:c>
      <x:c r="E1008" s="185"/>
      <x:c r="F1008" s="27" t="n">
        <x:f t="shared" si="15"/>
        <x:v>7</x:v>
      </x:c>
      <x:c r="G1008" s="27" t="str">
        <x:v>Country</x:v>
      </x:c>
      <x:c r="H1008" s="27" t="str">
        <x:v>Member</x:v>
      </x:c>
      <x:c r="I1008" s="30" t="str">
        <x:v>Universal</x:v>
      </x:c>
      <x:c r="J1008" s="151" t="str">
        <x:v>Institution-specific published voting measure</x:v>
      </x:c>
      <x:c r="K1008" s="196"/>
      <x:c r="L1008" s="196"/>
    </x:row>
    <x:row r="1009">
      <x:c r="A1009" s="31" t="str">
        <x:v>SYRIAN ARAB REPUBLIC</x:v>
      </x:c>
      <x:c r="B1009" s="32" t="str">
        <x:v>IDA</x:v>
      </x:c>
      <x:c r="C1009" s="194" t="n">
        <x:v>0.09</x:v>
      </x:c>
      <x:c r="D1009" s="194" t="n">
        <x:v>0.09</x:v>
      </x:c>
      <x:c r="E1009" s="186"/>
      <x:c r="F1009" s="32" t="n">
        <x:f t="shared" si="15"/>
        <x:v>2</x:v>
      </x:c>
      <x:c r="G1009" s="32" t="str">
        <x:v>Country</x:v>
      </x:c>
      <x:c r="H1009" s="32" t="str">
        <x:v>Member</x:v>
      </x:c>
      <x:c r="I1009" s="35" t="str">
        <x:v>Universal</x:v>
      </x:c>
      <x:c r="J1009" s="151" t="str">
        <x:v>Institution-specific published voting measure</x:v>
      </x:c>
      <x:c r="K1009" s="196"/>
      <x:c r="L1009" s="196"/>
    </x:row>
    <x:row r="1010">
      <x:c r="A1010" s="26" t="str">
        <x:v>TAJIKISTAN</x:v>
      </x:c>
      <x:c r="B1010" s="27" t="str">
        <x:v>IDA</x:v>
      </x:c>
      <x:c r="C1010" s="193" t="n">
        <x:v>0.05</x:v>
      </x:c>
      <x:c r="D1010" s="193" t="n">
        <x:v>0.05</x:v>
      </x:c>
      <x:c r="E1010" s="185"/>
      <x:c r="F1010" s="27" t="n">
        <x:f t="shared" si="15"/>
        <x:v>6</x:v>
      </x:c>
      <x:c r="G1010" s="27" t="str">
        <x:v>Country</x:v>
      </x:c>
      <x:c r="H1010" s="27" t="str">
        <x:v>Member</x:v>
      </x:c>
      <x:c r="I1010" s="30" t="str">
        <x:v>Universal</x:v>
      </x:c>
      <x:c r="J1010" s="151" t="str">
        <x:v>Institution-specific published voting measure</x:v>
      </x:c>
      <x:c r="K1010" s="196"/>
      <x:c r="L1010" s="196"/>
    </x:row>
    <x:row r="1011">
      <x:c r="A1011" s="31" t="str">
        <x:v>TANZANIA</x:v>
      </x:c>
      <x:c r="B1011" s="32" t="str">
        <x:v>IDA</x:v>
      </x:c>
      <x:c r="C1011" s="194" t="n">
        <x:v>0.06</x:v>
      </x:c>
      <x:c r="D1011" s="194" t="n">
        <x:v>0.06</x:v>
      </x:c>
      <x:c r="E1011" s="186"/>
      <x:c r="F1011" s="32" t="n">
        <x:f t="shared" si="15"/>
        <x:v>3</x:v>
      </x:c>
      <x:c r="G1011" s="32" t="str">
        <x:v>Country</x:v>
      </x:c>
      <x:c r="H1011" s="32" t="str">
        <x:v>Member</x:v>
      </x:c>
      <x:c r="I1011" s="35" t="str">
        <x:v>Universal</x:v>
      </x:c>
      <x:c r="J1011" s="151" t="str">
        <x:v>Institution-specific published voting measure</x:v>
      </x:c>
      <x:c r="K1011" s="196"/>
      <x:c r="L1011" s="196"/>
    </x:row>
    <x:row r="1012">
      <x:c r="A1012" s="26" t="str">
        <x:v>THAILAND</x:v>
      </x:c>
      <x:c r="B1012" s="27" t="str">
        <x:v>IDA</x:v>
      </x:c>
      <x:c r="C1012" s="193" t="n">
        <x:v>0.5</x:v>
      </x:c>
      <x:c r="D1012" s="193" t="n">
        <x:v>0.5</x:v>
      </x:c>
      <x:c r="E1012" s="185"/>
      <x:c r="F1012" s="27" t="n">
        <x:f t="shared" si="15"/>
        <x:v>4</x:v>
      </x:c>
      <x:c r="G1012" s="27" t="str">
        <x:v>Country</x:v>
      </x:c>
      <x:c r="H1012" s="27" t="str">
        <x:v>Member</x:v>
      </x:c>
      <x:c r="I1012" s="30" t="str">
        <x:v>Universal</x:v>
      </x:c>
      <x:c r="J1012" s="151" t="str">
        <x:v>Institution-specific published voting measure</x:v>
      </x:c>
      <x:c r="K1012" s="196"/>
      <x:c r="L1012" s="196"/>
    </x:row>
    <x:row r="1013">
      <x:c r="A1013" s="31" t="str">
        <x:v>TIMOR-LESTE</x:v>
      </x:c>
      <x:c r="B1013" s="32" t="str">
        <x:v>IDA</x:v>
      </x:c>
      <x:c r="C1013" s="194" t="n">
        <x:v>0.03</x:v>
      </x:c>
      <x:c r="D1013" s="194" t="n">
        <x:v>0.03</x:v>
      </x:c>
      <x:c r="E1013" s="186"/>
      <x:c r="F1013" s="32" t="n">
        <x:f t="shared" si="15"/>
        <x:v>4</x:v>
      </x:c>
      <x:c r="G1013" s="32" t="str">
        <x:v>Country</x:v>
      </x:c>
      <x:c r="H1013" s="32" t="str">
        <x:v>Member</x:v>
      </x:c>
      <x:c r="I1013" s="35" t="str">
        <x:v>Universal</x:v>
      </x:c>
      <x:c r="J1013" s="151" t="str">
        <x:v>Institution-specific published voting measure</x:v>
      </x:c>
      <x:c r="K1013" s="196"/>
      <x:c r="L1013" s="196"/>
    </x:row>
    <x:row r="1014">
      <x:c r="A1014" s="26" t="str">
        <x:v>TOGO</x:v>
      </x:c>
      <x:c r="B1014" s="27" t="str">
        <x:v>IDA</x:v>
      </x:c>
      <x:c r="C1014" s="193" t="n">
        <x:v>0.07</x:v>
      </x:c>
      <x:c r="D1014" s="193" t="n">
        <x:v>0.07</x:v>
      </x:c>
      <x:c r="E1014" s="185"/>
      <x:c r="F1014" s="27" t="n">
        <x:f t="shared" si="15"/>
        <x:v>5</x:v>
      </x:c>
      <x:c r="G1014" s="27" t="str">
        <x:v>Country</x:v>
      </x:c>
      <x:c r="H1014" s="27" t="str">
        <x:v>Member</x:v>
      </x:c>
      <x:c r="I1014" s="30" t="str">
        <x:v>Universal</x:v>
      </x:c>
      <x:c r="J1014" s="151" t="str">
        <x:v>Institution-specific published voting measure</x:v>
      </x:c>
      <x:c r="K1014" s="196"/>
      <x:c r="L1014" s="196"/>
    </x:row>
    <x:row r="1015">
      <x:c r="A1015" s="31" t="str">
        <x:v>TONGA</x:v>
      </x:c>
      <x:c r="B1015" s="32" t="str">
        <x:v>IDA</x:v>
      </x:c>
      <x:c r="C1015" s="194" t="n">
        <x:v>0.03</x:v>
      </x:c>
      <x:c r="D1015" s="194" t="n">
        <x:v>0.03</x:v>
      </x:c>
      <x:c r="E1015" s="186"/>
      <x:c r="F1015" s="32" t="n">
        <x:f t="shared" si="15"/>
        <x:v>4</x:v>
      </x:c>
      <x:c r="G1015" s="32" t="str">
        <x:v>Country</x:v>
      </x:c>
      <x:c r="H1015" s="32" t="str">
        <x:v>Member</x:v>
      </x:c>
      <x:c r="I1015" s="35" t="str">
        <x:v>Universal</x:v>
      </x:c>
      <x:c r="J1015" s="151" t="str">
        <x:v>Institution-specific published voting measure</x:v>
      </x:c>
      <x:c r="K1015" s="196"/>
      <x:c r="L1015" s="196"/>
    </x:row>
    <x:row r="1016">
      <x:c r="A1016" s="26" t="str">
        <x:v>TRINIDAD AND TOBAGO</x:v>
      </x:c>
      <x:c r="B1016" s="27" t="str">
        <x:v>IDA</x:v>
      </x:c>
      <x:c r="C1016" s="193" t="n">
        <x:v>0.12</x:v>
      </x:c>
      <x:c r="D1016" s="193" t="n">
        <x:v>0.12</x:v>
      </x:c>
      <x:c r="E1016" s="185"/>
      <x:c r="F1016" s="27" t="n">
        <x:f t="shared" si="15"/>
        <x:v>5</x:v>
      </x:c>
      <x:c r="G1016" s="27" t="str">
        <x:v>Country</x:v>
      </x:c>
      <x:c r="H1016" s="27" t="str">
        <x:v>Member</x:v>
      </x:c>
      <x:c r="I1016" s="30" t="str">
        <x:v>Universal</x:v>
      </x:c>
      <x:c r="J1016" s="151" t="str">
        <x:v>Institution-specific published voting measure</x:v>
      </x:c>
      <x:c r="K1016" s="196"/>
      <x:c r="L1016" s="196"/>
    </x:row>
    <x:row r="1017">
      <x:c r="A1017" s="31" t="str">
        <x:v>TUNISIA</x:v>
      </x:c>
      <x:c r="B1017" s="32" t="str">
        <x:v>IDA</x:v>
      </x:c>
      <x:c r="C1017" s="194" t="n">
        <x:v>0.07</x:v>
      </x:c>
      <x:c r="D1017" s="194" t="n">
        <x:v>0.07</x:v>
      </x:c>
      <x:c r="E1017" s="186"/>
      <x:c r="F1017" s="32" t="n">
        <x:f t="shared" si="15"/>
        <x:v>7</x:v>
      </x:c>
      <x:c r="G1017" s="32" t="str">
        <x:v>Country</x:v>
      </x:c>
      <x:c r="H1017" s="32" t="str">
        <x:v>Member</x:v>
      </x:c>
      <x:c r="I1017" s="35" t="str">
        <x:v>Universal</x:v>
      </x:c>
      <x:c r="J1017" s="151" t="str">
        <x:v>Institution-specific published voting measure</x:v>
      </x:c>
      <x:c r="K1017" s="196"/>
      <x:c r="L1017" s="196"/>
    </x:row>
    <x:row r="1018">
      <x:c r="A1018" s="26" t="str">
        <x:v>TURKIYE</x:v>
      </x:c>
      <x:c r="B1018" s="27" t="str">
        <x:v>IDA</x:v>
      </x:c>
      <x:c r="C1018" s="193" t="n">
        <x:v>1.11</x:v>
      </x:c>
      <x:c r="D1018" s="193" t="n">
        <x:v>1.11</x:v>
      </x:c>
      <x:c r="E1018" s="185"/>
      <x:c r="F1018" s="27" t="n">
        <x:f t="shared" si="15"/>
        <x:v>2</x:v>
      </x:c>
      <x:c r="G1018" s="27" t="str">
        <x:v>Country</x:v>
      </x:c>
      <x:c r="H1018" s="27" t="str">
        <x:v>Member</x:v>
      </x:c>
      <x:c r="I1018" s="30" t="str">
        <x:v>Universal</x:v>
      </x:c>
      <x:c r="J1018" s="151" t="str">
        <x:v>Institution-specific published voting measure</x:v>
      </x:c>
      <x:c r="K1018" s="196"/>
      <x:c r="L1018" s="196"/>
    </x:row>
    <x:row r="1019">
      <x:c r="A1019" s="31" t="str">
        <x:v>TURKMENISTAN</x:v>
      </x:c>
      <x:c r="B1019" s="32" t="str">
        <x:v>IDA</x:v>
      </x:c>
      <x:c r="C1019" s="194" t="n">
        <x:v>0.02</x:v>
      </x:c>
      <x:c r="D1019" s="194" t="n">
        <x:v>0.02</x:v>
      </x:c>
      <x:c r="E1019" s="186"/>
      <x:c r="F1019" s="32" t="n">
        <x:f t="shared" si="15"/>
        <x:v>5</x:v>
      </x:c>
      <x:c r="G1019" s="32" t="str">
        <x:v>Country</x:v>
      </x:c>
      <x:c r="H1019" s="32" t="str">
        <x:v>Member</x:v>
      </x:c>
      <x:c r="I1019" s="35" t="str">
        <x:v>Universal</x:v>
      </x:c>
      <x:c r="J1019" s="151" t="str">
        <x:v>Institution-specific published voting measure</x:v>
      </x:c>
      <x:c r="K1019" s="196"/>
      <x:c r="L1019" s="196"/>
    </x:row>
    <x:row r="1020">
      <x:c r="A1020" s="26" t="str">
        <x:v>TUVALU</x:v>
      </x:c>
      <x:c r="B1020" s="27" t="str">
        <x:v>IDA</x:v>
      </x:c>
      <x:c r="C1020" s="193" t="n">
        <x:v>0.02</x:v>
      </x:c>
      <x:c r="D1020" s="193" t="n">
        <x:v>0.02</x:v>
      </x:c>
      <x:c r="E1020" s="185"/>
      <x:c r="F1020" s="27" t="n">
        <x:f t="shared" si="15"/>
        <x:v>3</x:v>
      </x:c>
      <x:c r="G1020" s="27" t="str">
        <x:v>Country</x:v>
      </x:c>
      <x:c r="H1020" s="27" t="str">
        <x:v>Member</x:v>
      </x:c>
      <x:c r="I1020" s="30" t="str">
        <x:v>Universal</x:v>
      </x:c>
      <x:c r="J1020" s="151" t="str">
        <x:v>Institution-specific published voting measure</x:v>
      </x:c>
      <x:c r="K1020" s="196"/>
      <x:c r="L1020" s="196"/>
    </x:row>
    <x:row r="1021">
      <x:c r="A1021" s="31" t="str">
        <x:v>UGANDA</x:v>
      </x:c>
      <x:c r="B1021" s="32" t="str">
        <x:v>IDA</x:v>
      </x:c>
      <x:c r="C1021" s="194" t="n">
        <x:v>0.04</x:v>
      </x:c>
      <x:c r="D1021" s="194" t="n">
        <x:v>0.04</x:v>
      </x:c>
      <x:c r="E1021" s="186"/>
      <x:c r="F1021" s="32" t="n">
        <x:f t="shared" si="15"/>
        <x:v>4</x:v>
      </x:c>
      <x:c r="G1021" s="32" t="str">
        <x:v>Country</x:v>
      </x:c>
      <x:c r="H1021" s="32" t="str">
        <x:v>Member</x:v>
      </x:c>
      <x:c r="I1021" s="35" t="str">
        <x:v>Universal</x:v>
      </x:c>
      <x:c r="J1021" s="151" t="str">
        <x:v>Institution-specific published voting measure</x:v>
      </x:c>
      <x:c r="K1021" s="196"/>
      <x:c r="L1021" s="196"/>
    </x:row>
    <x:row r="1022">
      <x:c r="A1022" s="26" t="str">
        <x:v>UKRAINE</x:v>
      </x:c>
      <x:c r="B1022" s="27" t="str">
        <x:v>IDA</x:v>
      </x:c>
      <x:c r="C1022" s="193" t="n">
        <x:v>0.58</x:v>
      </x:c>
      <x:c r="D1022" s="193" t="n">
        <x:v>0.58</x:v>
      </x:c>
      <x:c r="E1022" s="185"/>
      <x:c r="F1022" s="27" t="n">
        <x:f t="shared" si="15"/>
        <x:v>3</x:v>
      </x:c>
      <x:c r="G1022" s="27" t="str">
        <x:v>Country</x:v>
      </x:c>
      <x:c r="H1022" s="27" t="str">
        <x:v>Member</x:v>
      </x:c>
      <x:c r="I1022" s="30" t="str">
        <x:v>Universal</x:v>
      </x:c>
      <x:c r="J1022" s="151" t="str">
        <x:v>Institution-specific published voting measure</x:v>
      </x:c>
      <x:c r="K1022" s="196"/>
      <x:c r="L1022" s="196"/>
    </x:row>
    <x:row r="1023">
      <x:c r="A1023" s="31" t="str">
        <x:v>UNITED ARAB EMIRATES</x:v>
      </x:c>
      <x:c r="B1023" s="32" t="str">
        <x:v>IDA</x:v>
      </x:c>
      <x:c r="C1023" s="194" t="n">
        <x:v>0.26</x:v>
      </x:c>
      <x:c r="D1023" s="194" t="n">
        <x:v>0.26</x:v>
      </x:c>
      <x:c r="E1023" s="186"/>
      <x:c r="F1023" s="32" t="n">
        <x:f t="shared" si="15"/>
        <x:v>7</x:v>
      </x:c>
      <x:c r="G1023" s="32" t="str">
        <x:v>Country</x:v>
      </x:c>
      <x:c r="H1023" s="32" t="str">
        <x:v>Member</x:v>
      </x:c>
      <x:c r="I1023" s="35" t="str">
        <x:v>Universal</x:v>
      </x:c>
      <x:c r="J1023" s="151" t="str">
        <x:v>Institution-specific published voting measure</x:v>
      </x:c>
      <x:c r="K1023" s="196"/>
      <x:c r="L1023" s="196"/>
    </x:row>
    <x:row r="1024">
      <x:c r="A1024" s="26" t="str">
        <x:v>UNITED KINGDOM</x:v>
      </x:c>
      <x:c r="B1024" s="27" t="str">
        <x:v>IDA</x:v>
      </x:c>
      <x:c r="C1024" s="193" t="n">
        <x:v>3.94</x:v>
      </x:c>
      <x:c r="D1024" s="193" t="n">
        <x:v>3.94</x:v>
      </x:c>
      <x:c r="E1024" s="185"/>
      <x:c r="F1024" s="27" t="n">
        <x:f t="shared" si="15"/>
        <x:v>8</x:v>
      </x:c>
      <x:c r="G1024" s="27" t="str">
        <x:v>Country</x:v>
      </x:c>
      <x:c r="H1024" s="27" t="str">
        <x:v>Member</x:v>
      </x:c>
      <x:c r="I1024" s="30" t="str">
        <x:v>Universal</x:v>
      </x:c>
      <x:c r="J1024" s="151" t="str">
        <x:v>Institution-specific published voting measure</x:v>
      </x:c>
      <x:c r="K1024" s="196"/>
      <x:c r="L1024" s="196"/>
    </x:row>
    <x:row r="1025">
      <x:c r="A1025" s="31" t="str">
        <x:v>UNITED STATES</x:v>
      </x:c>
      <x:c r="B1025" s="32" t="str">
        <x:v>IDA</x:v>
      </x:c>
      <x:c r="C1025" s="194" t="n">
        <x:v>16.89</x:v>
      </x:c>
      <x:c r="D1025" s="194" t="n">
        <x:v>16.89</x:v>
      </x:c>
      <x:c r="E1025" s="186"/>
      <x:c r="F1025" s="32" t="n">
        <x:f t="shared" si="15"/>
        <x:v>5</x:v>
      </x:c>
      <x:c r="G1025" s="32" t="str">
        <x:v>Country</x:v>
      </x:c>
      <x:c r="H1025" s="32" t="str">
        <x:v>Member</x:v>
      </x:c>
      <x:c r="I1025" s="35" t="str">
        <x:v>Universal</x:v>
      </x:c>
      <x:c r="J1025" s="151" t="str">
        <x:v>Institution-specific published voting measure</x:v>
      </x:c>
      <x:c r="K1025" s="196"/>
      <x:c r="L1025" s="196"/>
    </x:row>
    <x:row r="1026">
      <x:c r="A1026" s="26" t="str">
        <x:v>URUGUAY</x:v>
      </x:c>
      <x:c r="B1026" s="27" t="str">
        <x:v>IDA</x:v>
      </x:c>
      <x:c r="C1026" s="193" t="n">
        <x:v>0.14</x:v>
      </x:c>
      <x:c r="D1026" s="193" t="n">
        <x:v>0.14</x:v>
      </x:c>
      <x:c r="E1026" s="185"/>
      <x:c r="F1026" s="27" t="n">
        <x:f t="shared" si="15"/>
        <x:v>5</x:v>
      </x:c>
      <x:c r="G1026" s="27" t="str">
        <x:v>Country</x:v>
      </x:c>
      <x:c r="H1026" s="27" t="str">
        <x:v>Member</x:v>
      </x:c>
      <x:c r="I1026" s="30" t="str">
        <x:v>Universal</x:v>
      </x:c>
      <x:c r="J1026" s="151" t="str">
        <x:v>Institution-specific published voting measure</x:v>
      </x:c>
      <x:c r="K1026" s="196"/>
      <x:c r="L1026" s="196"/>
    </x:row>
    <x:row r="1027">
      <x:c r="A1027" s="31" t="str">
        <x:v>UZBEKISTAN</x:v>
      </x:c>
      <x:c r="B1027" s="32" t="str">
        <x:v>IDA</x:v>
      </x:c>
      <x:c r="C1027" s="194" t="n">
        <x:v>0.15</x:v>
      </x:c>
      <x:c r="D1027" s="194" t="n">
        <x:v>0.15</x:v>
      </x:c>
      <x:c r="E1027" s="186"/>
      <x:c r="F1027" s="32" t="n">
        <x:f t="shared" ref="F1027:F1033" si="16">COUNTIF(A1027:A2058,A1027)</x:f>
        <x:v>1</x:v>
      </x:c>
      <x:c r="G1027" s="32" t="str">
        <x:v>Country</x:v>
      </x:c>
      <x:c r="H1027" s="32" t="str">
        <x:v>Member</x:v>
      </x:c>
      <x:c r="I1027" s="35" t="str">
        <x:v>Universal</x:v>
      </x:c>
      <x:c r="J1027" s="151" t="str">
        <x:v>Institution-specific published voting measure</x:v>
      </x:c>
      <x:c r="K1027" s="196"/>
      <x:c r="L1027" s="196"/>
    </x:row>
    <x:row r="1028">
      <x:c r="A1028" s="26" t="str">
        <x:v>VANUATU</x:v>
      </x:c>
      <x:c r="B1028" s="27" t="str">
        <x:v>IDA</x:v>
      </x:c>
      <x:c r="C1028" s="193" t="n">
        <x:v>0.03</x:v>
      </x:c>
      <x:c r="D1028" s="193" t="n">
        <x:v>0.03</x:v>
      </x:c>
      <x:c r="E1028" s="185"/>
      <x:c r="F1028" s="27" t="n">
        <x:f t="shared" si="16"/>
        <x:v>4</x:v>
      </x:c>
      <x:c r="G1028" s="27" t="str">
        <x:v>Country</x:v>
      </x:c>
      <x:c r="H1028" s="27" t="str">
        <x:v>Member</x:v>
      </x:c>
      <x:c r="I1028" s="30" t="str">
        <x:v>Universal</x:v>
      </x:c>
      <x:c r="J1028" s="151" t="str">
        <x:v>Institution-specific published voting measure</x:v>
      </x:c>
      <x:c r="K1028" s="196"/>
      <x:c r="L1028" s="196"/>
    </x:row>
    <x:row r="1029">
      <x:c r="A1029" s="31" t="str">
        <x:v>VENEZUELA, REPUBLICA BOLIVARIANA DE</x:v>
      </x:c>
      <x:c r="B1029" s="32" t="str">
        <x:v>IDA</x:v>
      </x:c>
      <x:c r="C1029" s="194" t="n">
        <x:v>0.74</x:v>
      </x:c>
      <x:c r="D1029" s="194" t="n">
        <x:v>0.74</x:v>
      </x:c>
      <x:c r="E1029" s="186"/>
      <x:c r="F1029" s="32" t="n">
        <x:f t="shared" si="16"/>
        <x:v>5</x:v>
      </x:c>
      <x:c r="G1029" s="32" t="str">
        <x:v>Country</x:v>
      </x:c>
      <x:c r="H1029" s="32" t="str">
        <x:v>Member</x:v>
      </x:c>
      <x:c r="I1029" s="35" t="str">
        <x:v>Universal</x:v>
      </x:c>
      <x:c r="J1029" s="151" t="str">
        <x:v>Institution-specific published voting measure</x:v>
      </x:c>
      <x:c r="K1029" s="196"/>
      <x:c r="L1029" s="196"/>
    </x:row>
    <x:row r="1030">
      <x:c r="A1030" s="26" t="str">
        <x:v>VIET NAM</x:v>
      </x:c>
      <x:c r="B1030" s="27" t="str">
        <x:v>IDA</x:v>
      </x:c>
      <x:c r="C1030" s="193" t="n">
        <x:v>0.19</x:v>
      </x:c>
      <x:c r="D1030" s="193" t="n">
        <x:v>0.19</x:v>
      </x:c>
      <x:c r="E1030" s="185"/>
      <x:c r="F1030" s="27" t="n">
        <x:f t="shared" si="16"/>
        <x:v>4</x:v>
      </x:c>
      <x:c r="G1030" s="27" t="str">
        <x:v>Country</x:v>
      </x:c>
      <x:c r="H1030" s="27" t="str">
        <x:v>Member</x:v>
      </x:c>
      <x:c r="I1030" s="30" t="str">
        <x:v>Universal</x:v>
      </x:c>
      <x:c r="J1030" s="151" t="str">
        <x:v>Institution-specific published voting measure</x:v>
      </x:c>
      <x:c r="K1030" s="196"/>
      <x:c r="L1030" s="196"/>
    </x:row>
    <x:row r="1031">
      <x:c r="A1031" s="31" t="str">
        <x:v>YEMEN, REPUBLIC OF</x:v>
      </x:c>
      <x:c r="B1031" s="32" t="str">
        <x:v>IDA</x:v>
      </x:c>
      <x:c r="C1031" s="194" t="n">
        <x:v>0.08</x:v>
      </x:c>
      <x:c r="D1031" s="194" t="n">
        <x:v>0.08</x:v>
      </x:c>
      <x:c r="E1031" s="186"/>
      <x:c r="F1031" s="32" t="n">
        <x:f t="shared" si="16"/>
        <x:v>2</x:v>
      </x:c>
      <x:c r="G1031" s="32" t="str">
        <x:v>Country</x:v>
      </x:c>
      <x:c r="H1031" s="32" t="str">
        <x:v>Member</x:v>
      </x:c>
      <x:c r="I1031" s="35" t="str">
        <x:v>Universal</x:v>
      </x:c>
      <x:c r="J1031" s="151" t="str">
        <x:v>Institution-specific published voting measure</x:v>
      </x:c>
      <x:c r="K1031" s="196"/>
      <x:c r="L1031" s="196"/>
    </x:row>
    <x:row r="1032">
      <x:c r="A1032" s="26" t="str">
        <x:v>ZAMBIA</x:v>
      </x:c>
      <x:c r="B1032" s="27" t="str">
        <x:v>IDA</x:v>
      </x:c>
      <x:c r="C1032" s="193" t="n">
        <x:v>0.17</x:v>
      </x:c>
      <x:c r="D1032" s="193" t="n">
        <x:v>0.17</x:v>
      </x:c>
      <x:c r="E1032" s="185"/>
      <x:c r="F1032" s="27" t="n">
        <x:f t="shared" si="16"/>
        <x:v>3</x:v>
      </x:c>
      <x:c r="G1032" s="27" t="str">
        <x:v>Country</x:v>
      </x:c>
      <x:c r="H1032" s="27" t="str">
        <x:v>Member</x:v>
      </x:c>
      <x:c r="I1032" s="30" t="str">
        <x:v>Universal</x:v>
      </x:c>
      <x:c r="J1032" s="151" t="str">
        <x:v>Institution-specific published voting measure</x:v>
      </x:c>
      <x:c r="K1032" s="196"/>
      <x:c r="L1032" s="196"/>
    </x:row>
    <x:row r="1033">
      <x:c r="A1033" s="14" t="str">
        <x:v>ZIMBABWE</x:v>
      </x:c>
      <x:c r="B1033" s="16" t="str">
        <x:v>IDA</x:v>
      </x:c>
      <x:c r="C1033" s="195" t="n">
        <x:v>0.14</x:v>
      </x:c>
      <x:c r="D1033" s="195" t="n">
        <x:v>0.14</x:v>
      </x:c>
      <x:c r="E1033" s="187"/>
      <x:c r="F1033" s="16" t="n">
        <x:f t="shared" si="16"/>
        <x:v>3</x:v>
      </x:c>
      <x:c r="G1033" s="16" t="str">
        <x:v>Country</x:v>
      </x:c>
      <x:c r="H1033" s="16" t="str">
        <x:v>Member</x:v>
      </x:c>
      <x:c r="I1033" s="15" t="str">
        <x:v>Universal</x:v>
      </x:c>
      <x:c r="J1033" s="151" t="str">
        <x:v>Institution-specific published voting measure</x:v>
      </x:c>
      <x:c r="K1033" s="196"/>
      <x:c r="L1033" s="196"/>
    </x:row>
    <x:row r="1034">
      <x:c r="A1034" s="151" t="str">
        <x:v>Guatemala</x:v>
      </x:c>
      <x:c r="B1034" s="151" t="str">
        <x:v>cabei</x:v>
      </x:c>
      <x:c r="C1034" s="196" t="n">
        <x:f>Country_Shares!L660*100</x:f>
        <x:v>10.313298955670147</x:v>
      </x:c>
      <x:c r="D1034" s="339" t="n">
        <x:f>Country_Shares!Y660*100</x:f>
        <x:v>10.684427641664115</x:v>
      </x:c>
      <x:c r="E1034" s="188" t="n">
        <x:v>45657</x:v>
      </x:c>
      <x:c r="F1034" s="151" t="n">
        <x:v>4</x:v>
      </x:c>
      <x:c r="G1034" s="151" t="str">
        <x:v>Country</x:v>
      </x:c>
      <x:c r="H1034" s="151" t="str">
        <x:v>Founding</x:v>
      </x:c>
      <x:c r="I1034" s="151" t="str">
        <x:v>Regional</x:v>
      </x:c>
      <x:c r="J1034" s="151" t="str">
        <x:v>Country-normalized ordinary loan-decision voting power; identical to formal CABEI member-weight share</x:v>
      </x:c>
      <x:c r="K1034" s="196" t="n">
        <x:f>Country_Shares!X660*100</x:f>
        <x:v>10.684427641664115</x:v>
      </x:c>
      <x:c r="L1034" s="339" t="n">
        <x:f>Country_Shares!Y660*100</x:f>
        <x:v>10.684427641664115</x:v>
      </x:c>
    </x:row>
    <x:row r="1035">
      <x:c r="A1035" s="151" t="str">
        <x:v>El Salvador</x:v>
      </x:c>
      <x:c r="B1035" s="151" t="str">
        <x:v>cabei</x:v>
      </x:c>
      <x:c r="C1035" s="196" t="n">
        <x:f>Country_Shares!L661*100</x:f>
        <x:v>10.313298955670147</x:v>
      </x:c>
      <x:c r="D1035" s="339" t="n">
        <x:f>Country_Shares!Y661*100</x:f>
        <x:v>10.684427641664115</x:v>
      </x:c>
      <x:c r="E1035" s="188" t="n">
        <x:v>45657</x:v>
      </x:c>
      <x:c r="F1035" s="151" t="n">
        <x:v>5</x:v>
      </x:c>
      <x:c r="G1035" s="151" t="str">
        <x:v>Country</x:v>
      </x:c>
      <x:c r="H1035" s="151" t="str">
        <x:v>Founding</x:v>
      </x:c>
      <x:c r="I1035" s="151" t="str">
        <x:v>Regional</x:v>
      </x:c>
      <x:c r="J1035" s="151" t="str">
        <x:v>Country-normalized ordinary loan-decision voting power; identical to formal CABEI member-weight share</x:v>
      </x:c>
      <x:c r="K1035" s="196" t="n">
        <x:f>Country_Shares!X661*100</x:f>
        <x:v>10.684427641664115</x:v>
      </x:c>
      <x:c r="L1035" s="339" t="n">
        <x:f>Country_Shares!Y661*100</x:f>
        <x:v>10.684427641664115</x:v>
      </x:c>
    </x:row>
    <x:row r="1036">
      <x:c r="A1036" s="151" t="str">
        <x:v>Honduras</x:v>
      </x:c>
      <x:c r="B1036" s="151" t="str">
        <x:v>cabei</x:v>
      </x:c>
      <x:c r="C1036" s="196" t="n">
        <x:f>Country_Shares!L662*100</x:f>
        <x:v>10.313298955670147</x:v>
      </x:c>
      <x:c r="D1036" s="339" t="n">
        <x:f>Country_Shares!Y662*100</x:f>
        <x:v>10.684427641664115</x:v>
      </x:c>
      <x:c r="E1036" s="188" t="n">
        <x:v>45657</x:v>
      </x:c>
      <x:c r="F1036" s="151" t="n">
        <x:v>5</x:v>
      </x:c>
      <x:c r="G1036" s="151" t="str">
        <x:v>Country</x:v>
      </x:c>
      <x:c r="H1036" s="151" t="str">
        <x:v>Founding</x:v>
      </x:c>
      <x:c r="I1036" s="151" t="str">
        <x:v>Regional</x:v>
      </x:c>
      <x:c r="J1036" s="151" t="str">
        <x:v>Country-normalized ordinary loan-decision voting power; identical to formal CABEI member-weight share</x:v>
      </x:c>
      <x:c r="K1036" s="196" t="n">
        <x:f>Country_Shares!X662*100</x:f>
        <x:v>10.684427641664115</x:v>
      </x:c>
      <x:c r="L1036" s="339" t="n">
        <x:f>Country_Shares!Y662*100</x:f>
        <x:v>10.684427641664115</x:v>
      </x:c>
    </x:row>
    <x:row r="1037">
      <x:c r="A1037" s="151" t="str">
        <x:v>Nicaragua</x:v>
      </x:c>
      <x:c r="B1037" s="151" t="str">
        <x:v>cabei</x:v>
      </x:c>
      <x:c r="C1037" s="196" t="n">
        <x:f>Country_Shares!L663*100</x:f>
        <x:v>10.313298955670147</x:v>
      </x:c>
      <x:c r="D1037" s="339" t="n">
        <x:f>Country_Shares!Y663*100</x:f>
        <x:v>10.684427641664115</x:v>
      </x:c>
      <x:c r="E1037" s="188" t="n">
        <x:v>45657</x:v>
      </x:c>
      <x:c r="F1037" s="151" t="n">
        <x:v>4</x:v>
      </x:c>
      <x:c r="G1037" s="151" t="str">
        <x:v>Country</x:v>
      </x:c>
      <x:c r="H1037" s="151" t="str">
        <x:v>Founding</x:v>
      </x:c>
      <x:c r="I1037" s="151" t="str">
        <x:v>Regional</x:v>
      </x:c>
      <x:c r="J1037" s="151" t="str">
        <x:v>Country-normalized ordinary loan-decision voting power; identical to formal CABEI member-weight share</x:v>
      </x:c>
      <x:c r="K1037" s="196" t="n">
        <x:f>Country_Shares!X663*100</x:f>
        <x:v>10.684427641664115</x:v>
      </x:c>
      <x:c r="L1037" s="339" t="n">
        <x:f>Country_Shares!Y663*100</x:f>
        <x:v>10.684427641664115</x:v>
      </x:c>
    </x:row>
    <x:row r="1038">
      <x:c r="A1038" s="151" t="str">
        <x:v>Costa Rica</x:v>
      </x:c>
      <x:c r="B1038" s="151" t="str">
        <x:v>cabei</x:v>
      </x:c>
      <x:c r="C1038" s="196" t="n">
        <x:f>Country_Shares!L664*100</x:f>
        <x:v>10.313298955670147</x:v>
      </x:c>
      <x:c r="D1038" s="339" t="n">
        <x:f>Country_Shares!Y664*100</x:f>
        <x:v>10.684427641664115</x:v>
      </x:c>
      <x:c r="E1038" s="188" t="n">
        <x:v>45657</x:v>
      </x:c>
      <x:c r="F1038" s="151" t="n">
        <x:v>5</x:v>
      </x:c>
      <x:c r="G1038" s="151" t="str">
        <x:v>Country</x:v>
      </x:c>
      <x:c r="H1038" s="151" t="str">
        <x:v>Founding</x:v>
      </x:c>
      <x:c r="I1038" s="151" t="str">
        <x:v>Regional</x:v>
      </x:c>
      <x:c r="J1038" s="151" t="str">
        <x:v>Country-normalized ordinary loan-decision voting power; identical to formal CABEI member-weight share</x:v>
      </x:c>
      <x:c r="K1038" s="196" t="n">
        <x:f>Country_Shares!X664*100</x:f>
        <x:v>10.684427641664115</x:v>
      </x:c>
      <x:c r="L1038" s="339" t="n">
        <x:f>Country_Shares!Y664*100</x:f>
        <x:v>10.684427641664115</x:v>
      </x:c>
    </x:row>
    <x:row r="1039">
      <x:c r="A1039" s="151" t="str">
        <x:v>Dominican Republic</x:v>
      </x:c>
      <x:c r="B1039" s="151" t="str">
        <x:v>cabei</x:v>
      </x:c>
      <x:c r="C1039" s="196" t="n">
        <x:f>Country_Shares!L665*100</x:f>
        <x:v>5.46575955857925</x:v>
      </x:c>
      <x:c r="D1039" s="339" t="n">
        <x:f>Country_Shares!Y665*100</x:f>
        <x:v>4.966551491288239</x:v>
      </x:c>
      <x:c r="E1039" s="188" t="n">
        <x:v>45657</x:v>
      </x:c>
      <x:c r="F1039" s="151" t="n">
        <x:v>5</x:v>
      </x:c>
      <x:c r="G1039" s="151" t="str">
        <x:v>Country</x:v>
      </x:c>
      <x:c r="H1039" s="151" t="str">
        <x:v>Regional non-founding</x:v>
      </x:c>
      <x:c r="I1039" s="151" t="str">
        <x:v>Regional</x:v>
      </x:c>
      <x:c r="J1039" s="151" t="str">
        <x:v>Country-normalized ordinary loan-decision voting power; identical to formal CABEI member-weight share</x:v>
      </x:c>
      <x:c r="K1039" s="196" t="n">
        <x:f>Country_Shares!X665*100</x:f>
        <x:v>4.966551491288239</x:v>
      </x:c>
      <x:c r="L1039" s="339" t="n">
        <x:f>Country_Shares!Y665*100</x:f>
        <x:v>4.966551491288239</x:v>
      </x:c>
    </x:row>
    <x:row r="1040">
      <x:c r="A1040" s="151" t="str">
        <x:v>Panama</x:v>
      </x:c>
      <x:c r="B1040" s="151" t="str">
        <x:v>cabei</x:v>
      </x:c>
      <x:c r="C1040" s="196" t="n">
        <x:f>Country_Shares!L666*100</x:f>
        <x:v>5.176871632650113</x:v>
      </x:c>
      <x:c r="D1040" s="339" t="n">
        <x:f>Country_Shares!Y666*100</x:f>
        <x:v>4.790534781435251</x:v>
      </x:c>
      <x:c r="E1040" s="188" t="n">
        <x:v>45657</x:v>
      </x:c>
      <x:c r="F1040" s="151" t="n">
        <x:v>5</x:v>
      </x:c>
      <x:c r="G1040" s="151" t="str">
        <x:v>Country</x:v>
      </x:c>
      <x:c r="H1040" s="151" t="str">
        <x:v>Regional non-founding</x:v>
      </x:c>
      <x:c r="I1040" s="151" t="str">
        <x:v>Regional</x:v>
      </x:c>
      <x:c r="J1040" s="151" t="str">
        <x:v>Country-normalized ordinary loan-decision voting power; identical to formal CABEI member-weight share</x:v>
      </x:c>
      <x:c r="K1040" s="196" t="n">
        <x:f>Country_Shares!X666*100</x:f>
        <x:v>4.790534781435251</x:v>
      </x:c>
      <x:c r="L1040" s="339" t="n">
        <x:f>Country_Shares!Y666*100</x:f>
        <x:v>4.790534781435251</x:v>
      </x:c>
    </x:row>
    <x:row r="1041">
      <x:c r="A1041" s="151" t="str">
        <x:v>Belize</x:v>
      </x:c>
      <x:c r="B1041" s="151" t="str">
        <x:v>cabei</x:v>
      </x:c>
      <x:c r="C1041" s="196" t="n">
        <x:f>Country_Shares!L667*100</x:f>
        <x:v>0.36110990741141974</x:v>
      </x:c>
      <x:c r="D1041" s="339" t="n">
        <x:f>Country_Shares!Y667*100</x:f>
        <x:v>0.3341117183391277</x:v>
      </x:c>
      <x:c r="E1041" s="188" t="n">
        <x:v>45657</x:v>
      </x:c>
      <x:c r="F1041" s="151" t="n">
        <x:v>5</x:v>
      </x:c>
      <x:c r="G1041" s="151" t="str">
        <x:v>Country</x:v>
      </x:c>
      <x:c r="H1041" s="151" t="str">
        <x:v>Regional non-founding</x:v>
      </x:c>
      <x:c r="I1041" s="151" t="str">
        <x:v>Regional</x:v>
      </x:c>
      <x:c r="J1041" s="151" t="str">
        <x:v>Country-normalized ordinary loan-decision voting power; identical to formal CABEI member-weight share</x:v>
      </x:c>
      <x:c r="K1041" s="196" t="n">
        <x:f>Country_Shares!X667*100</x:f>
        <x:v>0.3341117183391277</x:v>
      </x:c>
      <x:c r="L1041" s="339" t="n">
        <x:f>Country_Shares!Y667*100</x:f>
        <x:v>0.3341117183391277</x:v>
      </x:c>
    </x:row>
    <x:row r="1042">
      <x:c r="A1042" s="151" t="str">
        <x:v>Taiwan</x:v>
      </x:c>
      <x:c r="B1042" s="151" t="str">
        <x:v>cabei</x:v>
      </x:c>
      <x:c r="C1042" s="196" t="n">
        <x:f>Country_Shares!L668*100</x:f>
        <x:v>11.212462625124584</x:v>
      </x:c>
      <x:c r="D1042" s="339" t="n">
        <x:f>Country_Shares!Y668*100</x:f>
        <x:v>11.37046610291537</x:v>
      </x:c>
      <x:c r="E1042" s="188" t="n">
        <x:v>45657</x:v>
      </x:c>
      <x:c r="F1042" s="151" t="n">
        <x:v>2</x:v>
      </x:c>
      <x:c r="G1042" s="151" t="str">
        <x:v>Country</x:v>
      </x:c>
      <x:c r="H1042" s="151" t="str">
        <x:v>Non-regional</x:v>
      </x:c>
      <x:c r="I1042" s="151" t="str">
        <x:v>Regional</x:v>
      </x:c>
      <x:c r="J1042" s="151" t="str">
        <x:v>Country-normalized ordinary loan-decision voting power; identical to formal CABEI member-weight share</x:v>
      </x:c>
      <x:c r="K1042" s="196" t="n">
        <x:f>Country_Shares!X668*100</x:f>
        <x:v>11.37046610291537</x:v>
      </x:c>
      <x:c r="L1042" s="339" t="n">
        <x:f>Country_Shares!Y668*100</x:f>
        <x:v>11.37046610291537</x:v>
      </x:c>
    </x:row>
    <x:row r="1043">
      <x:c r="A1043" s="151" t="str">
        <x:v>Korea, Republic of</x:v>
      </x:c>
      <x:c r="B1043" s="151" t="str">
        <x:v>cabei</x:v>
      </x:c>
      <x:c r="C1043" s="196" t="n">
        <x:f>Country_Shares!L669*100</x:f>
        <x:v>9.099969666767779</x:v>
      </x:c>
      <x:c r="D1043" s="339" t="n">
        <x:f>Country_Shares!Y669*100</x:f>
        <x:v>7.592934155882531</x:v>
      </x:c>
      <x:c r="E1043" s="188" t="n">
        <x:v>45657</x:v>
      </x:c>
      <x:c r="F1043" s="151" t="n">
        <x:v>8</x:v>
      </x:c>
      <x:c r="G1043" s="151" t="str">
        <x:v>Country</x:v>
      </x:c>
      <x:c r="H1043" s="151" t="str">
        <x:v>Non-regional</x:v>
      </x:c>
      <x:c r="I1043" s="151" t="str">
        <x:v>Regional</x:v>
      </x:c>
      <x:c r="J1043" s="151" t="str">
        <x:v>Country-normalized ordinary loan-decision voting power; identical to formal CABEI member-weight share</x:v>
      </x:c>
      <x:c r="K1043" s="196" t="n">
        <x:f>Country_Shares!X669*100</x:f>
        <x:v>7.592934155882531</x:v>
      </x:c>
      <x:c r="L1043" s="339" t="n">
        <x:f>Country_Shares!Y669*100</x:f>
        <x:v>7.592934155882531</x:v>
      </x:c>
    </x:row>
    <x:row r="1044">
      <x:c r="A1044" s="151" t="str">
        <x:v>Mexico</x:v>
      </x:c>
      <x:c r="B1044" s="151" t="str">
        <x:v>cabei</x:v>
      </x:c>
      <x:c r="C1044" s="196" t="n">
        <x:f>Country_Shares!L670*100</x:f>
        <x:v>4.423596365789892</x:v>
      </x:c>
      <x:c r="D1044" s="339" t="n">
        <x:f>Country_Shares!Y670*100</x:f>
        <x:v>4.977112493879419</x:v>
      </x:c>
      <x:c r="E1044" s="188" t="n">
        <x:v>45657</x:v>
      </x:c>
      <x:c r="F1044" s="151" t="n">
        <x:v>7</x:v>
      </x:c>
      <x:c r="G1044" s="151" t="str">
        <x:v>Country</x:v>
      </x:c>
      <x:c r="H1044" s="151" t="str">
        <x:v>Non-regional</x:v>
      </x:c>
      <x:c r="I1044" s="151" t="str">
        <x:v>Regional</x:v>
      </x:c>
      <x:c r="J1044" s="151" t="str">
        <x:v>Country-normalized ordinary loan-decision voting power; identical to formal CABEI member-weight share</x:v>
      </x:c>
      <x:c r="K1044" s="196" t="n">
        <x:f>Country_Shares!X670*100</x:f>
        <x:v>4.977112493879419</x:v>
      </x:c>
      <x:c r="L1044" s="339" t="n">
        <x:f>Country_Shares!Y670*100</x:f>
        <x:v>4.977112493879419</x:v>
      </x:c>
    </x:row>
    <x:row r="1045">
      <x:c r="A1045" s="151" t="str">
        <x:v>Argentina</x:v>
      </x:c>
      <x:c r="B1045" s="151" t="str">
        <x:v>cabei</x:v>
      </x:c>
      <x:c r="C1045" s="196" t="n">
        <x:f>Country_Shares!L671*100</x:f>
        <x:v>4.994872239314758</x:v>
      </x:c>
      <x:c r="D1045" s="339" t="n">
        <x:f>Country_Shares!Y671*100</x:f>
        <x:v>4.680124299800195</x:v>
      </x:c>
      <x:c r="E1045" s="188" t="n">
        <x:v>45657</x:v>
      </x:c>
      <x:c r="F1045" s="151" t="n">
        <x:v>7</x:v>
      </x:c>
      <x:c r="G1045" s="151" t="str">
        <x:v>Country</x:v>
      </x:c>
      <x:c r="H1045" s="151" t="str">
        <x:v>Non-regional</x:v>
      </x:c>
      <x:c r="I1045" s="151" t="str">
        <x:v>Regional</x:v>
      </x:c>
      <x:c r="J1045" s="151" t="str">
        <x:v>Country-normalized ordinary loan-decision voting power; identical to formal CABEI member-weight share</x:v>
      </x:c>
      <x:c r="K1045" s="196" t="n">
        <x:f>Country_Shares!X671*100</x:f>
        <x:v>4.680124299800195</x:v>
      </x:c>
      <x:c r="L1045" s="339" t="n">
        <x:f>Country_Shares!Y671*100</x:f>
        <x:v>4.680124299800195</x:v>
      </x:c>
    </x:row>
    <x:row r="1046">
      <x:c r="A1046" s="151" t="str">
        <x:v>Spain</x:v>
      </x:c>
      <x:c r="B1046" s="151" t="str">
        <x:v>cabei</x:v>
      </x:c>
      <x:c r="C1046" s="196" t="n">
        <x:f>Country_Shares!L672*100</x:f>
        <x:v>4.044430963007901</x:v>
      </x:c>
      <x:c r="D1046" s="339" t="n">
        <x:f>Country_Shares!Y672*100</x:f>
        <x:v>4.189944432058083</x:v>
      </x:c>
      <x:c r="E1046" s="188" t="n">
        <x:v>45657</x:v>
      </x:c>
      <x:c r="F1046" s="151" t="n">
        <x:v>10</x:v>
      </x:c>
      <x:c r="G1046" s="151" t="str">
        <x:v>Country</x:v>
      </x:c>
      <x:c r="H1046" s="151" t="str">
        <x:v>Non-regional</x:v>
      </x:c>
      <x:c r="I1046" s="151" t="str">
        <x:v>Regional</x:v>
      </x:c>
      <x:c r="J1046" s="151" t="str">
        <x:v>Country-normalized ordinary loan-decision voting power; identical to formal CABEI member-weight share</x:v>
      </x:c>
      <x:c r="K1046" s="196" t="n">
        <x:f>Country_Shares!X672*100</x:f>
        <x:v>4.189944432058083</x:v>
      </x:c>
      <x:c r="L1046" s="339" t="n">
        <x:f>Country_Shares!Y672*100</x:f>
        <x:v>4.189944432058083</x:v>
      </x:c>
    </x:row>
    <x:row r="1047">
      <x:c r="A1047" s="151" t="str">
        <x:v>Colombia</x:v>
      </x:c>
      <x:c r="B1047" s="151" t="str">
        <x:v>cabei</x:v>
      </x:c>
      <x:c r="C1047" s="196" t="n">
        <x:f>Country_Shares!L673*100</x:f>
        <x:v>2.9322124481807283</x:v>
      </x:c>
      <x:c r="D1047" s="339" t="n">
        <x:f>Country_Shares!Y673*100</x:f>
        <x:v>3.0348481082470764</x:v>
      </x:c>
      <x:c r="E1047" s="188" t="n">
        <x:v>45657</x:v>
      </x:c>
      <x:c r="F1047" s="151" t="n">
        <x:v>6</x:v>
      </x:c>
      <x:c r="G1047" s="151" t="str">
        <x:v>Country</x:v>
      </x:c>
      <x:c r="H1047" s="151" t="str">
        <x:v>Non-regional</x:v>
      </x:c>
      <x:c r="I1047" s="151" t="str">
        <x:v>Regional</x:v>
      </x:c>
      <x:c r="J1047" s="151" t="str">
        <x:v>Country-normalized ordinary loan-decision voting power; identical to formal CABEI member-weight share</x:v>
      </x:c>
      <x:c r="K1047" s="196" t="n">
        <x:f>Country_Shares!X673*100</x:f>
        <x:v>3.0348481082470764</x:v>
      </x:c>
      <x:c r="L1047" s="339" t="n">
        <x:f>Country_Shares!Y673*100</x:f>
        <x:v>3.0348481082470764</x:v>
      </x:c>
    </x:row>
    <x:row r="1048">
      <x:c r="A1048" s="151" t="str">
        <x:v>Cuba</x:v>
      </x:c>
      <x:c r="B1048" s="151" t="str">
        <x:v>cabei</x:v>
      </x:c>
      <x:c r="C1048" s="196" t="n">
        <x:f>Country_Shares!L674*100</x:f>
        <x:v>0.7222198148228395</x:v>
      </x:c>
      <x:c r="D1048" s="339" t="n">
        <x:f>Country_Shares!Y674*100</x:f>
        <x:v>0.6412342078341303</x:v>
      </x:c>
      <x:c r="E1048" s="188" t="n">
        <x:v>45657</x:v>
      </x:c>
      <x:c r="F1048" s="151" t="n">
        <x:v>1</x:v>
      </x:c>
      <x:c r="G1048" s="151" t="str">
        <x:v>Country</x:v>
      </x:c>
      <x:c r="H1048" s="151" t="str">
        <x:v>Non-regional</x:v>
      </x:c>
      <x:c r="I1048" s="151" t="str">
        <x:v>Regional</x:v>
      </x:c>
      <x:c r="J1048" s="151" t="str">
        <x:v>Country-normalized ordinary loan-decision voting power; identical to formal CABEI member-weight share</x:v>
      </x:c>
      <x:c r="K1048" s="196" t="n">
        <x:f>Country_Shares!X674*100</x:f>
        <x:v>0.6412342078341303</x:v>
      </x:c>
      <x:c r="L1048" s="339" t="n">
        <x:f>Country_Shares!Y674*100</x:f>
        <x:v>0.6412342078341303</x:v>
      </x:c>
    </x:row>
    <x:row r="1049">
      <x:c r="A1049" s="151" t="str">
        <x:v>Peru</x:v>
      </x:c>
      <x:c r="B1049" s="151" t="str">
        <x:v>caf</x:v>
      </x:c>
      <x:c r="C1049" s="196" t="n">
        <x:f>Country_Shares!L675*100</x:f>
        <x:v>16.741854636591476</x:v>
      </x:c>
      <x:c r="D1049" s="339" t="n">
        <x:f>Country_Shares!Y675*100</x:f>
        <x:v>8.695652173913043</x:v>
      </x:c>
      <x:c r="E1049" s="188" t="n">
        <x:v>45657</x:v>
      </x:c>
      <x:c r="F1049" s="151" t="n">
        <x:v>5</x:v>
      </x:c>
      <x:c r="G1049" s="151" t="str">
        <x:v>Country</x:v>
      </x:c>
      <x:c r="H1049" s="151" t="str">
        <x:v>Full member (Series A/B)</x:v>
      </x:c>
      <x:c r="I1049" s="151" t="str">
        <x:v>Regional</x:v>
      </x:c>
      <x:c r="J1049" s="151" t="str">
        <x:v>Country-normalized ordinary loan-decision voting power; private-banking seat excluded</x:v>
      </x:c>
      <x:c r="K1049" s="196" t="n">
        <x:f>Country_Shares!X675*100</x:f>
        <x:v>8.333333333333332</x:v>
      </x:c>
      <x:c r="L1049" s="339" t="n">
        <x:f>Country_Shares!Y675*100</x:f>
        <x:v>8.695652173913043</x:v>
      </x:c>
    </x:row>
    <x:row r="1050">
      <x:c r="A1050" s="151" t="str">
        <x:v>Colombia</x:v>
      </x:c>
      <x:c r="B1050" s="151" t="str">
        <x:v>caf</x:v>
      </x:c>
      <x:c r="C1050" s="196" t="n">
        <x:f>Country_Shares!L676*100</x:f>
        <x:v>16.741854636591476</x:v>
      </x:c>
      <x:c r="D1050" s="339" t="n">
        <x:f>Country_Shares!Y676*100</x:f>
        <x:v>8.695652173913043</x:v>
      </x:c>
      <x:c r="E1050" s="188" t="n">
        <x:v>45657</x:v>
      </x:c>
      <x:c r="F1050" s="151" t="n">
        <x:v>6</x:v>
      </x:c>
      <x:c r="G1050" s="151" t="str">
        <x:v>Country</x:v>
      </x:c>
      <x:c r="H1050" s="151" t="str">
        <x:v>Full member (Series A/B)</x:v>
      </x:c>
      <x:c r="I1050" s="151" t="str">
        <x:v>Regional</x:v>
      </x:c>
      <x:c r="J1050" s="151" t="str">
        <x:v>Country-normalized ordinary loan-decision voting power; private-banking seat excluded</x:v>
      </x:c>
      <x:c r="K1050" s="196" t="n">
        <x:f>Country_Shares!X676*100</x:f>
        <x:v>8.333333333333332</x:v>
      </x:c>
      <x:c r="L1050" s="339" t="n">
        <x:f>Country_Shares!Y676*100</x:f>
        <x:v>8.695652173913043</x:v>
      </x:c>
    </x:row>
    <x:row r="1051">
      <x:c r="A1051" s="151" t="str">
        <x:v>Argentina</x:v>
      </x:c>
      <x:c r="B1051" s="151" t="str">
        <x:v>caf</x:v>
      </x:c>
      <x:c r="C1051" s="196" t="n">
        <x:f>Country_Shares!L677*100</x:f>
        <x:v>11.528822055137844</x:v>
      </x:c>
      <x:c r="D1051" s="339" t="n">
        <x:f>Country_Shares!Y677*100</x:f>
        <x:v>4.3478260869565215</x:v>
      </x:c>
      <x:c r="E1051" s="188" t="n">
        <x:v>45657</x:v>
      </x:c>
      <x:c r="F1051" s="151" t="n">
        <x:v>7</x:v>
      </x:c>
      <x:c r="G1051" s="151" t="str">
        <x:v>Country</x:v>
      </x:c>
      <x:c r="H1051" s="151" t="str">
        <x:v>Full member (Series A/B)</x:v>
      </x:c>
      <x:c r="I1051" s="151" t="str">
        <x:v>Regional</x:v>
      </x:c>
      <x:c r="J1051" s="151" t="str">
        <x:v>Country-normalized ordinary loan-decision voting power; private-banking seat excluded</x:v>
      </x:c>
      <x:c r="K1051" s="196" t="n">
        <x:f>Country_Shares!X677*100</x:f>
        <x:v>4.166666666666666</x:v>
      </x:c>
      <x:c r="L1051" s="339" t="n">
        <x:f>Country_Shares!Y677*100</x:f>
        <x:v>4.3478260869565215</x:v>
      </x:c>
    </x:row>
    <x:row r="1052">
      <x:c r="A1052" s="151" t="str">
        <x:v>Brazil</x:v>
      </x:c>
      <x:c r="B1052" s="151" t="str">
        <x:v>caf</x:v>
      </x:c>
      <x:c r="C1052" s="196" t="n">
        <x:f>Country_Shares!L678*100</x:f>
        <x:v>7.819548872180452</x:v>
      </x:c>
      <x:c r="D1052" s="339" t="n">
        <x:f>Country_Shares!Y678*100</x:f>
        <x:v>4.3478260869565215</x:v>
      </x:c>
      <x:c r="E1052" s="188" t="n">
        <x:v>45657</x:v>
      </x:c>
      <x:c r="F1052" s="151" t="n">
        <x:v>8</x:v>
      </x:c>
      <x:c r="G1052" s="151" t="str">
        <x:v>Country</x:v>
      </x:c>
      <x:c r="H1052" s="151" t="str">
        <x:v>Full member (Series A/B)</x:v>
      </x:c>
      <x:c r="I1052" s="151" t="str">
        <x:v>Regional</x:v>
      </x:c>
      <x:c r="J1052" s="151" t="str">
        <x:v>Country-normalized ordinary loan-decision voting power; private-banking seat excluded</x:v>
      </x:c>
      <x:c r="K1052" s="196" t="n">
        <x:f>Country_Shares!X678*100</x:f>
        <x:v>4.166666666666666</x:v>
      </x:c>
      <x:c r="L1052" s="339" t="n">
        <x:f>Country_Shares!Y678*100</x:f>
        <x:v>4.3478260869565215</x:v>
      </x:c>
    </x:row>
    <x:row r="1053">
      <x:c r="A1053" s="151" t="str">
        <x:v>Chile</x:v>
      </x:c>
      <x:c r="B1053" s="151" t="str">
        <x:v>caf</x:v>
      </x:c>
      <x:c r="C1053" s="196" t="n">
        <x:f>Country_Shares!L679*100</x:f>
        <x:v>6.616541353383458</x:v>
      </x:c>
      <x:c r="D1053" s="339" t="n">
        <x:f>Country_Shares!Y679*100</x:f>
        <x:v>4.3478260869565215</x:v>
      </x:c>
      <x:c r="E1053" s="188" t="n">
        <x:v>45657</x:v>
      </x:c>
      <x:c r="F1053" s="151" t="n">
        <x:v>5</x:v>
      </x:c>
      <x:c r="G1053" s="151" t="str">
        <x:v>Country</x:v>
      </x:c>
      <x:c r="H1053" s="151" t="str">
        <x:v>Full member (Series A/B)</x:v>
      </x:c>
      <x:c r="I1053" s="151" t="str">
        <x:v>Regional</x:v>
      </x:c>
      <x:c r="J1053" s="151" t="str">
        <x:v>Country-normalized ordinary loan-decision voting power; private-banking seat excluded</x:v>
      </x:c>
      <x:c r="K1053" s="196" t="n">
        <x:f>Country_Shares!X679*100</x:f>
        <x:v>4.166666666666666</x:v>
      </x:c>
      <x:c r="L1053" s="339" t="n">
        <x:f>Country_Shares!Y679*100</x:f>
        <x:v>4.3478260869565215</x:v>
      </x:c>
    </x:row>
    <x:row r="1054">
      <x:c r="A1054" s="151" t="str">
        <x:v>Ecuador</x:v>
      </x:c>
      <x:c r="B1054" s="151" t="str">
        <x:v>caf</x:v>
      </x:c>
      <x:c r="C1054" s="196" t="n">
        <x:f>Country_Shares!L680*100</x:f>
        <x:v>5.112781954887217</x:v>
      </x:c>
      <x:c r="D1054" s="339" t="n">
        <x:f>Country_Shares!Y680*100</x:f>
        <x:v>8.695652173913043</x:v>
      </x:c>
      <x:c r="E1054" s="188" t="n">
        <x:v>45657</x:v>
      </x:c>
      <x:c r="F1054" s="151" t="n">
        <x:v>5</x:v>
      </x:c>
      <x:c r="G1054" s="151" t="str">
        <x:v>Country</x:v>
      </x:c>
      <x:c r="H1054" s="151" t="str">
        <x:v>Full member (Series A/B)</x:v>
      </x:c>
      <x:c r="I1054" s="151" t="str">
        <x:v>Regional</x:v>
      </x:c>
      <x:c r="J1054" s="151" t="str">
        <x:v>Country-normalized ordinary loan-decision voting power; private-banking seat excluded</x:v>
      </x:c>
      <x:c r="K1054" s="196" t="n">
        <x:f>Country_Shares!X680*100</x:f>
        <x:v>8.333333333333332</x:v>
      </x:c>
      <x:c r="L1054" s="339" t="n">
        <x:f>Country_Shares!Y680*100</x:f>
        <x:v>8.695652173913043</x:v>
      </x:c>
    </x:row>
    <x:row r="1055">
      <x:c r="A1055" s="151" t="str">
        <x:v>Bolivia</x:v>
      </x:c>
      <x:c r="B1055" s="151" t="str">
        <x:v>caf</x:v>
      </x:c>
      <x:c r="C1055" s="196" t="n">
        <x:f>Country_Shares!L681*100</x:f>
        <x:v>5.112781954887217</x:v>
      </x:c>
      <x:c r="D1055" s="339" t="n">
        <x:f>Country_Shares!Y681*100</x:f>
        <x:v>8.695652173913043</x:v>
      </x:c>
      <x:c r="E1055" s="188" t="n">
        <x:v>45657</x:v>
      </x:c>
      <x:c r="F1055" s="151" t="n">
        <x:v>4</x:v>
      </x:c>
      <x:c r="G1055" s="151" t="str">
        <x:v>Country</x:v>
      </x:c>
      <x:c r="H1055" s="151" t="str">
        <x:v>Full member (Series A/B)</x:v>
      </x:c>
      <x:c r="I1055" s="151" t="str">
        <x:v>Regional</x:v>
      </x:c>
      <x:c r="J1055" s="151" t="str">
        <x:v>Country-normalized ordinary loan-decision voting power; private-banking seat excluded</x:v>
      </x:c>
      <x:c r="K1055" s="196" t="n">
        <x:f>Country_Shares!X681*100</x:f>
        <x:v>8.333333333333332</x:v>
      </x:c>
      <x:c r="L1055" s="339" t="n">
        <x:f>Country_Shares!Y681*100</x:f>
        <x:v>8.695652173913043</x:v>
      </x:c>
    </x:row>
    <x:row r="1056">
      <x:c r="A1056" s="151" t="str">
        <x:v>Panama</x:v>
      </x:c>
      <x:c r="B1056" s="151" t="str">
        <x:v>caf</x:v>
      </x:c>
      <x:c r="C1056" s="196" t="n">
        <x:f>Country_Shares!L682*100</x:f>
        <x:v>3.6090225563909777</x:v>
      </x:c>
      <x:c r="D1056" s="339" t="n">
        <x:f>Country_Shares!Y682*100</x:f>
        <x:v>4.3478260869565215</x:v>
      </x:c>
      <x:c r="E1056" s="188" t="n">
        <x:v>45657</x:v>
      </x:c>
      <x:c r="F1056" s="151" t="n">
        <x:v>5</x:v>
      </x:c>
      <x:c r="G1056" s="151" t="str">
        <x:v>Country</x:v>
      </x:c>
      <x:c r="H1056" s="151" t="str">
        <x:v>Full member (Series A/B)</x:v>
      </x:c>
      <x:c r="I1056" s="151" t="str">
        <x:v>Regional</x:v>
      </x:c>
      <x:c r="J1056" s="151" t="str">
        <x:v>Country-normalized ordinary loan-decision voting power; private-banking seat excluded</x:v>
      </x:c>
      <x:c r="K1056" s="196" t="n">
        <x:f>Country_Shares!X682*100</x:f>
        <x:v>4.166666666666666</x:v>
      </x:c>
      <x:c r="L1056" s="339" t="n">
        <x:f>Country_Shares!Y682*100</x:f>
        <x:v>4.3478260869565215</x:v>
      </x:c>
    </x:row>
    <x:row r="1057">
      <x:c r="A1057" s="151" t="str">
        <x:v>Paraguay</x:v>
      </x:c>
      <x:c r="B1057" s="151" t="str">
        <x:v>caf</x:v>
      </x:c>
      <x:c r="C1057" s="196" t="n">
        <x:f>Country_Shares!L683*100</x:f>
        <x:v>3.6090225563909777</x:v>
      </x:c>
      <x:c r="D1057" s="339" t="n">
        <x:f>Country_Shares!Y683*100</x:f>
        <x:v>4.3478260869565215</x:v>
      </x:c>
      <x:c r="E1057" s="188" t="n">
        <x:v>45657</x:v>
      </x:c>
      <x:c r="F1057" s="151" t="n">
        <x:v>4</x:v>
      </x:c>
      <x:c r="G1057" s="151" t="str">
        <x:v>Country</x:v>
      </x:c>
      <x:c r="H1057" s="151" t="str">
        <x:v>Full member (Series A/B)</x:v>
      </x:c>
      <x:c r="I1057" s="151" t="str">
        <x:v>Regional</x:v>
      </x:c>
      <x:c r="J1057" s="151" t="str">
        <x:v>Country-normalized ordinary loan-decision voting power; private-banking seat excluded</x:v>
      </x:c>
      <x:c r="K1057" s="196" t="n">
        <x:f>Country_Shares!X683*100</x:f>
        <x:v>4.166666666666666</x:v>
      </x:c>
      <x:c r="L1057" s="339" t="n">
        <x:f>Country_Shares!Y683*100</x:f>
        <x:v>4.3478260869565215</x:v>
      </x:c>
    </x:row>
    <x:row r="1058">
      <x:c r="A1058" s="151" t="str">
        <x:v>Trinidad and Tobago</x:v>
      </x:c>
      <x:c r="B1058" s="151" t="str">
        <x:v>caf</x:v>
      </x:c>
      <x:c r="C1058" s="196" t="n">
        <x:f>Country_Shares!L684*100</x:f>
        <x:v>3.4085213032581456</x:v>
      </x:c>
      <x:c r="D1058" s="339" t="n">
        <x:f>Country_Shares!Y684*100</x:f>
        <x:v>4.3478260869565215</x:v>
      </x:c>
      <x:c r="E1058" s="188" t="n">
        <x:v>45657</x:v>
      </x:c>
      <x:c r="F1058" s="151" t="n">
        <x:v>5</x:v>
      </x:c>
      <x:c r="G1058" s="151" t="str">
        <x:v>Country</x:v>
      </x:c>
      <x:c r="H1058" s="151" t="str">
        <x:v>Full member (Series A/B)</x:v>
      </x:c>
      <x:c r="I1058" s="151" t="str">
        <x:v>Regional</x:v>
      </x:c>
      <x:c r="J1058" s="151" t="str">
        <x:v>Country-normalized ordinary loan-decision voting power; private-banking seat excluded</x:v>
      </x:c>
      <x:c r="K1058" s="196" t="n">
        <x:f>Country_Shares!X684*100</x:f>
        <x:v>4.166666666666666</x:v>
      </x:c>
      <x:c r="L1058" s="339" t="n">
        <x:f>Country_Shares!Y684*100</x:f>
        <x:v>4.3478260869565215</x:v>
      </x:c>
    </x:row>
    <x:row r="1059">
      <x:c r="A1059" s="151" t="str">
        <x:v>Venezuela</x:v>
      </x:c>
      <x:c r="B1059" s="151" t="str">
        <x:v>caf</x:v>
      </x:c>
      <x:c r="C1059" s="196" t="n">
        <x:f>Country_Shares!L685*100</x:f>
        <x:v>3.007518796992481</x:v>
      </x:c>
      <x:c r="D1059" s="339" t="n">
        <x:f>Country_Shares!Y685*100</x:f>
        <x:v>8.695652173913043</x:v>
      </x:c>
      <x:c r="E1059" s="188" t="n">
        <x:v>45657</x:v>
      </x:c>
      <x:c r="F1059" s="151" t="n">
        <x:v>5</x:v>
      </x:c>
      <x:c r="G1059" s="151" t="str">
        <x:v>Country</x:v>
      </x:c>
      <x:c r="H1059" s="151" t="str">
        <x:v>Full member (Series A/B)</x:v>
      </x:c>
      <x:c r="I1059" s="151" t="str">
        <x:v>Regional</x:v>
      </x:c>
      <x:c r="J1059" s="151" t="str">
        <x:v>Country-normalized ordinary loan-decision voting power; private-banking seat excluded</x:v>
      </x:c>
      <x:c r="K1059" s="196" t="n">
        <x:f>Country_Shares!X685*100</x:f>
        <x:v>8.333333333333332</x:v>
      </x:c>
      <x:c r="L1059" s="339" t="n">
        <x:f>Country_Shares!Y685*100</x:f>
        <x:v>8.695652173913043</x:v>
      </x:c>
    </x:row>
    <x:row r="1060">
      <x:c r="A1060" s="151" t="str">
        <x:v>Uruguay</x:v>
      </x:c>
      <x:c r="B1060" s="151" t="str">
        <x:v>caf</x:v>
      </x:c>
      <x:c r="C1060" s="196" t="n">
        <x:f>Country_Shares!L686*100</x:f>
        <x:v>2.506265664160401</x:v>
      </x:c>
      <x:c r="D1060" s="339" t="n">
        <x:f>Country_Shares!Y686*100</x:f>
        <x:v>4.3478260869565215</x:v>
      </x:c>
      <x:c r="E1060" s="188" t="n">
        <x:v>45657</x:v>
      </x:c>
      <x:c r="F1060" s="151" t="n">
        <x:v>5</x:v>
      </x:c>
      <x:c r="G1060" s="151" t="str">
        <x:v>Country</x:v>
      </x:c>
      <x:c r="H1060" s="151" t="str">
        <x:v>Full member (Series A/B)</x:v>
      </x:c>
      <x:c r="I1060" s="151" t="str">
        <x:v>Regional</x:v>
      </x:c>
      <x:c r="J1060" s="151" t="str">
        <x:v>Country-normalized ordinary loan-decision voting power; private-banking seat excluded</x:v>
      </x:c>
      <x:c r="K1060" s="196" t="n">
        <x:f>Country_Shares!X686*100</x:f>
        <x:v>4.166666666666666</x:v>
      </x:c>
      <x:c r="L1060" s="339" t="n">
        <x:f>Country_Shares!Y686*100</x:f>
        <x:v>4.3478260869565215</x:v>
      </x:c>
    </x:row>
    <x:row r="1061">
      <x:c r="A1061" s="151" t="str">
        <x:v>Dominican Republic</x:v>
      </x:c>
      <x:c r="B1061" s="151" t="str">
        <x:v>caf</x:v>
      </x:c>
      <x:c r="C1061" s="196" t="n">
        <x:f>Country_Shares!L687*100</x:f>
        <x:v>2.0050125313283207</x:v>
      </x:c>
      <x:c r="D1061" s="339" t="n">
        <x:f>Country_Shares!Y687*100</x:f>
        <x:v>4.3478260869565215</x:v>
      </x:c>
      <x:c r="E1061" s="188" t="n">
        <x:v>45657</x:v>
      </x:c>
      <x:c r="F1061" s="151" t="n">
        <x:v>5</x:v>
      </x:c>
      <x:c r="G1061" s="151" t="str">
        <x:v>Country</x:v>
      </x:c>
      <x:c r="H1061" s="151" t="str">
        <x:v>Full member (Series A/B)</x:v>
      </x:c>
      <x:c r="I1061" s="151" t="str">
        <x:v>Regional</x:v>
      </x:c>
      <x:c r="J1061" s="151" t="str">
        <x:v>Country-normalized ordinary loan-decision voting power; private-banking seat excluded</x:v>
      </x:c>
      <x:c r="K1061" s="196" t="n">
        <x:f>Country_Shares!X687*100</x:f>
        <x:v>4.166666666666666</x:v>
      </x:c>
      <x:c r="L1061" s="339" t="n">
        <x:f>Country_Shares!Y687*100</x:f>
        <x:v>4.3478260869565215</x:v>
      </x:c>
    </x:row>
    <x:row r="1062">
      <x:c r="A1062" s="151" t="str">
        <x:v>Costa Rica</x:v>
      </x:c>
      <x:c r="B1062" s="151" t="str">
        <x:v>caf</x:v>
      </x:c>
      <x:c r="C1062" s="196" t="n">
        <x:f>Country_Shares!L688*100</x:f>
        <x:v>2.0050125313283207</x:v>
      </x:c>
      <x:c r="D1062" s="339" t="n">
        <x:f>Country_Shares!Y688*100</x:f>
        <x:v>4.3478260869565215</x:v>
      </x:c>
      <x:c r="E1062" s="188" t="n">
        <x:v>45657</x:v>
      </x:c>
      <x:c r="F1062" s="151" t="n">
        <x:v>5</x:v>
      </x:c>
      <x:c r="G1062" s="151" t="str">
        <x:v>Country</x:v>
      </x:c>
      <x:c r="H1062" s="151" t="str">
        <x:v>Full member (Series A/B)</x:v>
      </x:c>
      <x:c r="I1062" s="151" t="str">
        <x:v>Regional</x:v>
      </x:c>
      <x:c r="J1062" s="151" t="str">
        <x:v>Country-normalized ordinary loan-decision voting power; private-banking seat excluded</x:v>
      </x:c>
      <x:c r="K1062" s="196" t="n">
        <x:f>Country_Shares!X688*100</x:f>
        <x:v>4.166666666666666</x:v>
      </x:c>
      <x:c r="L1062" s="339" t="n">
        <x:f>Country_Shares!Y688*100</x:f>
        <x:v>4.3478260869565215</x:v>
      </x:c>
    </x:row>
    <x:row r="1063">
      <x:c r="A1063" s="151" t="str">
        <x:v>El Salvador</x:v>
      </x:c>
      <x:c r="B1063" s="151" t="str">
        <x:v>caf</x:v>
      </x:c>
      <x:c r="C1063" s="196" t="n">
        <x:f>Country_Shares!L689*100</x:f>
        <x:v>2.0050125313283207</x:v>
      </x:c>
      <x:c r="D1063" s="339" t="n">
        <x:f>Country_Shares!Y689*100</x:f>
        <x:v>4.3478260869565215</x:v>
      </x:c>
      <x:c r="E1063" s="188" t="n">
        <x:v>45657</x:v>
      </x:c>
      <x:c r="F1063" s="151" t="n">
        <x:v>5</x:v>
      </x:c>
      <x:c r="G1063" s="151" t="str">
        <x:v>Country</x:v>
      </x:c>
      <x:c r="H1063" s="151" t="str">
        <x:v>Full member (Series A/B)</x:v>
      </x:c>
      <x:c r="I1063" s="151" t="str">
        <x:v>Regional</x:v>
      </x:c>
      <x:c r="J1063" s="151" t="str">
        <x:v>Country-normalized ordinary loan-decision voting power; private-banking seat excluded</x:v>
      </x:c>
      <x:c r="K1063" s="196" t="n">
        <x:f>Country_Shares!X689*100</x:f>
        <x:v>4.166666666666666</x:v>
      </x:c>
      <x:c r="L1063" s="339" t="n">
        <x:f>Country_Shares!Y689*100</x:f>
        <x:v>4.3478260869565215</x:v>
      </x:c>
    </x:row>
    <x:row r="1064">
      <x:c r="A1064" s="151" t="str">
        <x:v>Honduras</x:v>
      </x:c>
      <x:c r="B1064" s="151" t="str">
        <x:v>caf</x:v>
      </x:c>
      <x:c r="C1064" s="196" t="n">
        <x:f>Country_Shares!L690*100</x:f>
        <x:v>2.0050125313283207</x:v>
      </x:c>
      <x:c r="D1064" s="339" t="n">
        <x:f>Country_Shares!Y690*100</x:f>
        <x:v>4.3478260869565215</x:v>
      </x:c>
      <x:c r="E1064" s="188" t="n">
        <x:v>45657</x:v>
      </x:c>
      <x:c r="F1064" s="151" t="n">
        <x:v>5</x:v>
      </x:c>
      <x:c r="G1064" s="151" t="str">
        <x:v>Country</x:v>
      </x:c>
      <x:c r="H1064" s="151" t="str">
        <x:v>Full member (Series A/B)</x:v>
      </x:c>
      <x:c r="I1064" s="151" t="str">
        <x:v>Regional</x:v>
      </x:c>
      <x:c r="J1064" s="151" t="str">
        <x:v>Country-normalized ordinary loan-decision voting power; private-banking seat excluded</x:v>
      </x:c>
      <x:c r="K1064" s="196" t="n">
        <x:f>Country_Shares!X690*100</x:f>
        <x:v>4.166666666666666</x:v>
      </x:c>
      <x:c r="L1064" s="339" t="n">
        <x:f>Country_Shares!Y690*100</x:f>
        <x:v>4.3478260869565215</x:v>
      </x:c>
    </x:row>
    <x:row r="1065">
      <x:c r="A1065" s="151" t="str">
        <x:v>Spain</x:v>
      </x:c>
      <x:c r="B1065" s="151" t="str">
        <x:v>caf</x:v>
      </x:c>
      <x:c r="C1065" s="196" t="n">
        <x:f>Country_Shares!L691*100</x:f>
        <x:v>4.511278195488721</x:v>
      </x:c>
      <x:c r="D1065" s="339" t="n">
        <x:f>Country_Shares!Y691*100</x:f>
        <x:v>4.3478260869565215</x:v>
      </x:c>
      <x:c r="E1065" s="188" t="n">
        <x:v>45657</x:v>
      </x:c>
      <x:c r="F1065" s="151" t="n">
        <x:v>10</x:v>
      </x:c>
      <x:c r="G1065" s="151" t="str">
        <x:v>Country</x:v>
      </x:c>
      <x:c r="H1065" s="151" t="str">
        <x:v>Associated shareholder (Series C)</x:v>
      </x:c>
      <x:c r="I1065" s="151" t="str">
        <x:v>Regional</x:v>
      </x:c>
      <x:c r="J1065" s="151" t="str">
        <x:v>Country-normalized ordinary loan-decision voting power; private-banking seat excluded</x:v>
      </x:c>
      <x:c r="K1065" s="196" t="n">
        <x:f>Country_Shares!X691*100</x:f>
        <x:v>4.166666666666666</x:v>
      </x:c>
      <x:c r="L1065" s="339" t="n">
        <x:f>Country_Shares!Y691*100</x:f>
        <x:v>4.3478260869565215</x:v>
      </x:c>
    </x:row>
    <x:row r="1066">
      <x:c r="A1066" s="151" t="str">
        <x:v>Mexico</x:v>
      </x:c>
      <x:c r="B1066" s="151" t="str">
        <x:v>caf</x:v>
      </x:c>
      <x:c r="C1066" s="196" t="n">
        <x:f>Country_Shares!L692*100</x:f>
        <x:v>0.9022556390977444</x:v>
      </x:c>
      <x:c r="D1066" s="339" t="n">
        <x:f>Country_Shares!Y692*100</x:f>
        <x:v>4.3478260869565215</x:v>
      </x:c>
      <x:c r="E1066" s="188" t="n">
        <x:v>45657</x:v>
      </x:c>
      <x:c r="F1066" s="151" t="n">
        <x:v>7</x:v>
      </x:c>
      <x:c r="G1066" s="151" t="str">
        <x:v>Country</x:v>
      </x:c>
      <x:c r="H1066" s="151" t="str">
        <x:v>Associated shareholder (Series C)</x:v>
      </x:c>
      <x:c r="I1066" s="151" t="str">
        <x:v>Regional</x:v>
      </x:c>
      <x:c r="J1066" s="151" t="str">
        <x:v>Country-normalized ordinary loan-decision voting power; private-banking seat excluded</x:v>
      </x:c>
      <x:c r="K1066" s="196" t="n">
        <x:f>Country_Shares!X692*100</x:f>
        <x:v>4.166666666666666</x:v>
      </x:c>
      <x:c r="L1066" s="339" t="n">
        <x:f>Country_Shares!Y692*100</x:f>
        <x:v>4.3478260869565215</x:v>
      </x:c>
    </x:row>
    <x:row r="1067">
      <x:c r="A1067" s="151" t="str">
        <x:v>Barbados</x:v>
      </x:c>
      <x:c r="B1067" s="151" t="str">
        <x:v>caf</x:v>
      </x:c>
      <x:c r="C1067" s="196" t="n">
        <x:f>Country_Shares!L693*100</x:f>
        <x:v>0.40100250626566414</x:v>
      </x:c>
      <x:c r="D1067" s="339" t="n">
        <x:f>Country_Shares!Y693*100</x:f>
        <x:v>0</x:v>
      </x:c>
      <x:c r="E1067" s="188" t="n">
        <x:v>45657</x:v>
      </x:c>
      <x:c r="F1067" s="151" t="n">
        <x:v>5</x:v>
      </x:c>
      <x:c r="G1067" s="151" t="str">
        <x:v>Country</x:v>
      </x:c>
      <x:c r="H1067" s="151" t="str">
        <x:v>Associated shareholder (Series C)</x:v>
      </x:c>
      <x:c r="I1067" s="151" t="str">
        <x:v>Regional</x:v>
      </x:c>
      <x:c r="J1067" s="151" t="str">
        <x:v>Country-normalized ordinary loan-decision voting power: 0.00%; no principal country-attributed Board seat in the year-end snapshot</x:v>
      </x:c>
      <x:c r="K1067" s="196" t="n">
        <x:f>Country_Shares!X693*100</x:f>
        <x:v>0</x:v>
      </x:c>
      <x:c r="L1067" s="339" t="n">
        <x:f>Country_Shares!Y693*100</x:f>
        <x:v>0</x:v>
      </x:c>
    </x:row>
    <x:row r="1068">
      <x:c r="A1068" s="151" t="str">
        <x:v>Bahamas</x:v>
      </x:c>
      <x:c r="B1068" s="151" t="str">
        <x:v>caf</x:v>
      </x:c>
      <x:c r="C1068" s="196" t="n">
        <x:f>Country_Shares!L694*100</x:f>
        <x:v>0.20050125313283207</x:v>
      </x:c>
      <x:c r="D1068" s="339" t="n">
        <x:f>Country_Shares!Y694*100</x:f>
        <x:v>0</x:v>
      </x:c>
      <x:c r="E1068" s="188" t="n">
        <x:v>45657</x:v>
      </x:c>
      <x:c r="F1068" s="151" t="n">
        <x:v>3</x:v>
      </x:c>
      <x:c r="G1068" s="151" t="str">
        <x:v>Country</x:v>
      </x:c>
      <x:c r="H1068" s="151" t="str">
        <x:v>Associated shareholder (Series C)</x:v>
      </x:c>
      <x:c r="I1068" s="151" t="str">
        <x:v>Regional</x:v>
      </x:c>
      <x:c r="J1068" s="151" t="str">
        <x:v>Country-normalized ordinary loan-decision voting power: 0.00%; no principal country-attributed Board seat in the year-end snapshot</x:v>
      </x:c>
      <x:c r="K1068" s="196" t="n">
        <x:f>Country_Shares!X694*100</x:f>
        <x:v>0</x:v>
      </x:c>
      <x:c r="L1068" s="339" t="n">
        <x:f>Country_Shares!Y694*100</x:f>
        <x:v>0</x:v>
      </x:c>
    </x:row>
    <x:row r="1069">
      <x:c r="A1069" s="151" t="str">
        <x:v>Portugal</x:v>
      </x:c>
      <x:c r="B1069" s="151" t="str">
        <x:v>caf</x:v>
      </x:c>
      <x:c r="C1069" s="196" t="n">
        <x:f>Country_Shares!L695*100</x:f>
        <x:v>0.10025062656641603</x:v>
      </x:c>
      <x:c r="D1069" s="339" t="n">
        <x:f>Country_Shares!Y695*100</x:f>
        <x:v>0</x:v>
      </x:c>
      <x:c r="E1069" s="188" t="n">
        <x:v>45657</x:v>
      </x:c>
      <x:c r="F1069" s="151" t="n">
        <x:v>9</x:v>
      </x:c>
      <x:c r="G1069" s="151" t="str">
        <x:v>Country</x:v>
      </x:c>
      <x:c r="H1069" s="151" t="str">
        <x:v>Associated shareholder (Series C)</x:v>
      </x:c>
      <x:c r="I1069" s="151" t="str">
        <x:v>Regional</x:v>
      </x:c>
      <x:c r="J1069" s="151" t="str">
        <x:v>Country-normalized ordinary loan-decision voting power: 0.00%; no principal country-attributed Board seat in the year-end snapshot</x:v>
      </x:c>
      <x:c r="K1069" s="196" t="n">
        <x:f>Country_Shares!X695*100</x:f>
        <x:v>0</x:v>
      </x:c>
      <x:c r="L1069" s="339" t="n">
        <x:f>Country_Shares!Y695*100</x:f>
        <x:v>0</x:v>
      </x:c>
    </x:row>
    <x:row r="1070">
      <x:c r="A1070" s="151" t="str">
        <x:v>Jamaica</x:v>
      </x:c>
      <x:c r="B1070" s="151" t="str">
        <x:v>caf</x:v>
      </x:c>
      <x:c r="C1070" s="196" t="n">
        <x:f>Country_Shares!L696*100</x:f>
        <x:v>0.010025062656641605</x:v>
      </x:c>
      <x:c r="D1070" s="339" t="n">
        <x:f>Country_Shares!Y696*100</x:f>
        <x:v>0</x:v>
      </x:c>
      <x:c r="E1070" s="188" t="n">
        <x:v>45657</x:v>
      </x:c>
      <x:c r="F1070" s="151" t="n">
        <x:v>5</x:v>
      </x:c>
      <x:c r="G1070" s="151" t="str">
        <x:v>Country</x:v>
      </x:c>
      <x:c r="H1070" s="151" t="str">
        <x:v>Associated shareholder (Series C)</x:v>
      </x:c>
      <x:c r="I1070" s="151" t="str">
        <x:v>Regional</x:v>
      </x:c>
      <x:c r="J1070" s="151" t="str">
        <x:v>Country-normalized ordinary loan-decision voting power: 0.00%; no principal country-attributed Board seat in the year-end snapshot</x:v>
      </x:c>
      <x:c r="K1070" s="196" t="n">
        <x:f>Country_Shares!X696*100</x:f>
        <x:v>0</x:v>
      </x:c>
      <x:c r="L1070" s="339" t="n">
        <x:f>Country_Shares!Y696*100</x:f>
        <x:v>0</x:v>
      </x:c>
    </x:row>
    <x:row r="1071">
      <x:c r="A1071" s="151" t="str">
        <x:v>Private banking shareholders</x:v>
      </x:c>
      <x:c r="B1071" s="151" t="str">
        <x:v>caf</x:v>
      </x:c>
      <x:c r="C1071" s="196" t="n">
        <x:f>Country_Shares!L697*100</x:f>
        <x:v>0.04010025062656642</x:v>
      </x:c>
      <x:c r="D1071" s="339" t="str"/>
      <x:c r="E1071" s="188" t="n">
        <x:v>45657</x:v>
      </x:c>
      <x:c r="F1071" s="151" t="n">
        <x:v>1</x:v>
      </x:c>
      <x:c r="G1071" s="151" t="str">
        <x:v>Private financial institutions</x:v>
      </x:c>
      <x:c r="H1071" s="151" t="str">
        <x:v>Private banking shareholders (Series B)</x:v>
      </x:c>
      <x:c r="I1071" s="151" t="str">
        <x:v>Regional</x:v>
      </x:c>
      <x:c r="J1071" s="151" t="str">
        <x:v>Formal non-country Board seat; excluded from country-normalized measure</x:v>
      </x:c>
      <x:c r="K1071" s="196" t="n">
        <x:f>Country_Shares!X697*100</x:f>
        <x:v>4.166666666666666</x:v>
      </x:c>
      <x:c r="L1071" s="339" t="str"/>
    </x:row>
  </x:sheetData>
  <x:conditionalFormatting sqref="J2:L1071">
    <x:cfRule type="expression" dxfId="14" priority="1">
      <x:formula>MOD(ROW(),2)=0</x:formula>
    </x:cfRule>
  </x:conditionalFormatting>
  <x:conditionalFormatting sqref="A1034:L1071">
    <x:cfRule type="expression" dxfId="15" priority="2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4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42" hidden="0" customWidth="1"/>
  </x:cols>
  <x:sheetData>
    <x:row r="1" ht="26" customHeight="1">
      <x:c r="A1" s="120" t="str">
        <x:v>CABEI capital and voting structure — 31 December 2024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</x:row>
    <x:row r="3" ht="36" customHeight="1">
      <x:c r="A3" s="129" t="str">
        <x:v>Official CABEI investor-presentation table. Normalized subscribed-capital shares use subscribed capital (USD 6.9231bn), not authorized capital (USD 7bn). Series C shares have zero face value but carry votes.</x:v>
      </x:c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</x:row>
    <x:row r="5" ht="42" customHeight="1">
      <x:c r="A5" s="139" t="str">
        <x:v>Member</x:v>
      </x:c>
      <x:c r="B5" s="139" t="str">
        <x:v>Member group</x:v>
      </x:c>
      <x:c r="C5" s="139" t="str">
        <x:v>Subscribed capital (USD)</x:v>
      </x:c>
      <x:c r="D5" s="139" t="str">
        <x:v>Callable capital (USD)</x:v>
      </x:c>
      <x:c r="E5" s="139" t="str">
        <x:v>Payable capital (USD)</x:v>
      </x:c>
      <x:c r="F5" s="139" t="str">
        <x:v>Series A/B shares</x:v>
      </x:c>
      <x:c r="G5" s="139" t="str">
        <x:v>Series C shares</x:v>
      </x:c>
      <x:c r="H5" s="139" t="str">
        <x:v>Total voting shares</x:v>
      </x:c>
      <x:c r="I5" s="139" t="str">
        <x:v>Reported capital % of authorized</x:v>
      </x:c>
      <x:c r="J5" s="139" t="str">
        <x:v>Normalized subscribed capital %</x:v>
      </x:c>
      <x:c r="K5" s="139" t="str">
        <x:v>Reported share participation %</x:v>
      </x:c>
      <x:c r="L5" s="139" t="str">
        <x:v>Calculated vote share %</x:v>
      </x:c>
      <x:c r="M5" s="139" t="str">
        <x:v>Source URL</x:v>
      </x:c>
    </x:row>
    <x:row r="6">
      <x:c r="A6" s="151" t="str">
        <x:v>Guatemala</x:v>
      </x:c>
      <x:c r="B6" s="151" t="str">
        <x:v>Founding</x:v>
      </x:c>
      <x:c r="C6" s="157" t="n">
        <x:v>714000000</x:v>
      </x:c>
      <x:c r="D6" s="157" t="n">
        <x:v>535500000</x:v>
      </x:c>
      <x:c r="E6" s="157" t="n">
        <x:v>178500000</x:v>
      </x:c>
      <x:c r="F6" s="157" t="n">
        <x:v>71400</x:v>
      </x:c>
      <x:c r="G6" s="157" t="n">
        <x:v>28757</x:v>
      </x:c>
      <x:c r="H6" s="157" t="n">
        <x:v>100157</x:v>
      </x:c>
      <x:c r="I6" s="161" t="n">
        <x:v>0.102</x:v>
      </x:c>
      <x:c r="J6" s="161" t="n">
        <x:f>C6/$C$21</x:f>
        <x:v>0.10313298955670147</x:v>
      </x:c>
      <x:c r="K6" s="161" t="n">
        <x:v>0.1068</x:v>
      </x:c>
      <x:c r="L6" s="161" t="n">
        <x:f>H6/$H$21</x:f>
        <x:v>0.10684427641664115</x:v>
      </x:c>
      <x:c r="M6" s="151" t="str">
        <x:v>https://www.bcie.org/api/documents/26127/BCIE%20Presentaci%C3%B3n%20Institucional%20Cifras%20Diciembre%202024.pdf</x:v>
      </x:c>
    </x:row>
    <x:row r="7">
      <x:c r="A7" s="151" t="str">
        <x:v>El Salvador</x:v>
      </x:c>
      <x:c r="B7" s="151" t="str">
        <x:v>Founding</x:v>
      </x:c>
      <x:c r="C7" s="157" t="n">
        <x:v>714000000</x:v>
      </x:c>
      <x:c r="D7" s="157" t="n">
        <x:v>535500000</x:v>
      </x:c>
      <x:c r="E7" s="157" t="n">
        <x:v>178500000</x:v>
      </x:c>
      <x:c r="F7" s="157" t="n">
        <x:v>71400</x:v>
      </x:c>
      <x:c r="G7" s="157" t="n">
        <x:v>28757</x:v>
      </x:c>
      <x:c r="H7" s="157" t="n">
        <x:v>100157</x:v>
      </x:c>
      <x:c r="I7" s="161" t="n">
        <x:v>0.102</x:v>
      </x:c>
      <x:c r="J7" s="161" t="n">
        <x:f>C7/$C$21</x:f>
        <x:v>0.10313298955670147</x:v>
      </x:c>
      <x:c r="K7" s="161" t="n">
        <x:v>0.1068</x:v>
      </x:c>
      <x:c r="L7" s="161" t="n">
        <x:f>H7/$H$21</x:f>
        <x:v>0.10684427641664115</x:v>
      </x:c>
      <x:c r="M7" s="151" t="str">
        <x:v>https://www.bcie.org/api/documents/26127/BCIE%20Presentaci%C3%B3n%20Institucional%20Cifras%20Diciembre%202024.pdf</x:v>
      </x:c>
    </x:row>
    <x:row r="8">
      <x:c r="A8" s="151" t="str">
        <x:v>Honduras</x:v>
      </x:c>
      <x:c r="B8" s="151" t="str">
        <x:v>Founding</x:v>
      </x:c>
      <x:c r="C8" s="157" t="n">
        <x:v>714000000</x:v>
      </x:c>
      <x:c r="D8" s="157" t="n">
        <x:v>535500000</x:v>
      </x:c>
      <x:c r="E8" s="157" t="n">
        <x:v>178500000</x:v>
      </x:c>
      <x:c r="F8" s="157" t="n">
        <x:v>71400</x:v>
      </x:c>
      <x:c r="G8" s="157" t="n">
        <x:v>28757</x:v>
      </x:c>
      <x:c r="H8" s="157" t="n">
        <x:v>100157</x:v>
      </x:c>
      <x:c r="I8" s="161" t="n">
        <x:v>0.102</x:v>
      </x:c>
      <x:c r="J8" s="161" t="n">
        <x:f>C8/$C$21</x:f>
        <x:v>0.10313298955670147</x:v>
      </x:c>
      <x:c r="K8" s="161" t="n">
        <x:v>0.1068</x:v>
      </x:c>
      <x:c r="L8" s="161" t="n">
        <x:f>H8/$H$21</x:f>
        <x:v>0.10684427641664115</x:v>
      </x:c>
      <x:c r="M8" s="151" t="str">
        <x:v>https://www.bcie.org/api/documents/26127/BCIE%20Presentaci%C3%B3n%20Institucional%20Cifras%20Diciembre%202024.pdf</x:v>
      </x:c>
    </x:row>
    <x:row r="9">
      <x:c r="A9" s="151" t="str">
        <x:v>Nicaragua</x:v>
      </x:c>
      <x:c r="B9" s="151" t="str">
        <x:v>Founding</x:v>
      </x:c>
      <x:c r="C9" s="157" t="n">
        <x:v>714000000</x:v>
      </x:c>
      <x:c r="D9" s="157" t="n">
        <x:v>535500000</x:v>
      </x:c>
      <x:c r="E9" s="157" t="n">
        <x:v>178500000</x:v>
      </x:c>
      <x:c r="F9" s="157" t="n">
        <x:v>71400</x:v>
      </x:c>
      <x:c r="G9" s="157" t="n">
        <x:v>28757</x:v>
      </x:c>
      <x:c r="H9" s="157" t="n">
        <x:v>100157</x:v>
      </x:c>
      <x:c r="I9" s="161" t="n">
        <x:v>0.102</x:v>
      </x:c>
      <x:c r="J9" s="161" t="n">
        <x:f>C9/$C$21</x:f>
        <x:v>0.10313298955670147</x:v>
      </x:c>
      <x:c r="K9" s="161" t="n">
        <x:v>0.1068</x:v>
      </x:c>
      <x:c r="L9" s="161" t="n">
        <x:f>H9/$H$21</x:f>
        <x:v>0.10684427641664115</x:v>
      </x:c>
      <x:c r="M9" s="151" t="str">
        <x:v>https://www.bcie.org/api/documents/26127/BCIE%20Presentaci%C3%B3n%20Institucional%20Cifras%20Diciembre%202024.pdf</x:v>
      </x:c>
    </x:row>
    <x:row r="10">
      <x:c r="A10" s="151" t="str">
        <x:v>Costa Rica</x:v>
      </x:c>
      <x:c r="B10" s="151" t="str">
        <x:v>Founding</x:v>
      </x:c>
      <x:c r="C10" s="157" t="n">
        <x:v>714000000</x:v>
      </x:c>
      <x:c r="D10" s="157" t="n">
        <x:v>535500000</x:v>
      </x:c>
      <x:c r="E10" s="157" t="n">
        <x:v>178500000</x:v>
      </x:c>
      <x:c r="F10" s="157" t="n">
        <x:v>71400</x:v>
      </x:c>
      <x:c r="G10" s="157" t="n">
        <x:v>28757</x:v>
      </x:c>
      <x:c r="H10" s="157" t="n">
        <x:v>100157</x:v>
      </x:c>
      <x:c r="I10" s="161" t="n">
        <x:v>0.102</x:v>
      </x:c>
      <x:c r="J10" s="161" t="n">
        <x:f>C10/$C$21</x:f>
        <x:v>0.10313298955670147</x:v>
      </x:c>
      <x:c r="K10" s="161" t="n">
        <x:v>0.1068</x:v>
      </x:c>
      <x:c r="L10" s="161" t="n">
        <x:f>H10/$H$21</x:f>
        <x:v>0.10684427641664115</x:v>
      </x:c>
      <x:c r="M10" s="151" t="str">
        <x:v>https://www.bcie.org/api/documents/26127/BCIE%20Presentaci%C3%B3n%20Institucional%20Cifras%20Diciembre%202024.pdf</x:v>
      </x:c>
    </x:row>
    <x:row r="11">
      <x:c r="A11" s="151" t="str">
        <x:v>Dominican Republic</x:v>
      </x:c>
      <x:c r="B11" s="151" t="str">
        <x:v>Regional non-founding</x:v>
      </x:c>
      <x:c r="C11" s="157" t="n">
        <x:v>378400000</x:v>
      </x:c>
      <x:c r="D11" s="157" t="n">
        <x:v>283800000</x:v>
      </x:c>
      <x:c r="E11" s="157" t="n">
        <x:v>94600000</x:v>
      </x:c>
      <x:c r="F11" s="157" t="n">
        <x:v>37840</x:v>
      </x:c>
      <x:c r="G11" s="157" t="n">
        <x:v>8717</x:v>
      </x:c>
      <x:c r="H11" s="157" t="n">
        <x:v>46557</x:v>
      </x:c>
      <x:c r="I11" s="161" t="n">
        <x:v>0.0541</x:v>
      </x:c>
      <x:c r="J11" s="161" t="n">
        <x:f>C11/$C$21</x:f>
        <x:v>0.054657595585792494</x:v>
      </x:c>
      <x:c r="K11" s="161" t="n">
        <x:v>0.0497</x:v>
      </x:c>
      <x:c r="L11" s="161" t="n">
        <x:f>H11/$H$21</x:f>
        <x:v>0.049665514912882396</x:v>
      </x:c>
      <x:c r="M11" s="151" t="str">
        <x:v>https://www.bcie.org/api/documents/26127/BCIE%20Presentaci%C3%B3n%20Institucional%20Cifras%20Diciembre%202024.pdf</x:v>
      </x:c>
    </x:row>
    <x:row r="12">
      <x:c r="A12" s="151" t="str">
        <x:v>Panama</x:v>
      </x:c>
      <x:c r="B12" s="151" t="str">
        <x:v>Regional non-founding</x:v>
      </x:c>
      <x:c r="C12" s="157" t="n">
        <x:v>358400000</x:v>
      </x:c>
      <x:c r="D12" s="157" t="n">
        <x:v>268800000</x:v>
      </x:c>
      <x:c r="E12" s="157" t="n">
        <x:v>89600000</x:v>
      </x:c>
      <x:c r="F12" s="157" t="n">
        <x:v>35840</x:v>
      </x:c>
      <x:c r="G12" s="157" t="n">
        <x:v>9067</x:v>
      </x:c>
      <x:c r="H12" s="157" t="n">
        <x:v>44907</x:v>
      </x:c>
      <x:c r="I12" s="161" t="n">
        <x:v>0.0512</x:v>
      </x:c>
      <x:c r="J12" s="161" t="n">
        <x:f>C12/$C$21</x:f>
        <x:v>0.05176871632650113</x:v>
      </x:c>
      <x:c r="K12" s="161" t="n">
        <x:v>0.0479</x:v>
      </x:c>
      <x:c r="L12" s="161" t="n">
        <x:f>H12/$H$21</x:f>
        <x:v>0.04790534781435251</x:v>
      </x:c>
      <x:c r="M12" s="151" t="str">
        <x:v>https://www.bcie.org/api/documents/26127/BCIE%20Presentaci%C3%B3n%20Institucional%20Cifras%20Diciembre%202024.pdf</x:v>
      </x:c>
    </x:row>
    <x:row r="13">
      <x:c r="A13" s="151" t="str">
        <x:v>Belize</x:v>
      </x:c>
      <x:c r="B13" s="151" t="str">
        <x:v>Regional non-founding</x:v>
      </x:c>
      <x:c r="C13" s="157" t="n">
        <x:v>25000000</x:v>
      </x:c>
      <x:c r="D13" s="157" t="n">
        <x:v>18750000</x:v>
      </x:c>
      <x:c r="E13" s="157" t="n">
        <x:v>6250000</x:v>
      </x:c>
      <x:c r="F13" s="157" t="n">
        <x:v>2500</x:v>
      </x:c>
      <x:c r="G13" s="157" t="n">
        <x:v>632</x:v>
      </x:c>
      <x:c r="H13" s="157" t="n">
        <x:v>3132</x:v>
      </x:c>
      <x:c r="I13" s="161" t="n">
        <x:v>0.0036</x:v>
      </x:c>
      <x:c r="J13" s="161" t="n">
        <x:f>C13/$C$21</x:f>
        <x:v>0.0036110990741141974</x:v>
      </x:c>
      <x:c r="K13" s="161" t="n">
        <x:v>0.0033</x:v>
      </x:c>
      <x:c r="L13" s="161" t="n">
        <x:f>H13/$H$21</x:f>
        <x:v>0.0033411171833912768</x:v>
      </x:c>
      <x:c r="M13" s="151" t="str">
        <x:v>https://www.bcie.org/api/documents/26127/BCIE%20Presentaci%C3%B3n%20Institucional%20Cifras%20Diciembre%202024.pdf</x:v>
      </x:c>
    </x:row>
    <x:row r="14">
      <x:c r="A14" s="151" t="str">
        <x:v>Taiwan</x:v>
      </x:c>
      <x:c r="B14" s="151" t="str">
        <x:v>Non-regional</x:v>
      </x:c>
      <x:c r="C14" s="157" t="n">
        <x:v>776250000</x:v>
      </x:c>
      <x:c r="D14" s="157" t="n">
        <x:v>582187500</x:v>
      </x:c>
      <x:c r="E14" s="157" t="n">
        <x:v>194062500</x:v>
      </x:c>
      <x:c r="F14" s="157" t="n">
        <x:v>77625</x:v>
      </x:c>
      <x:c r="G14" s="157" t="n">
        <x:v>28963</x:v>
      </x:c>
      <x:c r="H14" s="157" t="n">
        <x:v>106588</x:v>
      </x:c>
      <x:c r="I14" s="161" t="n">
        <x:v>0.1109</x:v>
      </x:c>
      <x:c r="J14" s="161" t="n">
        <x:f>C14/$C$21</x:f>
        <x:v>0.11212462625124583</x:v>
      </x:c>
      <x:c r="K14" s="161" t="n">
        <x:v>0.1137</x:v>
      </x:c>
      <x:c r="L14" s="161" t="n">
        <x:f>H14/$H$21</x:f>
        <x:v>0.1137046610291537</x:v>
      </x:c>
      <x:c r="M14" s="151" t="str">
        <x:v>https://www.bcie.org/api/documents/26127/BCIE%20Presentaci%C3%B3n%20Institucional%20Cifras%20Diciembre%202024.pdf</x:v>
      </x:c>
    </x:row>
    <x:row r="15">
      <x:c r="A15" s="151" t="str">
        <x:v>Korea, Republic of</x:v>
      </x:c>
      <x:c r="B15" s="151" t="str">
        <x:v>Non-regional</x:v>
      </x:c>
      <x:c r="C15" s="157" t="n">
        <x:v>630000000</x:v>
      </x:c>
      <x:c r="D15" s="157" t="n">
        <x:v>472500000</x:v>
      </x:c>
      <x:c r="E15" s="157" t="n">
        <x:v>157500000</x:v>
      </x:c>
      <x:c r="F15" s="157" t="n">
        <x:v>63000</x:v>
      </x:c>
      <x:c r="G15" s="157" t="n">
        <x:v>8177</x:v>
      </x:c>
      <x:c r="H15" s="157" t="n">
        <x:v>71177</x:v>
      </x:c>
      <x:c r="I15" s="161" t="n">
        <x:v>0.09</x:v>
      </x:c>
      <x:c r="J15" s="161" t="n">
        <x:f>C15/$C$21</x:f>
        <x:v>0.09099969666767778</x:v>
      </x:c>
      <x:c r="K15" s="161" t="n">
        <x:v>0.0759</x:v>
      </x:c>
      <x:c r="L15" s="161" t="n">
        <x:f>H15/$H$21</x:f>
        <x:v>0.07592934155882532</x:v>
      </x:c>
      <x:c r="M15" s="151" t="str">
        <x:v>https://www.bcie.org/api/documents/26127/BCIE%20Presentaci%C3%B3n%20Institucional%20Cifras%20Diciembre%202024.pdf</x:v>
      </x:c>
    </x:row>
    <x:row r="16">
      <x:c r="A16" s="151" t="str">
        <x:v>Mexico</x:v>
      </x:c>
      <x:c r="B16" s="151" t="str">
        <x:v>Non-regional</x:v>
      </x:c>
      <x:c r="C16" s="157" t="n">
        <x:v>306250000</x:v>
      </x:c>
      <x:c r="D16" s="157" t="n">
        <x:v>229687500</x:v>
      </x:c>
      <x:c r="E16" s="157" t="n">
        <x:v>76562500</x:v>
      </x:c>
      <x:c r="F16" s="157" t="n">
        <x:v>30625</x:v>
      </x:c>
      <x:c r="G16" s="157" t="n">
        <x:v>16031</x:v>
      </x:c>
      <x:c r="H16" s="157" t="n">
        <x:v>46656</x:v>
      </x:c>
      <x:c r="I16" s="161" t="n">
        <x:v>0.0438</x:v>
      </x:c>
      <x:c r="J16" s="161" t="n">
        <x:f>C16/$C$21</x:f>
        <x:v>0.04423596365789892</x:v>
      </x:c>
      <x:c r="K16" s="161" t="n">
        <x:v>0.0498</x:v>
      </x:c>
      <x:c r="L16" s="161" t="n">
        <x:f>H16/$H$21</x:f>
        <x:v>0.04977112493879419</x:v>
      </x:c>
      <x:c r="M16" s="151" t="str">
        <x:v>https://www.bcie.org/api/documents/26127/BCIE%20Presentaci%C3%B3n%20Institucional%20Cifras%20Diciembre%202024.pdf</x:v>
      </x:c>
    </x:row>
    <x:row r="17">
      <x:c r="A17" s="151" t="str">
        <x:v>Argentina</x:v>
      </x:c>
      <x:c r="B17" s="151" t="str">
        <x:v>Non-regional</x:v>
      </x:c>
      <x:c r="C17" s="157" t="n">
        <x:v>345800000</x:v>
      </x:c>
      <x:c r="D17" s="157" t="n">
        <x:v>259350000</x:v>
      </x:c>
      <x:c r="E17" s="157" t="n">
        <x:v>86450000</x:v>
      </x:c>
      <x:c r="F17" s="157" t="n">
        <x:v>34580</x:v>
      </x:c>
      <x:c r="G17" s="157" t="n">
        <x:v>9292</x:v>
      </x:c>
      <x:c r="H17" s="157" t="n">
        <x:v>43872</x:v>
      </x:c>
      <x:c r="I17" s="161" t="n">
        <x:v>0.0494</x:v>
      </x:c>
      <x:c r="J17" s="161" t="n">
        <x:f>C17/$C$21</x:f>
        <x:v>0.04994872239314758</x:v>
      </x:c>
      <x:c r="K17" s="161" t="n">
        <x:v>0.0468</x:v>
      </x:c>
      <x:c r="L17" s="161" t="n">
        <x:f>H17/$H$21</x:f>
        <x:v>0.046801242998001945</x:v>
      </x:c>
      <x:c r="M17" s="151" t="str">
        <x:v>https://www.bcie.org/api/documents/26127/BCIE%20Presentaci%C3%B3n%20Institucional%20Cifras%20Diciembre%202024.pdf</x:v>
      </x:c>
    </x:row>
    <x:row r="18">
      <x:c r="A18" s="151" t="str">
        <x:v>Spain</x:v>
      </x:c>
      <x:c r="B18" s="151" t="str">
        <x:v>Non-regional</x:v>
      </x:c>
      <x:c r="C18" s="157" t="n">
        <x:v>280000000</x:v>
      </x:c>
      <x:c r="D18" s="157" t="n">
        <x:v>210000000</x:v>
      </x:c>
      <x:c r="E18" s="157" t="n">
        <x:v>70000000</x:v>
      </x:c>
      <x:c r="F18" s="157" t="n">
        <x:v>28000</x:v>
      </x:c>
      <x:c r="G18" s="157" t="n">
        <x:v>11277</x:v>
      </x:c>
      <x:c r="H18" s="157" t="n">
        <x:v>39277</x:v>
      </x:c>
      <x:c r="I18" s="161" t="n">
        <x:v>0.04</x:v>
      </x:c>
      <x:c r="J18" s="161" t="n">
        <x:f>C18/$C$21</x:f>
        <x:v>0.04044430963007901</x:v>
      </x:c>
      <x:c r="K18" s="161" t="n">
        <x:v>0.0419</x:v>
      </x:c>
      <x:c r="L18" s="161" t="n">
        <x:f>H18/$H$21</x:f>
        <x:v>0.041899444320580834</x:v>
      </x:c>
      <x:c r="M18" s="151" t="str">
        <x:v>https://www.bcie.org/api/documents/26127/BCIE%20Presentaci%C3%B3n%20Institucional%20Cifras%20Diciembre%202024.pdf</x:v>
      </x:c>
    </x:row>
    <x:row r="19">
      <x:c r="A19" s="151" t="str">
        <x:v>Colombia</x:v>
      </x:c>
      <x:c r="B19" s="151" t="str">
        <x:v>Non-regional</x:v>
      </x:c>
      <x:c r="C19" s="157" t="n">
        <x:v>203000000</x:v>
      </x:c>
      <x:c r="D19" s="157" t="n">
        <x:v>152250000</x:v>
      </x:c>
      <x:c r="E19" s="157" t="n">
        <x:v>50750000</x:v>
      </x:c>
      <x:c r="F19" s="157" t="n">
        <x:v>20300</x:v>
      </x:c>
      <x:c r="G19" s="157" t="n">
        <x:v>8149</x:v>
      </x:c>
      <x:c r="H19" s="157" t="n">
        <x:v>28449</x:v>
      </x:c>
      <x:c r="I19" s="161" t="n">
        <x:v>0.029</x:v>
      </x:c>
      <x:c r="J19" s="161" t="n">
        <x:f>C19/$C$21</x:f>
        <x:v>0.029322124481807283</x:v>
      </x:c>
      <x:c r="K19" s="161" t="n">
        <x:v>0.0303</x:v>
      </x:c>
      <x:c r="L19" s="161" t="n">
        <x:f>H19/$H$21</x:f>
        <x:v>0.030348481082470763</x:v>
      </x:c>
      <x:c r="M19" s="151" t="str">
        <x:v>https://www.bcie.org/api/documents/26127/BCIE%20Presentaci%C3%B3n%20Institucional%20Cifras%20Diciembre%202024.pdf</x:v>
      </x:c>
    </x:row>
    <x:row r="20">
      <x:c r="A20" s="151" t="str">
        <x:v>Cuba</x:v>
      </x:c>
      <x:c r="B20" s="151" t="str">
        <x:v>Non-regional</x:v>
      </x:c>
      <x:c r="C20" s="157" t="n">
        <x:v>50000000</x:v>
      </x:c>
      <x:c r="D20" s="157" t="n">
        <x:v>37500000</x:v>
      </x:c>
      <x:c r="E20" s="157" t="n">
        <x:v>12500000</x:v>
      </x:c>
      <x:c r="F20" s="157" t="n">
        <x:v>5000</x:v>
      </x:c>
      <x:c r="G20" s="157" t="n">
        <x:v>1011</x:v>
      </x:c>
      <x:c r="H20" s="157" t="n">
        <x:v>6011</x:v>
      </x:c>
      <x:c r="I20" s="161" t="n">
        <x:v>0.0071</x:v>
      </x:c>
      <x:c r="J20" s="161" t="n">
        <x:f>C20/$C$21</x:f>
        <x:v>0.007222198148228395</x:v>
      </x:c>
      <x:c r="K20" s="161" t="n">
        <x:v>0.0064</x:v>
      </x:c>
      <x:c r="L20" s="161" t="n">
        <x:f>H20/$H$21</x:f>
        <x:v>0.006412342078341304</x:v>
      </x:c>
      <x:c r="M20" s="151" t="str">
        <x:v>https://www.bcie.org/api/documents/26127/BCIE%20Presentaci%C3%B3n%20Institucional%20Cifras%20Diciembre%202024.pdf</x:v>
      </x:c>
    </x:row>
    <x:row r="21">
      <x:c r="A21" s="165" t="str">
        <x:v>TOTAL</x:v>
      </x:c>
      <x:c r="B21" s="165" t="str"/>
      <x:c r="C21" s="166" t="n">
        <x:v>6923100000</x:v>
      </x:c>
      <x:c r="D21" s="166" t="n">
        <x:v>5192325000</x:v>
      </x:c>
      <x:c r="E21" s="166" t="n">
        <x:v>1730775000</x:v>
      </x:c>
      <x:c r="F21" s="166" t="n">
        <x:v>692310</x:v>
      </x:c>
      <x:c r="G21" s="166" t="n">
        <x:v>245101</x:v>
      </x:c>
      <x:c r="H21" s="166" t="n">
        <x:v>937411</x:v>
      </x:c>
      <x:c r="I21" s="167" t="n">
        <x:v>0.9891</x:v>
      </x:c>
      <x:c r="J21" s="167" t="n">
        <x:f>SUM(J6:J20)</x:f>
        <x:v>1.0000000000000002</x:v>
      </x:c>
      <x:c r="K21" s="167" t="n">
        <x:v>0.9997</x:v>
      </x:c>
      <x:c r="L21" s="167" t="n">
        <x:f>SUM(L6:L20)</x:f>
        <x:v>1</x:v>
      </x:c>
      <x:c r="M21" s="165" t="str">
        <x:v>https://www.bcie.org/api/documents/26127/BCIE%20Presentaci%C3%B3n%20Institucional%20Cifras%20Diciembre%202024.pdf</x:v>
      </x:c>
    </x:row>
  </x:sheetData>
  <x:mergeCells>
    <x:mergeCell ref="A1:M1"/>
    <x:mergeCell ref="A3:M3"/>
  </x:mergeCells>
  <x:conditionalFormatting sqref="A6:M20">
    <x:cfRule type="expression" dxfId="8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4"/>
  <x:sheetData>
    <x:row r="1">
      <x:c r="A1" t="s">
        <x:v>0</x:v>
      </x:c>
      <x:c r="B1" t="s">
        <x:v>9</x:v>
      </x:c>
      <x:c r="C1" t="s">
        <x:v>4</x:v>
      </x:c>
      <x:c r="D1" t="s">
        <x:v>10</x:v>
      </x:c>
      <x:c r="E1" t="s">
        <x:v>11</x:v>
      </x:c>
      <x:c r="F1" t="s">
        <x:v>3</x:v>
      </x:c>
      <x:c r="G1" t="s">
        <x:v>2</x:v>
      </x:c>
    </x:row>
    <x:row r="2">
      <x:c r="A2" t="s">
        <x:v>12</x:v>
      </x:c>
      <x:c r="B2" t="s">
        <x:v>13</x:v>
      </x:c>
      <x:c r="C2" t="s">
        <x:v>14</x:v>
      </x:c>
      <x:c r="D2" t="s">
        <x:v>13</x:v>
      </x:c>
      <x:c r="E2" s="17">
        <x:v>50.6</x:v>
      </x:c>
      <x:c r="F2">
        <x:v>0.05</x:v>
      </x:c>
      <x:c r="G2" s="22" t="n">
        <x:f>E2/SUM(tIBRD[Capital invested])*100</x:f>
        <x:v>0.01835841651764059</x:v>
      </x:c>
    </x:row>
    <x:row r="3">
      <x:c r="A3" t="s">
        <x:v>15</x:v>
      </x:c>
      <x:c r="B3" t="s">
        <x:v>13</x:v>
      </x:c>
      <x:c r="C3" t="str">
        <x:f>$C2</x:f>
        <x:v>08-18-2026</x:v>
      </x:c>
      <x:c r="D3" t="s">
        <x:v>13</x:v>
      </x:c>
      <x:c r="E3" s="17">
        <x:v>135.5</x:v>
      </x:c>
      <x:c r="F3">
        <x:v>0.08</x:v>
      </x:c>
      <x:c r="G3" s="22" t="n">
        <x:f>E3/SUM(tIBRD[Capital invested])*100</x:f>
        <x:v>0.04916137229526283</x:v>
      </x:c>
    </x:row>
    <x:row r="4">
      <x:c r="A4" t="s">
        <x:v>16</x:v>
      </x:c>
      <x:c r="B4" t="s">
        <x:v>13</x:v>
      </x:c>
      <x:c r="C4" t="str">
        <x:f t="shared" ref="C4:C67" si="0">$C3</x:f>
        <x:v>08-18-2026</x:v>
      </x:c>
      <x:c r="D4" t="s">
        <x:v>13</x:v>
      </x:c>
      <x:c r="E4" s="17">
        <x:v>1368.9</x:v>
      </x:c>
      <x:c r="F4">
        <x:v>0.5</x:v>
      </x:c>
      <x:c r="G4" s="22" t="n">
        <x:f>E4/SUM(tIBRD[Capital invested])*100</x:f>
        <x:v>0.4966568452766443</x:v>
      </x:c>
    </x:row>
    <x:row r="5">
      <x:c r="A5" t="s">
        <x:v>17</x:v>
      </x:c>
      <x:c r="B5" t="s">
        <x:v>13</x:v>
      </x:c>
      <x:c r="C5" t="str">
        <x:f t="shared" si="0"/>
        <x:v>08-18-2026</x:v>
      </x:c>
      <x:c r="D5" t="s">
        <x:v>13</x:v>
      </x:c>
      <x:c r="E5" s="17">
        <x:v>442.9</x:v>
      </x:c>
      <x:c r="F5">
        <x:v>0.18</x:v>
      </x:c>
      <x:c r="G5" s="22" t="n">
        <x:f>E5/SUM(tIBRD[Capital invested])*100</x:f>
        <x:v>0.16069056671270782</x:v>
      </x:c>
    </x:row>
    <x:row r="6">
      <x:c r="A6" t="s">
        <x:v>18</x:v>
      </x:c>
      <x:c r="B6" t="s">
        <x:v>13</x:v>
      </x:c>
      <x:c r="C6" t="str">
        <x:f t="shared" si="0"/>
        <x:v>08-18-2026</x:v>
      </x:c>
      <x:c r="D6" t="s">
        <x:v>13</x:v>
      </x:c>
      <x:c r="E6" s="17">
        <x:v>72.400000000000006</x:v>
      </x:c>
      <x:c r="F6">
        <x:v>0.05</x:v>
      </x:c>
      <x:c r="G6" s="22" t="n">
        <x:f>E6/SUM(tIBRD[Capital invested])*100</x:f>
        <x:v>0.026267773831564794</x:v>
      </x:c>
    </x:row>
    <x:row r="7">
      <x:c r="A7" t="s">
        <x:v>19</x:v>
      </x:c>
      <x:c r="B7" t="s">
        <x:v>13</x:v>
      </x:c>
      <x:c r="C7" t="str">
        <x:f t="shared" si="0"/>
        <x:v>08-18-2026</x:v>
      </x:c>
      <x:c r="D7" t="s">
        <x:v>13</x:v>
      </x:c>
      <x:c r="E7" s="17">
        <x:v>3057.1</x:v>
      </x:c>
      <x:c r="F7">
        <x:v>1.08</x:v>
      </x:c>
      <x:c r="G7" s="22" t="n">
        <x:f>E7/SUM(tIBRD[Capital invested])*100</x:f>
        <x:v>1.10916037818338</x:v>
      </x:c>
    </x:row>
    <x:row r="8">
      <x:c r="A8" t="s">
        <x:v>20</x:v>
      </x:c>
      <x:c r="B8" t="s">
        <x:v>13</x:v>
      </x:c>
      <x:c r="C8" t="str">
        <x:f t="shared" si="0"/>
        <x:v>08-18-2026</x:v>
      </x:c>
      <x:c r="D8" t="s">
        <x:v>13</x:v>
      </x:c>
      <x:c r="E8" s="17">
        <x:v>200.6</x:v>
      </x:c>
      <x:c r="F8">
        <x:v>0.1</x:v>
      </x:c>
      <x:c r="G8" s="22" t="n">
        <x:f>E8/SUM(tIBRD[Capital invested])*100</x:f>
        <x:v>0.07278059987033007</x:v>
      </x:c>
    </x:row>
    <x:row r="9">
      <x:c r="A9" t="s">
        <x:v>21</x:v>
      </x:c>
      <x:c r="B9" t="s">
        <x:v>13</x:v>
      </x:c>
      <x:c r="C9" t="str">
        <x:f t="shared" si="0"/>
        <x:v>08-18-2026</x:v>
      </x:c>
      <x:c r="D9" t="s">
        <x:v>13</x:v>
      </x:c>
      <x:c r="E9" s="17">
        <x:v>3905.4</x:v>
      </x:c>
      <x:c r="F9">
        <x:v>1.37</x:v>
      </x:c>
      <x:c r="G9" s="22" t="n">
        <x:f>E9/SUM(tIBRD[Capital invested])*100</x:f>
        <x:v>1.4169359657706235</x:v>
      </x:c>
    </x:row>
    <x:row r="10">
      <x:c r="A10" t="s">
        <x:v>22</x:v>
      </x:c>
      <x:c r="B10" t="s">
        <x:v>13</x:v>
      </x:c>
      <x:c r="C10" t="str">
        <x:f t="shared" si="0"/>
        <x:v>08-18-2026</x:v>
      </x:c>
      <x:c r="D10" t="s">
        <x:v>13</x:v>
      </x:c>
      <x:c r="E10" s="17">
        <x:v>1814.3</x:v>
      </x:c>
      <x:c r="F10">
        <x:v>0.65</x:v>
      </x:c>
      <x:c r="G10" s="22" t="n">
        <x:f>E10/SUM(tIBRD[Capital invested])*100</x:f>
        <x:v>0.6582544483785636</x:v>
      </x:c>
    </x:row>
    <x:row r="11">
      <x:c r="A11" t="s">
        <x:v>23</x:v>
      </x:c>
      <x:c r="B11" t="s">
        <x:v>13</x:v>
      </x:c>
      <x:c r="C11" t="str">
        <x:f t="shared" si="0"/>
        <x:v>08-18-2026</x:v>
      </x:c>
      <x:c r="D11" t="s">
        <x:v>13</x:v>
      </x:c>
      <x:c r="E11" s="17">
        <x:v>287.60000000000002</x:v>
      </x:c>
      <x:c r="F11">
        <x:v>0.13</x:v>
      </x:c>
      <x:c r="G11" s="22" t="n">
        <x:f>E11/SUM(tIBRD[Capital invested])*100</x:f>
        <x:v>0.10434546621488998</x:v>
      </x:c>
    </x:row>
    <x:row r="12">
      <x:c r="A12" t="s">
        <x:v>24</x:v>
      </x:c>
      <x:c r="B12" t="s">
        <x:v>13</x:v>
      </x:c>
      <x:c r="C12" t="str">
        <x:f t="shared" si="0"/>
        <x:v>08-18-2026</x:v>
      </x:c>
      <x:c r="D12" t="s">
        <x:v>13</x:v>
      </x:c>
      <x:c r="E12" s="17">
        <x:v>152.9</x:v>
      </x:c>
      <x:c r="F12">
        <x:v>0.08</x:v>
      </x:c>
      <x:c r="G12" s="22" t="n">
        <x:f>E12/SUM(tIBRD[Capital invested])*100</x:f>
        <x:v>0.05547434556417482</x:v>
      </x:c>
    </x:row>
    <x:row r="13">
      <x:c r="A13" t="s">
        <x:v>25</x:v>
      </x:c>
      <x:c r="B13" t="s">
        <x:v>13</x:v>
      </x:c>
      <x:c r="C13" t="str">
        <x:f t="shared" si="0"/>
        <x:v>08-18-2026</x:v>
      </x:c>
      <x:c r="D13" t="s">
        <x:v>13</x:v>
      </x:c>
      <x:c r="E13" s="17">
        <x:v>164.8</x:v>
      </x:c>
      <x:c r="F13">
        <x:v>0.09</x:v>
      </x:c>
      <x:c r="G13" s="22" t="n">
        <x:f>E13/SUM(tIBRD[Capital invested])*100</x:f>
        <x:v>0.059791838776821524</x:v>
      </x:c>
    </x:row>
    <x:row r="14">
      <x:c r="A14" t="s">
        <x:v>26</x:v>
      </x:c>
      <x:c r="B14" t="s">
        <x:v>13</x:v>
      </x:c>
      <x:c r="C14" t="str">
        <x:f t="shared" si="0"/>
        <x:v>08-18-2026</x:v>
      </x:c>
      <x:c r="D14" t="s">
        <x:v>13</x:v>
      </x:c>
      <x:c r="E14" s="17">
        <x:v>788.4</x:v>
      </x:c>
      <x:c r="F14">
        <x:v>0.3</x:v>
      </x:c>
      <x:c r="G14" s="22" t="n">
        <x:f>E14/SUM(tIBRD[Capital invested])*100</x:f>
        <x:v>0.2860429957017359</x:v>
      </x:c>
    </x:row>
    <x:row r="15">
      <x:c r="A15" t="s">
        <x:v>27</x:v>
      </x:c>
      <x:c r="B15" t="s">
        <x:v>13</x:v>
      </x:c>
      <x:c r="C15" t="str">
        <x:f t="shared" si="0"/>
        <x:v>08-18-2026</x:v>
      </x:c>
      <x:c r="D15" t="s">
        <x:v>13</x:v>
      </x:c>
      <x:c r="E15" s="17">
        <x:v>105.5</x:v>
      </x:c>
      <x:c r="F15">
        <x:v>7.0000000000000007E-2</x:v>
      </x:c>
      <x:c r="G15" s="22" t="n">
        <x:f>E15/SUM(tIBRD[Capital invested])*100</x:f>
        <x:v>0.038276935624724936</x:v>
      </x:c>
    </x:row>
    <x:row r="16">
      <x:c r="A16" t="s">
        <x:v>28</x:v>
      </x:c>
      <x:c r="B16" t="s">
        <x:v>13</x:v>
      </x:c>
      <x:c r="C16" t="str">
        <x:f t="shared" si="0"/>
        <x:v>08-18-2026</x:v>
      </x:c>
      <x:c r="D16" t="s">
        <x:v>13</x:v>
      </x:c>
      <x:c r="E16" s="17">
        <x:v>454.7</x:v>
      </x:c>
      <x:c r="F16">
        <x:v>0.19</x:v>
      </x:c>
      <x:c r="G16" s="22" t="n">
        <x:f>E16/SUM(tIBRD[Capital invested])*100</x:f>
        <x:v>0.16497177846978606</x:v>
      </x:c>
    </x:row>
    <x:row r="17">
      <x:c r="A17" t="s">
        <x:v>29</x:v>
      </x:c>
      <x:c r="B17" t="s">
        <x:v>13</x:v>
      </x:c>
      <x:c r="C17" t="str">
        <x:f t="shared" si="0"/>
        <x:v>08-18-2026</x:v>
      </x:c>
      <x:c r="D17" t="s">
        <x:v>13</x:v>
      </x:c>
      <x:c r="E17" s="17">
        <x:v>4328.1000000000004</x:v>
      </x:c>
      <x:c r="F17">
        <x:v>1.51</x:v>
      </x:c>
      <x:c r="G17" s="22" t="n">
        <x:f>E17/SUM(tIBRD[Capital invested])*100</x:f>
        <x:v>1.5702976784585025</x:v>
      </x:c>
    </x:row>
    <x:row r="18">
      <x:c r="A18" t="s">
        <x:v>30</x:v>
      </x:c>
      <x:c r="B18" t="s">
        <x:v>13</x:v>
      </x:c>
      <x:c r="C18" t="str">
        <x:f t="shared" si="0"/>
        <x:v>08-18-2026</x:v>
      </x:c>
      <x:c r="D18" t="s">
        <x:v>13</x:v>
      </x:c>
      <x:c r="E18" s="17">
        <x:v>64.599999999999994</x:v>
      </x:c>
      <x:c r="F18">
        <x:v>0.05</x:v>
      </x:c>
      <x:c r="G18" s="22" t="n">
        <x:f>E18/SUM(tIBRD[Capital invested])*100</x:f>
        <x:v>0.023437820297224937</x:v>
      </x:c>
    </x:row>
    <x:row r="19">
      <x:c r="A19" t="s">
        <x:v>31</x:v>
      </x:c>
      <x:c r="B19" t="s">
        <x:v>13</x:v>
      </x:c>
      <x:c r="C19" t="str">
        <x:f t="shared" si="0"/>
        <x:v>08-18-2026</x:v>
      </x:c>
      <x:c r="D19" t="s">
        <x:v>13</x:v>
      </x:c>
      <x:c r="E19" s="17">
        <x:v>153.6</x:v>
      </x:c>
      <x:c r="F19">
        <x:v>0.08</x:v>
      </x:c>
      <x:c r="G19" s="22" t="n">
        <x:f>E19/SUM(tIBRD[Capital invested])*100</x:f>
        <x:v>0.05572831575315403</x:v>
      </x:c>
    </x:row>
    <x:row r="20">
      <x:c r="A20" t="s">
        <x:v>32</x:v>
      </x:c>
      <x:c r="B20" t="s">
        <x:v>13</x:v>
      </x:c>
      <x:c r="C20" t="str">
        <x:f t="shared" si="0"/>
        <x:v>08-18-2026</x:v>
      </x:c>
      <x:c r="D20" t="s">
        <x:v>13</x:v>
      </x:c>
      <x:c r="E20" s="17">
        <x:v>82.9</x:v>
      </x:c>
      <x:c r="F20">
        <x:v>0.06</x:v>
      </x:c>
      <x:c r="G20" s="22" t="n">
        <x:f>E20/SUM(tIBRD[Capital invested])*100</x:f>
        <x:v>0.03007732666625306</x:v>
      </x:c>
    </x:row>
    <x:row r="21">
      <x:c r="A21" t="s">
        <x:v>33</x:v>
      </x:c>
      <x:c r="B21" t="s">
        <x:v>13</x:v>
      </x:c>
      <x:c r="C21" t="str">
        <x:f t="shared" si="0"/>
        <x:v>08-18-2026</x:v>
      </x:c>
      <x:c r="D21" t="s">
        <x:v>13</x:v>
      </x:c>
      <x:c r="E21" s="17">
        <x:v>312.7</x:v>
      </x:c>
      <x:c r="F21">
        <x:v>0.14000000000000001</x:v>
      </x:c>
      <x:c r="G21" s="22" t="n">
        <x:f>E21/SUM(tIBRD[Capital invested])*100</x:f>
        <x:v>0.11345211156257334</x:v>
      </x:c>
    </x:row>
    <x:row r="22">
      <x:c r="A22" t="s">
        <x:v>34</x:v>
      </x:c>
      <x:c r="B22" t="s">
        <x:v>13</x:v>
      </x:c>
      <x:c r="C22" t="str">
        <x:f t="shared" si="0"/>
        <x:v>08-18-2026</x:v>
      </x:c>
      <x:c r="D22" t="s">
        <x:v>13</x:v>
      </x:c>
      <x:c r="E22" s="17">
        <x:v>98</x:v>
      </x:c>
      <x:c r="F22">
        <x:v>0.06</x:v>
      </x:c>
      <x:c r="G22" s="22" t="n">
        <x:f>E22/SUM(tIBRD[Capital invested])*100</x:f>
        <x:v>0.03555582645709046</x:v>
      </x:c>
    </x:row>
    <x:row r="23">
      <x:c r="A23" t="s">
        <x:v>35</x:v>
      </x:c>
      <x:c r="B23" t="s">
        <x:v>13</x:v>
      </x:c>
      <x:c r="C23" t="str">
        <x:f t="shared" si="0"/>
        <x:v>08-18-2026</x:v>
      </x:c>
      <x:c r="D23" t="s">
        <x:v>13</x:v>
      </x:c>
      <x:c r="E23" s="17">
        <x:v>91.6</x:v>
      </x:c>
      <x:c r="F23">
        <x:v>0.06</x:v>
      </x:c>
      <x:c r="G23" s="22" t="n">
        <x:f>E23/SUM(tIBRD[Capital invested])*100</x:f>
        <x:v>0.03323381330070904</x:v>
      </x:c>
    </x:row>
    <x:row r="24">
      <x:c r="A24" t="s">
        <x:v>36</x:v>
      </x:c>
      <x:c r="B24" t="s">
        <x:v>13</x:v>
      </x:c>
      <x:c r="C24" t="str">
        <x:f t="shared" si="0"/>
        <x:v>08-18-2026</x:v>
      </x:c>
      <x:c r="D24" t="s">
        <x:v>13</x:v>
      </x:c>
      <x:c r="E24" s="17">
        <x:v>6330.5</x:v>
      </x:c>
      <x:c r="F24">
        <x:v>2.2000000000000002</x:v>
      </x:c>
      <x:c r="G24" s="22" t="n">
        <x:f>E24/SUM(tIBRD[Capital invested])*100</x:f>
        <x:v>2.2967975447613385</x:v>
      </x:c>
    </x:row>
    <x:row r="25">
      <x:c r="A25" t="s">
        <x:v>37</x:v>
      </x:c>
      <x:c r="B25" t="s">
        <x:v>13</x:v>
      </x:c>
      <x:c r="C25" t="str">
        <x:f t="shared" si="0"/>
        <x:v>08-18-2026</x:v>
      </x:c>
      <x:c r="D25" t="s">
        <x:v>13</x:v>
      </x:c>
      <x:c r="E25" s="17">
        <x:v>237.3</x:v>
      </x:c>
      <x:c r="F25">
        <x:v>0.11</x:v>
      </x:c>
      <x:c r="G25" s="22" t="n">
        <x:f>E25/SUM(tIBRD[Capital invested])*100</x:f>
        <x:v>0.08609589406395476</x:v>
      </x:c>
    </x:row>
    <x:row r="26">
      <x:c r="A26" t="s">
        <x:v>38</x:v>
      </x:c>
      <x:c r="B26" t="s">
        <x:v>13</x:v>
      </x:c>
      <x:c r="C26" t="str">
        <x:f t="shared" si="0"/>
        <x:v>08-18-2026</x:v>
      </x:c>
      <x:c r="D26" t="s">
        <x:v>13</x:v>
      </x:c>
      <x:c r="E26" s="17">
        <x:v>760.9</x:v>
      </x:c>
      <x:c r="F26">
        <x:v>0.28999999999999998</x:v>
      </x:c>
      <x:c r="G26" s="22" t="n">
        <x:f>E26/SUM(tIBRD[Capital invested])*100</x:f>
        <x:v>0.27606559542040954</x:v>
      </x:c>
    </x:row>
    <x:row r="27">
      <x:c r="A27" t="s">
        <x:v>39</x:v>
      </x:c>
      <x:c r="B27" t="s">
        <x:v>13</x:v>
      </x:c>
      <x:c r="C27" t="str">
        <x:f t="shared" si="0"/>
        <x:v>08-18-2026</x:v>
      </x:c>
      <x:c r="D27" t="s">
        <x:v>13</x:v>
      </x:c>
      <x:c r="E27" s="17">
        <x:v>153.6</x:v>
      </x:c>
      <x:c r="F27">
        <x:v>0.08</x:v>
      </x:c>
      <x:c r="G27" s="22" t="n">
        <x:f>E27/SUM(tIBRD[Capital invested])*100</x:f>
        <x:v>0.05572831575315403</x:v>
      </x:c>
    </x:row>
    <x:row r="28">
      <x:c r="A28" t="s">
        <x:v>40</x:v>
      </x:c>
      <x:c r="B28" t="s">
        <x:v>13</x:v>
      </x:c>
      <x:c r="C28" t="str">
        <x:f t="shared" si="0"/>
        <x:v>08-18-2026</x:v>
      </x:c>
      <x:c r="D28" t="s">
        <x:v>13</x:v>
      </x:c>
      <x:c r="E28" s="17">
        <x:v>121.9</x:v>
      </x:c>
      <x:c r="F28">
        <x:v>7.0000000000000007E-2</x:v>
      </x:c>
      <x:c r="G28" s="22" t="n">
        <x:f>E28/SUM(tIBRD[Capital invested])*100</x:f>
        <x:v>0.04422709433795233</x:v>
      </x:c>
    </x:row>
    <x:row r="29">
      <x:c r="A29" t="s">
        <x:v>41</x:v>
      </x:c>
      <x:c r="B29" t="s">
        <x:v>13</x:v>
      </x:c>
      <x:c r="C29" t="str">
        <x:f t="shared" si="0"/>
        <x:v>08-18-2026</x:v>
      </x:c>
      <x:c r="D29" t="s">
        <x:v>13</x:v>
      </x:c>
      <x:c r="E29" s="17">
        <x:v>83.3</x:v>
      </x:c>
      <x:c r="F29">
        <x:v>0.06</x:v>
      </x:c>
      <x:c r="G29" s="22" t="n">
        <x:f>E29/SUM(tIBRD[Capital invested])*100</x:f>
        <x:v>0.030222452488526896</x:v>
      </x:c>
    </x:row>
    <x:row r="30">
      <x:c r="A30" t="s">
        <x:v>42</x:v>
      </x:c>
      <x:c r="B30" t="s">
        <x:v>13</x:v>
      </x:c>
      <x:c r="C30" t="str">
        <x:f t="shared" si="0"/>
        <x:v>08-18-2026</x:v>
      </x:c>
      <x:c r="D30" t="s">
        <x:v>13</x:v>
      </x:c>
      <x:c r="E30" s="17">
        <x:v>61.9</x:v>
      </x:c>
      <x:c r="F30">
        <x:v>0.05</x:v>
      </x:c>
      <x:c r="G30" s="22" t="n">
        <x:f>E30/SUM(tIBRD[Capital invested])*100</x:f>
        <x:v>0.022458220996876527</x:v>
      </x:c>
    </x:row>
    <x:row r="31">
      <x:c r="A31" t="s">
        <x:v>43</x:v>
      </x:c>
      <x:c r="B31" t="s">
        <x:v>13</x:v>
      </x:c>
      <x:c r="C31" t="str">
        <x:f t="shared" si="0"/>
        <x:v>08-18-2026</x:v>
      </x:c>
      <x:c r="D31" t="s">
        <x:v>13</x:v>
      </x:c>
      <x:c r="E31" s="17">
        <x:v>268.5</x:v>
      </x:c>
      <x:c r="F31">
        <x:v>0.12</x:v>
      </x:c>
      <x:c r="G31" s="22" t="n">
        <x:f>E31/SUM(tIBRD[Capital invested])*100</x:f>
        <x:v>0.09741570820131418</x:v>
      </x:c>
    </x:row>
    <x:row r="32">
      <x:c r="A32" t="s">
        <x:v>44</x:v>
      </x:c>
      <x:c r="B32" t="s">
        <x:v>13</x:v>
      </x:c>
      <x:c r="C32" t="str">
        <x:f t="shared" si="0"/>
        <x:v>08-18-2026</x:v>
      </x:c>
      <x:c r="D32" t="s">
        <x:v>13</x:v>
      </x:c>
      <x:c r="E32" s="17">
        <x:v>7045.5</x:v>
      </x:c>
      <x:c r="F32">
        <x:v>2.44</x:v>
      </x:c>
      <x:c r="G32" s="22" t="n">
        <x:f>E32/SUM(tIBRD[Capital invested])*100</x:f>
        <x:v>2.5562099520758252</x:v>
      </x:c>
    </x:row>
    <x:row r="33">
      <x:c r="A33" t="s">
        <x:v>45</x:v>
      </x:c>
      <x:c r="B33" t="s">
        <x:v>13</x:v>
      </x:c>
      <x:c r="C33" t="str">
        <x:f t="shared" si="0"/>
        <x:v>08-18-2026</x:v>
      </x:c>
      <x:c r="D33" t="s">
        <x:v>13</x:v>
      </x:c>
      <x:c r="E33" s="17">
        <x:v>118.9</x:v>
      </x:c>
      <x:c r="F33">
        <x:v>7.0000000000000007E-2</x:v>
      </x:c>
      <x:c r="G33" s="22" t="n">
        <x:f>E33/SUM(tIBRD[Capital invested])*100</x:f>
        <x:v>0.04313865067089853</x:v>
      </x:c>
    </x:row>
    <x:row r="34">
      <x:c r="A34" t="s">
        <x:v>46</x:v>
      </x:c>
      <x:c r="B34" t="s">
        <x:v>13</x:v>
      </x:c>
      <x:c r="C34" t="str">
        <x:f t="shared" si="0"/>
        <x:v>08-18-2026</x:v>
      </x:c>
      <x:c r="D34" t="s">
        <x:v>13</x:v>
      </x:c>
      <x:c r="E34" s="17">
        <x:v>97.5</x:v>
      </x:c>
      <x:c r="F34">
        <x:v>0.06</x:v>
      </x:c>
      <x:c r="G34" s="22" t="n">
        <x:f>E34/SUM(tIBRD[Capital invested])*100</x:f>
        <x:v>0.03537441917924816</x:v>
      </x:c>
    </x:row>
    <x:row r="35">
      <x:c r="A35" t="s">
        <x:v>47</x:v>
      </x:c>
      <x:c r="B35" t="s">
        <x:v>13</x:v>
      </x:c>
      <x:c r="C35" t="str">
        <x:f t="shared" si="0"/>
        <x:v>08-18-2026</x:v>
      </x:c>
      <x:c r="D35" t="s">
        <x:v>13</x:v>
      </x:c>
      <x:c r="E35" s="17">
        <x:v>1178.7</x:v>
      </x:c>
      <x:c r="F35">
        <x:v>0.43</x:v>
      </x:c>
      <x:c r="G35" s="22" t="n">
        <x:f>E35/SUM(tIBRD[Capital invested])*100</x:f>
        <x:v>0.42764951678543395</x:v>
      </x:c>
    </x:row>
    <x:row r="36">
      <x:c r="A36" t="s">
        <x:v>48</x:v>
      </x:c>
      <x:c r="B36" t="s">
        <x:v>13</x:v>
      </x:c>
      <x:c r="C36" t="str">
        <x:f t="shared" si="0"/>
        <x:v>08-18-2026</x:v>
      </x:c>
      <x:c r="D36" t="s">
        <x:v>13</x:v>
      </x:c>
      <x:c r="E36" s="17">
        <x:v>16685.900000000001</x:v>
      </x:c>
      <x:c r="F36">
        <x:v>5.75</x:v>
      </x:c>
      <x:c r="G36" s="22" t="n">
        <x:f>E36/SUM(tIBRD[Capital invested])*100</x:f>
        <x:v>6.05388739469761</x:v>
      </x:c>
    </x:row>
    <x:row r="37">
      <x:c r="A37" t="s">
        <x:v>49</x:v>
      </x:c>
      <x:c r="B37" t="s">
        <x:v>13</x:v>
      </x:c>
      <x:c r="C37" t="str">
        <x:f t="shared" si="0"/>
        <x:v>08-18-2026</x:v>
      </x:c>
      <x:c r="D37" t="s">
        <x:v>13</x:v>
      </x:c>
      <x:c r="E37" s="17">
        <x:v>1180.5999999999999</x:v>
      </x:c>
      <x:c r="F37">
        <x:v>0.43</x:v>
      </x:c>
      <x:c r="G37" s="22" t="n">
        <x:f>E37/SUM(tIBRD[Capital invested])*100</x:f>
        <x:v>0.42833886444123465</x:v>
      </x:c>
    </x:row>
    <x:row r="38">
      <x:c r="A38" t="s">
        <x:v>50</x:v>
      </x:c>
      <x:c r="B38" t="s">
        <x:v>13</x:v>
      </x:c>
      <x:c r="C38" t="str">
        <x:f t="shared" si="0"/>
        <x:v>08-18-2026</x:v>
      </x:c>
      <x:c r="D38" t="s">
        <x:v>13</x:v>
      </x:c>
      <x:c r="E38" s="17">
        <x:v>36.9</x:v>
      </x:c>
      <x:c r="F38">
        <x:v>0.04</x:v>
      </x:c>
      <x:c r="G38" s="22" t="n">
        <x:f>E38/SUM(tIBRD[Capital invested])*100</x:f>
        <x:v>0.013387857104761612</x:v>
      </x:c>
    </x:row>
    <x:row r="39">
      <x:c r="A39" t="s">
        <x:v>51</x:v>
      </x:c>
      <x:c r="B39" t="s">
        <x:v>13</x:v>
      </x:c>
      <x:c r="C39" t="str">
        <x:f t="shared" si="0"/>
        <x:v>08-18-2026</x:v>
      </x:c>
      <x:c r="D39" t="s">
        <x:v>13</x:v>
      </x:c>
      <x:c r="E39" s="17">
        <x:v>341.6</x:v>
      </x:c>
      <x:c r="F39">
        <x:v>0.15</x:v>
      </x:c>
      <x:c r="G39" s="22" t="n">
        <x:f>E39/SUM(tIBRD[Capital invested])*100</x:f>
        <x:v>0.12393745222185819</x:v>
      </x:c>
    </x:row>
    <x:row r="40">
      <x:c r="A40" t="s">
        <x:v>52</x:v>
      </x:c>
      <x:c r="B40" t="s">
        <x:v>13</x:v>
      </x:c>
      <x:c r="C40" t="str">
        <x:f t="shared" si="0"/>
        <x:v>08-18-2026</x:v>
      </x:c>
      <x:c r="D40" t="s">
        <x:v>13</x:v>
      </x:c>
      <x:c r="E40" s="17">
        <x:v>105.1</x:v>
      </x:c>
      <x:c r="F40">
        <x:v>7.0000000000000007E-2</x:v>
      </x:c>
      <x:c r="G40" s="22" t="n">
        <x:f>E40/SUM(tIBRD[Capital invested])*100</x:f>
        <x:v>0.0381318098024511</x:v>
      </x:c>
    </x:row>
    <x:row r="41">
      <x:c r="A41" t="s">
        <x:v>53</x:v>
      </x:c>
      <x:c r="B41" t="s">
        <x:v>13</x:v>
      </x:c>
      <x:c r="C41" t="str">
        <x:f t="shared" si="0"/>
        <x:v>08-18-2026</x:v>
      </x:c>
      <x:c r="D41" t="s">
        <x:v>13</x:v>
      </x:c>
      <x:c r="E41" s="17">
        <x:v>139.19999999999999</x:v>
      </x:c>
      <x:c r="F41">
        <x:v>0.08</x:v>
      </x:c>
      <x:c r="G41" s="22" t="n">
        <x:f>E41/SUM(tIBRD[Capital invested])*100</x:f>
        <x:v>0.05050378615129584</x:v>
      </x:c>
    </x:row>
    <x:row r="42">
      <x:c r="A42" t="s">
        <x:v>54</x:v>
      </x:c>
      <x:c r="B42" t="s">
        <x:v>13</x:v>
      </x:c>
      <x:c r="C42" t="str">
        <x:f t="shared" si="0"/>
        <x:v>08-18-2026</x:v>
      </x:c>
      <x:c r="D42" t="s">
        <x:v>13</x:v>
      </x:c>
      <x:c r="E42" s="17">
        <x:v>427.3</x:v>
      </x:c>
      <x:c r="F42">
        <x:v>0.18</x:v>
      </x:c>
      <x:c r="G42" s="22" t="n">
        <x:f>E42/SUM(tIBRD[Capital invested])*100</x:f>
        <x:v>0.15503065964402812</x:v>
      </x:c>
    </x:row>
    <x:row r="43">
      <x:c r="A43" t="s">
        <x:v>55</x:v>
      </x:c>
      <x:c r="B43" t="s">
        <x:v>13</x:v>
      </x:c>
      <x:c r="C43" t="str">
        <x:f t="shared" si="0"/>
        <x:v>08-18-2026</x:v>
      </x:c>
      <x:c r="D43" t="s">
        <x:v>13</x:v>
      </x:c>
      <x:c r="E43" s="17">
        <x:v>337.6</x:v>
      </x:c>
      <x:c r="F43">
        <x:v>0.15</x:v>
      </x:c>
      <x:c r="G43" s="22" t="n">
        <x:f>E43/SUM(tIBRD[Capital invested])*100</x:f>
        <x:v>0.1224861939991198</x:v>
      </x:c>
    </x:row>
    <x:row r="44">
      <x:c r="A44" t="s">
        <x:v>56</x:v>
      </x:c>
      <x:c r="B44" t="s">
        <x:v>13</x:v>
      </x:c>
      <x:c r="C44" t="str">
        <x:f t="shared" si="0"/>
        <x:v>08-18-2026</x:v>
      </x:c>
      <x:c r="D44" t="s">
        <x:v>13</x:v>
      </x:c>
      <x:c r="E44" s="17">
        <x:v>211.1</x:v>
      </x:c>
      <x:c r="F44">
        <x:v>0.1</x:v>
      </x:c>
      <x:c r="G44" s="22" t="n">
        <x:f>E44/SUM(tIBRD[Capital invested])*100</x:f>
        <x:v>0.07659015270501834</x:v>
      </x:c>
    </x:row>
    <x:row r="45">
      <x:c r="A45" t="s">
        <x:v>57</x:v>
      </x:c>
      <x:c r="B45" t="s">
        <x:v>13</x:v>
      </x:c>
      <x:c r="C45" t="str">
        <x:f t="shared" si="0"/>
        <x:v>08-18-2026</x:v>
      </x:c>
      <x:c r="D45" t="s">
        <x:v>13</x:v>
      </x:c>
      <x:c r="E45" s="17">
        <x:v>945.1</x:v>
      </x:c>
      <x:c r="F45">
        <x:v>0.35</x:v>
      </x:c>
      <x:c r="G45" s="22" t="n">
        <x:f>E45/SUM(tIBRD[Capital invested])*100</x:f>
        <x:v>0.3428960365775122</x:v>
      </x:c>
    </x:row>
    <x:row r="46">
      <x:c r="A46" t="s">
        <x:v>58</x:v>
      </x:c>
      <x:c r="B46" t="s">
        <x:v>13</x:v>
      </x:c>
      <x:c r="C46" t="str">
        <x:f t="shared" si="0"/>
        <x:v>08-18-2026</x:v>
      </x:c>
      <x:c r="D46" t="s">
        <x:v>13</x:v>
      </x:c>
      <x:c r="E46" s="17">
        <x:v>2106.1</x:v>
      </x:c>
      <x:c r="F46">
        <x:v>0.75</x:v>
      </x:c>
      <x:c r="G46" s="22" t="n">
        <x:f>E46/SUM(tIBRD[Capital invested])*100</x:f>
        <x:v>0.7641237357273287</x:v>
      </x:c>
    </x:row>
    <x:row r="47">
      <x:c r="A47" t="s">
        <x:v>59</x:v>
      </x:c>
      <x:c r="B47" t="s">
        <x:v>13</x:v>
      </x:c>
      <x:c r="C47" t="str">
        <x:f t="shared" si="0"/>
        <x:v>08-18-2026</x:v>
      </x:c>
      <x:c r="D47" t="s">
        <x:v>13</x:v>
      </x:c>
      <x:c r="E47" s="17">
        <x:v>89.6</x:v>
      </x:c>
      <x:c r="F47">
        <x:v>0.06</x:v>
      </x:c>
      <x:c r="G47" s="22" t="n">
        <x:f>E47/SUM(tIBRD[Capital invested])*100</x:f>
        <x:v>0.03250818418933985</x:v>
      </x:c>
    </x:row>
    <x:row r="48">
      <x:c r="A48" t="s">
        <x:v>60</x:v>
      </x:c>
      <x:c r="B48" t="s">
        <x:v>13</x:v>
      </x:c>
      <x:c r="C48" t="str">
        <x:f t="shared" si="0"/>
        <x:v>08-18-2026</x:v>
      </x:c>
      <x:c r="D48" t="s">
        <x:v>13</x:v>
      </x:c>
      <x:c r="E48" s="17">
        <x:v>69.900000000000006</x:v>
      </x:c>
      <x:c r="F48">
        <x:v>0.05</x:v>
      </x:c>
      <x:c r="G48" s="22" t="n">
        <x:f>E48/SUM(tIBRD[Capital invested])*100</x:f>
        <x:v>0.0253607374423533</x:v>
      </x:c>
    </x:row>
    <x:row r="49">
      <x:c r="A49" t="s">
        <x:v>61</x:v>
      </x:c>
      <x:c r="B49" t="s">
        <x:v>13</x:v>
      </x:c>
      <x:c r="C49" t="str">
        <x:f t="shared" si="0"/>
        <x:v>08-18-2026</x:v>
      </x:c>
      <x:c r="D49" t="s">
        <x:v>13</x:v>
      </x:c>
      <x:c r="E49" s="17">
        <x:v>314.2</x:v>
      </x:c>
      <x:c r="F49">
        <x:v>0.14000000000000001</x:v>
      </x:c>
      <x:c r="G49" s="22" t="n">
        <x:f>E49/SUM(tIBRD[Capital invested])*100</x:f>
        <x:v>0.11399633339610024</x:v>
      </x:c>
    </x:row>
    <x:row r="50">
      <x:c r="A50" t="s">
        <x:v>62</x:v>
      </x:c>
      <x:c r="B50" t="s">
        <x:v>13</x:v>
      </x:c>
      <x:c r="C50" t="str">
        <x:f t="shared" si="0"/>
        <x:v>08-18-2026</x:v>
      </x:c>
      <x:c r="D50" t="s">
        <x:v>13</x:v>
      </x:c>
      <x:c r="E50" s="17">
        <x:v>452.3</x:v>
      </x:c>
      <x:c r="F50">
        <x:v>0.18</x:v>
      </x:c>
      <x:c r="G50" s="22" t="n">
        <x:f>E50/SUM(tIBRD[Capital invested])*100</x:f>
        <x:v>0.16410102353614303</x:v>
      </x:c>
    </x:row>
    <x:row r="51">
      <x:c r="A51" t="s">
        <x:v>63</x:v>
      </x:c>
      <x:c r="B51" t="s">
        <x:v>13</x:v>
      </x:c>
      <x:c r="C51" t="str">
        <x:f t="shared" si="0"/>
        <x:v>08-18-2026</x:v>
      </x:c>
      <x:c r="D51" t="s">
        <x:v>13</x:v>
      </x:c>
      <x:c r="E51" s="17">
        <x:v>1299.9000000000001</x:v>
      </x:c>
      <x:c r="F51">
        <x:v>0.47</x:v>
      </x:c>
      <x:c r="G51" s="22" t="n">
        <x:f>E51/SUM(tIBRD[Capital invested])*100</x:f>
        <x:v>0.47162264093440714</x:v>
      </x:c>
    </x:row>
    <x:row r="52">
      <x:c r="A52" t="s">
        <x:v>64</x:v>
      </x:c>
      <x:c r="B52" t="s">
        <x:v>13</x:v>
      </x:c>
      <x:c r="C52" t="str">
        <x:f t="shared" si="0"/>
        <x:v>08-18-2026</x:v>
      </x:c>
      <x:c r="D52" t="s">
        <x:v>13</x:v>
      </x:c>
      <x:c r="E52" s="17">
        <x:v>55.2</x:v>
      </x:c>
      <x:c r="F52">
        <x:v>0.05</x:v>
      </x:c>
      <x:c r="G52" s="22" t="n">
        <x:f>E52/SUM(tIBRD[Capital invested])*100</x:f>
        <x:v>0.02002736347378973</x:v>
      </x:c>
    </x:row>
    <x:row r="53">
      <x:c r="A53" t="s">
        <x:v>65</x:v>
      </x:c>
      <x:c r="B53" t="s">
        <x:v>13</x:v>
      </x:c>
      <x:c r="C53" t="str">
        <x:f t="shared" si="0"/>
        <x:v>08-18-2026</x:v>
      </x:c>
      <x:c r="D53" t="s">
        <x:v>13</x:v>
      </x:c>
      <x:c r="E53" s="17">
        <x:v>86</x:v>
      </x:c>
      <x:c r="F53">
        <x:v>0.06</x:v>
      </x:c>
      <x:c r="G53" s="22" t="n">
        <x:f>E53/SUM(tIBRD[Capital invested])*100</x:f>
        <x:v>0.031202051788875303</x:v>
      </x:c>
    </x:row>
    <x:row r="54">
      <x:c r="A54" t="s">
        <x:v>66</x:v>
      </x:c>
      <x:c r="B54" t="s">
        <x:v>13</x:v>
      </x:c>
      <x:c r="C54" t="str">
        <x:f t="shared" si="0"/>
        <x:v>08-18-2026</x:v>
      </x:c>
      <x:c r="D54" t="s">
        <x:v>13</x:v>
      </x:c>
      <x:c r="E54" s="17">
        <x:v>59.3</x:v>
      </x:c>
      <x:c r="F54">
        <x:v>0.05</x:v>
      </x:c>
      <x:c r="G54" s="22" t="n">
        <x:f>E54/SUM(tIBRD[Capital invested])*100</x:f>
        <x:v>0.021514903152096577</x:v>
      </x:c>
    </x:row>
    <x:row r="55">
      <x:c r="A55" t="s">
        <x:v>67</x:v>
      </x:c>
      <x:c r="B55" t="s">
        <x:v>13</x:v>
      </x:c>
      <x:c r="C55" t="str">
        <x:f t="shared" si="0"/>
        <x:v>08-18-2026</x:v>
      </x:c>
      <x:c r="D55" t="s">
        <x:v>13</x:v>
      </x:c>
      <x:c r="E55" s="17">
        <x:v>137.19999999999999</x:v>
      </x:c>
      <x:c r="F55">
        <x:v>0.08</x:v>
      </x:c>
      <x:c r="G55" s="22" t="n">
        <x:f>E55/SUM(tIBRD[Capital invested])*100</x:f>
        <x:v>0.04977815703992664</x:v>
      </x:c>
    </x:row>
    <x:row r="56">
      <x:c r="A56" t="s">
        <x:v>68</x:v>
      </x:c>
      <x:c r="B56" t="s">
        <x:v>13</x:v>
      </x:c>
      <x:c r="C56" t="str">
        <x:f t="shared" si="0"/>
        <x:v>08-18-2026</x:v>
      </x:c>
      <x:c r="D56" t="s">
        <x:v>13</x:v>
      </x:c>
      <x:c r="E56" s="17">
        <x:v>60.9</x:v>
      </x:c>
      <x:c r="F56">
        <x:v>0.05</x:v>
      </x:c>
      <x:c r="G56" s="22" t="n">
        <x:f>E56/SUM(tIBRD[Capital invested])*100</x:f>
        <x:v>0.02209540644119193</x:v>
      </x:c>
    </x:row>
    <x:row r="57">
      <x:c r="A57" t="s">
        <x:v>69</x:v>
      </x:c>
      <x:c r="B57" t="s">
        <x:v>13</x:v>
      </x:c>
      <x:c r="C57" t="str">
        <x:f t="shared" si="0"/>
        <x:v>08-18-2026</x:v>
      </x:c>
      <x:c r="D57" t="s">
        <x:v>13</x:v>
      </x:c>
      <x:c r="E57" s="17">
        <x:v>182.9</x:v>
      </x:c>
      <x:c r="F57">
        <x:v>0.09</x:v>
      </x:c>
      <x:c r="G57" s="22" t="n">
        <x:f>E57/SUM(tIBRD[Capital invested])*100</x:f>
        <x:v>0.06635878223471271</x:v>
      </x:c>
    </x:row>
    <x:row r="58">
      <x:c r="A58" t="s">
        <x:v>70</x:v>
      </x:c>
      <x:c r="B58" t="s">
        <x:v>13</x:v>
      </x:c>
      <x:c r="C58" t="str">
        <x:f t="shared" si="0"/>
        <x:v>08-18-2026</x:v>
      </x:c>
      <x:c r="D58" t="s">
        <x:v>13</x:v>
      </x:c>
      <x:c r="E58" s="17">
        <x:v>140.69999999999999</x:v>
      </x:c>
      <x:c r="F58">
        <x:v>0.08</x:v>
      </x:c>
      <x:c r="G58" s="22" t="n">
        <x:f>E58/SUM(tIBRD[Capital invested])*100</x:f>
        <x:v>0.05104800798482273</x:v>
      </x:c>
    </x:row>
    <x:row r="59">
      <x:c r="A59" t="s">
        <x:v>71</x:v>
      </x:c>
      <x:c r="B59" t="s">
        <x:v>13</x:v>
      </x:c>
      <x:c r="C59" t="str">
        <x:f t="shared" si="0"/>
        <x:v>08-18-2026</x:v>
      </x:c>
      <x:c r="D59" t="s">
        <x:v>13</x:v>
      </x:c>
      <x:c r="E59" s="17">
        <x:v>1372.6</x:v>
      </x:c>
      <x:c r="F59">
        <x:v>0.5</x:v>
      </x:c>
      <x:c r="G59" s="22" t="n">
        <x:f>E59/SUM(tIBRD[Capital invested])*100</x:f>
        <x:v>0.49799925913267723</x:v>
      </x:c>
    </x:row>
    <x:row r="60">
      <x:c r="A60" t="s">
        <x:v>72</x:v>
      </x:c>
      <x:c r="B60" t="s">
        <x:v>13</x:v>
      </x:c>
      <x:c r="C60" t="str">
        <x:f t="shared" si="0"/>
        <x:v>08-18-2026</x:v>
      </x:c>
      <x:c r="D60" t="s">
        <x:v>13</x:v>
      </x:c>
      <x:c r="E60" s="17">
        <x:v>10861.1</x:v>
      </x:c>
      <x:c r="F60">
        <x:v>3.75</x:v>
      </x:c>
      <x:c r="G60" s="22" t="n">
        <x:f>E60/SUM(tIBRD[Capital invested])*100</x:f>
        <x:v>3.9405651707459723</x:v>
      </x:c>
    </x:row>
    <x:row r="61">
      <x:c r="A61" t="s">
        <x:v>73</x:v>
      </x:c>
      <x:c r="B61" t="s">
        <x:v>13</x:v>
      </x:c>
      <x:c r="C61" t="str">
        <x:f t="shared" si="0"/>
        <x:v>08-18-2026</x:v>
      </x:c>
      <x:c r="D61" t="s">
        <x:v>13</x:v>
      </x:c>
      <x:c r="E61" s="17">
        <x:v>114.5</x:v>
      </x:c>
      <x:c r="F61">
        <x:v>7.0000000000000007E-2</x:v>
      </x:c>
      <x:c r="G61" s="22" t="n">
        <x:f>E61/SUM(tIBRD[Capital invested])*100</x:f>
        <x:v>0.0415422666258863</x:v>
      </x:c>
    </x:row>
    <x:row r="62">
      <x:c r="A62" t="s">
        <x:v>74</x:v>
      </x:c>
      <x:c r="B62" t="s">
        <x:v>13</x:v>
      </x:c>
      <x:c r="C62" t="str">
        <x:f t="shared" si="0"/>
        <x:v>08-18-2026</x:v>
      </x:c>
      <x:c r="D62" t="s">
        <x:v>13</x:v>
      </x:c>
      <x:c r="E62" s="17">
        <x:v>77.7</x:v>
      </x:c>
      <x:c r="F62">
        <x:v>0.06</x:v>
      </x:c>
      <x:c r="G62" s="22" t="n">
        <x:f>E62/SUM(tIBRD[Capital invested])*100</x:f>
        <x:v>0.028190690976693154</x:v>
      </x:c>
    </x:row>
    <x:row r="63">
      <x:c r="A63" t="s">
        <x:v>75</x:v>
      </x:c>
      <x:c r="B63" t="s">
        <x:v>13</x:v>
      </x:c>
      <x:c r="C63" t="str">
        <x:f t="shared" si="0"/>
        <x:v>08-18-2026</x:v>
      </x:c>
      <x:c r="D63" t="s">
        <x:v>13</x:v>
      </x:c>
      <x:c r="E63" s="17">
        <x:v>259</x:v>
      </x:c>
      <x:c r="F63">
        <x:v>0.12</x:v>
      </x:c>
      <x:c r="G63" s="22" t="n">
        <x:f>E63/SUM(tIBRD[Capital invested])*100</x:f>
        <x:v>0.09396896992231052</x:v>
      </x:c>
    </x:row>
    <x:row r="64">
      <x:c r="A64" t="s">
        <x:v>76</x:v>
      </x:c>
      <x:c r="B64" t="s">
        <x:v>13</x:v>
      </x:c>
      <x:c r="C64" t="str">
        <x:f t="shared" si="0"/>
        <x:v>08-18-2026</x:v>
      </x:c>
      <x:c r="D64" t="s">
        <x:v>13</x:v>
      </x:c>
      <x:c r="E64" s="17">
        <x:v>11857.8</x:v>
      </x:c>
      <x:c r="F64">
        <x:v>4.09</x:v>
      </x:c>
      <x:c r="G64" s="22" t="n">
        <x:f>E64/SUM(tIBRD[Capital invested])*100</x:f>
        <x:v>4.302182438396809</x:v>
      </x:c>
    </x:row>
    <x:row r="65">
      <x:c r="A65" t="s">
        <x:v>77</x:v>
      </x:c>
      <x:c r="B65" t="s">
        <x:v>13</x:v>
      </x:c>
      <x:c r="C65" t="str">
        <x:f t="shared" si="0"/>
        <x:v>08-18-2026</x:v>
      </x:c>
      <x:c r="D65" t="s">
        <x:v>13</x:v>
      </x:c>
      <x:c r="E65" s="17">
        <x:v>268.5</x:v>
      </x:c>
      <x:c r="F65">
        <x:v>0.12</x:v>
      </x:c>
      <x:c r="G65" s="22" t="n">
        <x:f>E65/SUM(tIBRD[Capital invested])*100</x:f>
        <x:v>0.09741570820131418</x:v>
      </x:c>
    </x:row>
    <x:row r="66">
      <x:c r="A66" t="s">
        <x:v>78</x:v>
      </x:c>
      <x:c r="B66" t="s">
        <x:v>13</x:v>
      </x:c>
      <x:c r="C66" t="str">
        <x:f t="shared" si="0"/>
        <x:v>08-18-2026</x:v>
      </x:c>
      <x:c r="D66" t="s">
        <x:v>13</x:v>
      </x:c>
      <x:c r="E66" s="17">
        <x:v>446</x:v>
      </x:c>
      <x:c r="F66">
        <x:v>0.18</x:v>
      </x:c>
      <x:c r="G66" s="22" t="n">
        <x:f>E66/SUM(tIBRD[Capital invested])*100</x:f>
        <x:v>0.16181529183533006</x:v>
      </x:c>
    </x:row>
    <x:row r="67">
      <x:c r="A67" t="s">
        <x:v>79</x:v>
      </x:c>
      <x:c r="B67" t="s">
        <x:v>13</x:v>
      </x:c>
      <x:c r="C67" t="str">
        <x:f t="shared" si="0"/>
        <x:v>08-18-2026</x:v>
      </x:c>
      <x:c r="D67" t="s">
        <x:v>13</x:v>
      </x:c>
      <x:c r="E67" s="17">
        <x:v>73.900000000000006</x:v>
      </x:c>
      <x:c r="F67">
        <x:v>0.05</x:v>
      </x:c>
      <x:c r="G67" s="22" t="n">
        <x:f>E67/SUM(tIBRD[Capital invested])*100</x:f>
        <x:v>0.026811995665091688</x:v>
      </x:c>
    </x:row>
    <x:row r="68">
      <x:c r="A68" t="s">
        <x:v>80</x:v>
      </x:c>
      <x:c r="B68" t="s">
        <x:v>13</x:v>
      </x:c>
      <x:c r="C68" t="str">
        <x:f t="shared" ref="C68:C131" si="1">$C67</x:f>
        <x:v>08-18-2026</x:v>
      </x:c>
      <x:c r="D68" t="s">
        <x:v>13</x:v>
      </x:c>
      <x:c r="E68" s="17">
        <x:v>200.1</x:v>
      </x:c>
      <x:c r="F68">
        <x:v>0.1</x:v>
      </x:c>
      <x:c r="G68" s="22" t="n">
        <x:f>E68/SUM(tIBRD[Capital invested])*100</x:f>
        <x:v>0.07259919259248777</x:v>
      </x:c>
    </x:row>
    <x:row r="69">
      <x:c r="A69" t="s">
        <x:v>81</x:v>
      </x:c>
      <x:c r="B69" t="s">
        <x:v>13</x:v>
      </x:c>
      <x:c r="C69" t="str">
        <x:f t="shared" si="1"/>
        <x:v>08-18-2026</x:v>
      </x:c>
      <x:c r="D69" t="s">
        <x:v>13</x:v>
      </x:c>
      <x:c r="E69" s="17">
        <x:v>227.3</x:v>
      </x:c>
      <x:c r="F69">
        <x:v>0.11</x:v>
      </x:c>
      <x:c r="G69" s="22" t="n">
        <x:f>E69/SUM(tIBRD[Capital invested])*100</x:f>
        <x:v>0.0824677485071088</x:v>
      </x:c>
    </x:row>
    <x:row r="70">
      <x:c r="A70" t="s">
        <x:v>82</x:v>
      </x:c>
      <x:c r="B70" t="s">
        <x:v>13</x:v>
      </x:c>
      <x:c r="C70" t="str">
        <x:f t="shared" si="1"/>
        <x:v>08-18-2026</x:v>
      </x:c>
      <x:c r="D70" t="s">
        <x:v>13</x:v>
      </x:c>
      <x:c r="E70" s="17">
        <x:v>61.3</x:v>
      </x:c>
      <x:c r="F70">
        <x:v>0.05</x:v>
      </x:c>
      <x:c r="G70" s="22" t="n">
        <x:f>E70/SUM(tIBRD[Capital invested])*100</x:f>
        <x:v>0.02224053226346577</x:v>
      </x:c>
    </x:row>
    <x:row r="71">
      <x:c r="A71" t="s">
        <x:v>83</x:v>
      </x:c>
      <x:c r="B71" t="s">
        <x:v>13</x:v>
      </x:c>
      <x:c r="C71" t="str">
        <x:f t="shared" si="1"/>
        <x:v>08-18-2026</x:v>
      </x:c>
      <x:c r="D71" t="s">
        <x:v>13</x:v>
      </x:c>
      <x:c r="E71" s="17">
        <x:v>172.4</x:v>
      </x:c>
      <x:c r="F71">
        <x:v>0.09</x:v>
      </x:c>
      <x:c r="G71" s="22" t="n">
        <x:f>E71/SUM(tIBRD[Capital invested])*100</x:f>
        <x:v>0.06254922940002444</x:v>
      </x:c>
    </x:row>
    <x:row r="72">
      <x:c r="A72" t="s">
        <x:v>84</x:v>
      </x:c>
      <x:c r="B72" t="s">
        <x:v>13</x:v>
      </x:c>
      <x:c r="C72" t="str">
        <x:f t="shared" si="1"/>
        <x:v>08-18-2026</x:v>
      </x:c>
      <x:c r="D72" t="s">
        <x:v>13</x:v>
      </x:c>
      <x:c r="E72" s="17">
        <x:v>189</x:v>
      </x:c>
      <x:c r="F72">
        <x:v>0.09</x:v>
      </x:c>
      <x:c r="G72" s="22" t="n">
        <x:f>E72/SUM(tIBRD[Capital invested])*100</x:f>
        <x:v>0.06857195102438875</x:v>
      </x:c>
    </x:row>
    <x:row r="73">
      <x:c r="A73" t="s">
        <x:v>85</x:v>
      </x:c>
      <x:c r="B73" t="s">
        <x:v>13</x:v>
      </x:c>
      <x:c r="C73" t="str">
        <x:f t="shared" si="1"/>
        <x:v>08-18-2026</x:v>
      </x:c>
      <x:c r="D73" t="s">
        <x:v>13</x:v>
      </x:c>
      <x:c r="E73" s="17">
        <x:v>78.2</x:v>
      </x:c>
      <x:c r="F73">
        <x:v>0.06</x:v>
      </x:c>
      <x:c r="G73" s="22" t="n">
        <x:f>E73/SUM(tIBRD[Capital invested])*100</x:f>
        <x:v>0.028372098254535454</x:v>
      </x:c>
    </x:row>
    <x:row r="74">
      <x:c r="A74" t="s">
        <x:v>86</x:v>
      </x:c>
      <x:c r="B74" t="s">
        <x:v>13</x:v>
      </x:c>
      <x:c r="C74" t="str">
        <x:f t="shared" si="1"/>
        <x:v>08-18-2026</x:v>
      </x:c>
      <x:c r="D74" t="s">
        <x:v>13</x:v>
      </x:c>
      <x:c r="E74" s="17">
        <x:v>1245.5999999999999</x:v>
      </x:c>
      <x:c r="F74">
        <x:v>0.46</x:v>
      </x:c>
      <x:c r="G74" s="22" t="n">
        <x:f>E74/SUM(tIBRD[Capital invested])*100</x:f>
        <x:v>0.4519218105607335</x:v>
      </x:c>
    </x:row>
    <x:row r="75">
      <x:c r="A75" t="s">
        <x:v>87</x:v>
      </x:c>
      <x:c r="B75" t="s">
        <x:v>13</x:v>
      </x:c>
      <x:c r="C75" t="str">
        <x:f t="shared" si="1"/>
        <x:v>08-18-2026</x:v>
      </x:c>
      <x:c r="D75" t="s">
        <x:v>13</x:v>
      </x:c>
      <x:c r="E75" s="17">
        <x:v>197.5</x:v>
      </x:c>
      <x:c r="F75">
        <x:v>0.1</x:v>
      </x:c>
      <x:c r="G75" s="22" t="n">
        <x:f>E75/SUM(tIBRD[Capital invested])*100</x:f>
        <x:v>0.07165587474770782</x:v>
      </x:c>
    </x:row>
    <x:row r="76">
      <x:c r="A76" t="s">
        <x:v>88</x:v>
      </x:c>
      <x:c r="B76" t="s">
        <x:v>13</x:v>
      </x:c>
      <x:c r="C76" t="str">
        <x:f t="shared" si="1"/>
        <x:v>08-18-2026</x:v>
      </x:c>
      <x:c r="D76" t="s">
        <x:v>13</x:v>
      </x:c>
      <x:c r="E76" s="17">
        <x:v>8517.5</x:v>
      </x:c>
      <x:c r="F76">
        <x:v>2.95</x:v>
      </x:c>
      <x:c r="G76" s="22" t="n">
        <x:f>E76/SUM(tIBRD[Capital invested])*100</x:f>
        <x:v>3.090272978043551</x:v>
      </x:c>
    </x:row>
    <x:row r="77">
      <x:c r="A77" t="s">
        <x:v>89</x:v>
      </x:c>
      <x:c r="B77" t="s">
        <x:v>13</x:v>
      </x:c>
      <x:c r="C77" t="str">
        <x:f t="shared" si="1"/>
        <x:v>08-18-2026</x:v>
      </x:c>
      <x:c r="D77" t="s">
        <x:v>13</x:v>
      </x:c>
      <x:c r="E77" s="17">
        <x:v>2886.3</x:v>
      </x:c>
      <x:c r="F77">
        <x:v>1.02</x:v>
      </x:c>
      <x:c r="G77" s="22" t="n">
        <x:f>E77/SUM(tIBRD[Capital invested])*100</x:f>
        <x:v>1.0471916520724511</x:v>
      </x:c>
    </x:row>
    <x:row r="78">
      <x:c r="A78" t="s">
        <x:v>90</x:v>
      </x:c>
      <x:c r="B78" t="s">
        <x:v>13</x:v>
      </x:c>
      <x:c r="C78" t="str">
        <x:f t="shared" si="1"/>
        <x:v>08-18-2026</x:v>
      </x:c>
      <x:c r="D78" t="s">
        <x:v>13</x:v>
      </x:c>
      <x:c r="E78" s="17">
        <x:v>3830</x:v>
      </x:c>
      <x:c r="F78">
        <x:v>1.34</x:v>
      </x:c>
      <x:c r="G78" s="22" t="n">
        <x:f>E78/SUM(tIBRD[Capital invested])*100</x:f>
        <x:v>1.389579748272005</x:v>
      </x:c>
    </x:row>
    <x:row r="79">
      <x:c r="A79" t="s">
        <x:v>91</x:v>
      </x:c>
      <x:c r="B79" t="s">
        <x:v>13</x:v>
      </x:c>
      <x:c r="C79" t="str">
        <x:f t="shared" si="1"/>
        <x:v>08-18-2026</x:v>
      </x:c>
      <x:c r="D79" t="s">
        <x:v>13</x:v>
      </x:c>
      <x:c r="E79" s="17">
        <x:v>508.5</x:v>
      </x:c>
      <x:c r="F79">
        <x:v>0.2</x:v>
      </x:c>
      <x:c r="G79" s="22" t="n">
        <x:f>E79/SUM(tIBRD[Capital invested])*100</x:f>
        <x:v>0.18449120156561735</x:v>
      </x:c>
    </x:row>
    <x:row r="80">
      <x:c r="A80" t="s">
        <x:v>92</x:v>
      </x:c>
      <x:c r="B80" t="s">
        <x:v>13</x:v>
      </x:c>
      <x:c r="C80" t="str">
        <x:f t="shared" si="1"/>
        <x:v>08-18-2026</x:v>
      </x:c>
      <x:c r="D80" t="s">
        <x:v>13</x:v>
      </x:c>
      <x:c r="E80" s="17">
        <x:v>941.5</x:v>
      </x:c>
      <x:c r="F80">
        <x:v>0.35</x:v>
      </x:c>
      <x:c r="G80" s="22" t="n">
        <x:f>E80/SUM(tIBRD[Capital invested])*100</x:f>
        <x:v>0.3415899041770477</x:v>
      </x:c>
    </x:row>
    <x:row r="81">
      <x:c r="A81" t="s">
        <x:v>93</x:v>
      </x:c>
      <x:c r="B81" t="s">
        <x:v>13</x:v>
      </x:c>
      <x:c r="C81" t="str">
        <x:f t="shared" si="1"/>
        <x:v>08-18-2026</x:v>
      </x:c>
      <x:c r="D81" t="s">
        <x:v>13</x:v>
      </x:c>
      <x:c r="E81" s="17">
        <x:v>738.6</x:v>
      </x:c>
      <x:c r="F81">
        <x:v>0.28000000000000003</x:v>
      </x:c>
      <x:c r="G81" s="22" t="n">
        <x:f>E81/SUM(tIBRD[Capital invested])*100</x:f>
        <x:v>0.26797483082864304</x:v>
      </x:c>
    </x:row>
    <x:row r="82">
      <x:c r="A82" t="s">
        <x:v>94</x:v>
      </x:c>
      <x:c r="B82" t="s">
        <x:v>13</x:v>
      </x:c>
      <x:c r="C82" t="str">
        <x:f t="shared" si="1"/>
        <x:v>08-18-2026</x:v>
      </x:c>
      <x:c r="D82" t="s">
        <x:v>13</x:v>
      </x:c>
      <x:c r="E82" s="17">
        <x:v>7614.4</x:v>
      </x:c>
      <x:c r="F82">
        <x:v>2.64</x:v>
      </x:c>
      <x:c r="G82" s="22" t="n">
        <x:f>E82/SUM(tIBRD[Capital invested])*100</x:f>
        <x:v>2.7626151528047918</x:v>
      </x:c>
    </x:row>
    <x:row r="83">
      <x:c r="A83" t="s">
        <x:v>95</x:v>
      </x:c>
      <x:c r="B83" t="s">
        <x:v>13</x:v>
      </x:c>
      <x:c r="C83" t="str">
        <x:f t="shared" si="1"/>
        <x:v>08-18-2026</x:v>
      </x:c>
      <x:c r="D83" t="s">
        <x:v>13</x:v>
      </x:c>
      <x:c r="E83" s="17">
        <x:v>374.1</x:v>
      </x:c>
      <x:c r="F83">
        <x:v>0.16</x:v>
      </x:c>
      <x:c r="G83" s="22" t="n">
        <x:f>E83/SUM(tIBRD[Capital invested])*100</x:f>
        <x:v>0.13572892528160757</x:v>
      </x:c>
    </x:row>
    <x:row r="84">
      <x:c r="A84" t="s">
        <x:v>96</x:v>
      </x:c>
      <x:c r="B84" t="s">
        <x:v>13</x:v>
      </x:c>
      <x:c r="C84" t="str">
        <x:f t="shared" si="1"/>
        <x:v>08-18-2026</x:v>
      </x:c>
      <x:c r="D84" t="s">
        <x:v>13</x:v>
      </x:c>
      <x:c r="E84" s="17">
        <x:v>19988.5</x:v>
      </x:c>
      <x:c r="F84">
        <x:v>6.88</x:v>
      </x:c>
      <x:c r="G84" s="22" t="n">
        <x:f>E84/SUM(tIBRD[Capital invested])*100</x:f>
        <x:v>7.252118746301559</x:v>
      </x:c>
    </x:row>
    <x:row r="85">
      <x:c r="A85" t="s">
        <x:v>97</x:v>
      </x:c>
      <x:c r="B85" t="s">
        <x:v>13</x:v>
      </x:c>
      <x:c r="C85" t="str">
        <x:f t="shared" si="1"/>
        <x:v>08-18-2026</x:v>
      </x:c>
      <x:c r="D85" t="s">
        <x:v>13</x:v>
      </x:c>
      <x:c r="E85" s="17">
        <x:v>233.7</x:v>
      </x:c>
      <x:c r="F85">
        <x:v>0.11</x:v>
      </x:c>
      <x:c r="G85" s="22" t="n">
        <x:f>E85/SUM(tIBRD[Capital invested])*100</x:f>
        <x:v>0.08478976166349021</x:v>
      </x:c>
    </x:row>
    <x:row r="86">
      <x:c r="A86" t="s">
        <x:v>98</x:v>
      </x:c>
      <x:c r="B86" t="s">
        <x:v>13</x:v>
      </x:c>
      <x:c r="C86" t="str">
        <x:f t="shared" si="1"/>
        <x:v>08-18-2026</x:v>
      </x:c>
      <x:c r="D86" t="s">
        <x:v>13</x:v>
      </x:c>
      <x:c r="E86" s="17">
        <x:v>457.3</x:v>
      </x:c>
      <x:c r="F86">
        <x:v>0.19</x:v>
      </x:c>
      <x:c r="G86" s="22" t="n">
        <x:f>E86/SUM(tIBRD[Capital invested])*100</x:f>
        <x:v>0.165915096314566</x:v>
      </x:c>
    </x:row>
    <x:row r="87">
      <x:c r="A87" t="s">
        <x:v>99</x:v>
      </x:c>
      <x:c r="B87" t="s">
        <x:v>13</x:v>
      </x:c>
      <x:c r="C87" t="str">
        <x:f t="shared" si="1"/>
        <x:v>08-18-2026</x:v>
      </x:c>
      <x:c r="D87" t="s">
        <x:v>13</x:v>
      </x:c>
      <x:c r="E87" s="17">
        <x:v>418.7</x:v>
      </x:c>
      <x:c r="F87">
        <x:v>0.17</x:v>
      </x:c>
      <x:c r="G87" s="22" t="n">
        <x:f>E87/SUM(tIBRD[Capital invested])*100</x:f>
        <x:v>0.1519104544651406</x:v>
      </x:c>
    </x:row>
    <x:row r="88">
      <x:c r="A88" t="s">
        <x:v>100</x:v>
      </x:c>
      <x:c r="B88" t="s">
        <x:v>13</x:v>
      </x:c>
      <x:c r="C88" t="str">
        <x:f t="shared" si="1"/>
        <x:v>08-18-2026</x:v>
      </x:c>
      <x:c r="D88" t="s">
        <x:v>13</x:v>
      </x:c>
      <x:c r="E88" s="17">
        <x:v>82.9</x:v>
      </x:c>
      <x:c r="F88">
        <x:v>0.06</x:v>
      </x:c>
      <x:c r="G88" s="22" t="n">
        <x:f>E88/SUM(tIBRD[Capital invested])*100</x:f>
        <x:v>0.03007732666625306</x:v>
      </x:c>
    </x:row>
    <x:row r="89">
      <x:c r="A89" t="s">
        <x:v>101</x:v>
      </x:c>
      <x:c r="B89" t="s">
        <x:v>13</x:v>
      </x:c>
      <x:c r="C89" t="str">
        <x:f t="shared" si="1"/>
        <x:v>08-18-2026</x:v>
      </x:c>
      <x:c r="D89" t="s">
        <x:v>13</x:v>
      </x:c>
      <x:c r="E89" s="17">
        <x:v>4528.5</x:v>
      </x:c>
      <x:c r="F89">
        <x:v>1.58</x:v>
      </x:c>
      <x:c r="G89" s="22" t="n">
        <x:f>E89/SUM(tIBRD[Capital invested])*100</x:f>
        <x:v>1.6430057154176958</x:v>
      </x:c>
    </x:row>
    <x:row r="90">
      <x:c r="A90" t="s">
        <x:v>102</x:v>
      </x:c>
      <x:c r="B90" t="s">
        <x:v>13</x:v>
      </x:c>
      <x:c r="C90" t="str">
        <x:f t="shared" si="1"/>
        <x:v>08-18-2026</x:v>
      </x:c>
      <x:c r="D90" t="s">
        <x:v>13</x:v>
      </x:c>
      <x:c r="E90" s="17">
        <x:v>153.80000000000001</x:v>
      </x:c>
      <x:c r="F90">
        <x:v>0.08</x:v>
      </x:c>
      <x:c r="G90" s="22" t="n">
        <x:f>E90/SUM(tIBRD[Capital invested])*100</x:f>
        <x:v>0.05580087866429096</x:v>
      </x:c>
    </x:row>
    <x:row r="91">
      <x:c r="A91" t="s">
        <x:v>103</x:v>
      </x:c>
      <x:c r="B91" t="s">
        <x:v>13</x:v>
      </x:c>
      <x:c r="C91" t="str">
        <x:f t="shared" si="1"/>
        <x:v>08-18-2026</x:v>
      </x:c>
      <x:c r="D91" t="s">
        <x:v>13</x:v>
      </x:c>
      <x:c r="E91" s="17">
        <x:v>2245.8000000000002</x:v>
      </x:c>
      <x:c r="F91">
        <x:v>0.8</x:v>
      </x:c>
      <x:c r="G91" s="22" t="n">
        <x:f>E91/SUM(tIBRD[Capital invested])*100</x:f>
        <x:v>0.8148089291564671</x:v>
      </x:c>
    </x:row>
    <x:row r="92">
      <x:c r="A92" t="s">
        <x:v>104</x:v>
      </x:c>
      <x:c r="B92" t="s">
        <x:v>13</x:v>
      </x:c>
      <x:c r="C92" t="str">
        <x:f t="shared" si="1"/>
        <x:v>08-18-2026</x:v>
      </x:c>
      <x:c r="D92" t="s">
        <x:v>13</x:v>
      </x:c>
      <x:c r="E92" s="17">
        <x:v>135.1</x:v>
      </x:c>
      <x:c r="F92">
        <x:v>0.08</x:v>
      </x:c>
      <x:c r="G92" s="22" t="n">
        <x:f>E92/SUM(tIBRD[Capital invested])*100</x:f>
        <x:v>0.049016246472988995</x:v>
      </x:c>
    </x:row>
    <x:row r="93">
      <x:c r="A93" t="s">
        <x:v>105</x:v>
      </x:c>
      <x:c r="B93" t="s">
        <x:v>13</x:v>
      </x:c>
      <x:c r="C93" t="str">
        <x:f t="shared" si="1"/>
        <x:v>08-18-2026</x:v>
      </x:c>
      <x:c r="D93" t="s">
        <x:v>13</x:v>
      </x:c>
      <x:c r="E93" s="17">
        <x:v>35.5</x:v>
      </x:c>
      <x:c r="F93">
        <x:v>0.04</x:v>
      </x:c>
      <x:c r="G93" s="22" t="n">
        <x:f>E93/SUM(tIBRD[Capital invested])*100</x:f>
        <x:v>0.012879916726803178</x:v>
      </x:c>
    </x:row>
    <x:row r="94">
      <x:c r="A94" t="s">
        <x:v>106</x:v>
      </x:c>
      <x:c r="B94" t="s">
        <x:v>13</x:v>
      </x:c>
      <x:c r="C94" t="str">
        <x:f t="shared" si="1"/>
        <x:v>08-18-2026</x:v>
      </x:c>
      <x:c r="D94" t="s">
        <x:v>13</x:v>
      </x:c>
      <x:c r="E94" s="17">
        <x:v>202.7</x:v>
      </x:c>
      <x:c r="F94">
        <x:v>0.1</x:v>
      </x:c>
      <x:c r="G94" s="22" t="n">
        <x:f>E94/SUM(tIBRD[Capital invested])*100</x:f>
        <x:v>0.07354251043726773</x:v>
      </x:c>
    </x:row>
    <x:row r="95">
      <x:c r="A95" t="s">
        <x:v>107</x:v>
      </x:c>
      <x:c r="B95" t="s">
        <x:v>13</x:v>
      </x:c>
      <x:c r="C95" t="str">
        <x:f t="shared" si="1"/>
        <x:v>08-18-2026</x:v>
      </x:c>
      <x:c r="D95" t="s">
        <x:v>13</x:v>
      </x:c>
      <x:c r="E95" s="17">
        <x:v>106.2</x:v>
      </x:c>
      <x:c r="F95">
        <x:v>7.0000000000000007E-2</x:v>
      </x:c>
      <x:c r="G95" s="22" t="n">
        <x:f>E95/SUM(tIBRD[Capital invested])*100</x:f>
        <x:v>0.03853090581370416</x:v>
      </x:c>
    </x:row>
    <x:row r="96">
      <x:c r="A96" t="s">
        <x:v>108</x:v>
      </x:c>
      <x:c r="B96" t="s">
        <x:v>13</x:v>
      </x:c>
      <x:c r="C96" t="str">
        <x:f t="shared" si="1"/>
        <x:v>08-18-2026</x:v>
      </x:c>
      <x:c r="D96" t="s">
        <x:v>13</x:v>
      </x:c>
      <x:c r="E96" s="17">
        <x:v>115.4</x:v>
      </x:c>
      <x:c r="F96">
        <x:v>7.0000000000000007E-2</x:v>
      </x:c>
      <x:c r="G96" s="22" t="n">
        <x:f>E96/SUM(tIBRD[Capital invested])*100</x:f>
        <x:v>0.041868799726002444</x:v>
      </x:c>
    </x:row>
    <x:row r="97">
      <x:c r="A97" t="s">
        <x:v>109</x:v>
      </x:c>
      <x:c r="B97" t="s">
        <x:v>13</x:v>
      </x:c>
      <x:c r="C97" t="str">
        <x:f t="shared" si="1"/>
        <x:v>08-18-2026</x:v>
      </x:c>
      <x:c r="D97" t="s">
        <x:v>13</x:v>
      </x:c>
      <x:c r="E97" s="17">
        <x:v>74</x:v>
      </x:c>
      <x:c r="F97">
        <x:v>0.05</x:v>
      </x:c>
      <x:c r="G97" s="22" t="n">
        <x:f>E97/SUM(tIBRD[Capital invested])*100</x:f>
        <x:v>0.026848277120660145</x:v>
      </x:c>
    </x:row>
    <x:row r="98">
      <x:c r="A98" t="s">
        <x:v>110</x:v>
      </x:c>
      <x:c r="B98" t="s">
        <x:v>13</x:v>
      </x:c>
      <x:c r="C98" t="str">
        <x:f t="shared" si="1"/>
        <x:v>08-18-2026</x:v>
      </x:c>
      <x:c r="D98" t="s">
        <x:v>13</x:v>
      </x:c>
      <x:c r="E98" s="17">
        <x:v>1146.2</x:v>
      </x:c>
      <x:c r="F98">
        <x:v>0.42</x:v>
      </x:c>
      <x:c r="G98" s="22" t="n">
        <x:f>E98/SUM(tIBRD[Capital invested])*100</x:f>
        <x:v>0.41585804372568463</x:v>
      </x:c>
    </x:row>
    <x:row r="99">
      <x:c r="A99" t="s">
        <x:v>111</x:v>
      </x:c>
      <x:c r="B99" t="s">
        <x:v>13</x:v>
      </x:c>
      <x:c r="C99" t="str">
        <x:f t="shared" si="1"/>
        <x:v>08-18-2026</x:v>
      </x:c>
      <x:c r="D99" t="s">
        <x:v>13</x:v>
      </x:c>
      <x:c r="E99" s="17">
        <x:v>225.8</x:v>
      </x:c>
      <x:c r="F99">
        <x:v>0.11</x:v>
      </x:c>
      <x:c r="G99" s="22" t="n">
        <x:f>E99/SUM(tIBRD[Capital invested])*100</x:f>
        <x:v>0.08192352667358191</x:v>
      </x:c>
    </x:row>
    <x:row r="100">
      <x:c r="A100" t="s">
        <x:v>112</x:v>
      </x:c>
      <x:c r="B100" t="s">
        <x:v>13</x:v>
      </x:c>
      <x:c r="C100" t="str">
        <x:f t="shared" si="1"/>
        <x:v>08-18-2026</x:v>
      </x:c>
      <x:c r="D100" t="s">
        <x:v>13</x:v>
      </x:c>
      <x:c r="E100" s="17">
        <x:v>280.60000000000002</x:v>
      </x:c>
      <x:c r="F100">
        <x:v>0.13</x:v>
      </x:c>
      <x:c r="G100" s="22" t="n">
        <x:f>E100/SUM(tIBRD[Capital invested])*100</x:f>
        <x:v>0.1018057643250978</x:v>
      </x:c>
    </x:row>
    <x:row r="101">
      <x:c r="A101" t="s">
        <x:v>113</x:v>
      </x:c>
      <x:c r="B101" t="s">
        <x:v>13</x:v>
      </x:c>
      <x:c r="C101" t="str">
        <x:f t="shared" si="1"/>
        <x:v>08-18-2026</x:v>
      </x:c>
      <x:c r="D101" t="s">
        <x:v>13</x:v>
      </x:c>
      <x:c r="E101" s="17">
        <x:v>250.6</x:v>
      </x:c>
      <x:c r="F101">
        <x:v>0.12</x:v>
      </x:c>
      <x:c r="G101" s="22" t="n">
        <x:f>E101/SUM(tIBRD[Capital invested])*100</x:f>
        <x:v>0.0909213276545599</x:v>
      </x:c>
    </x:row>
    <x:row r="102">
      <x:c r="A102" t="s">
        <x:v>114</x:v>
      </x:c>
      <x:c r="B102" t="s">
        <x:v>13</x:v>
      </x:c>
      <x:c r="C102" t="str">
        <x:f t="shared" si="1"/>
        <x:v>08-18-2026</x:v>
      </x:c>
      <x:c r="D102" t="s">
        <x:v>13</x:v>
      </x:c>
      <x:c r="E102" s="17">
        <x:v>172.2</x:v>
      </x:c>
      <x:c r="F102">
        <x:v>0.09</x:v>
      </x:c>
      <x:c r="G102" s="22" t="n">
        <x:f>E102/SUM(tIBRD[Capital invested])*100</x:f>
        <x:v>0.06247666648888752</x:v>
      </x:c>
    </x:row>
    <x:row r="103">
      <x:c r="A103" t="s">
        <x:v>115</x:v>
      </x:c>
      <x:c r="B103" t="s">
        <x:v>13</x:v>
      </x:c>
      <x:c r="C103" t="str">
        <x:f t="shared" si="1"/>
        <x:v>08-18-2026</x:v>
      </x:c>
      <x:c r="D103" t="s">
        <x:v>13</x:v>
      </x:c>
      <x:c r="E103" s="17">
        <x:v>1044.7</x:v>
      </x:c>
      <x:c r="F103">
        <x:v>0.39</x:v>
      </x:c>
      <x:c r="G103" s="22" t="n">
        <x:f>E103/SUM(tIBRD[Capital invested])*100</x:f>
        <x:v>0.379032366323698</x:v>
      </x:c>
    </x:row>
    <x:row r="104">
      <x:c r="A104" t="s">
        <x:v>116</x:v>
      </x:c>
      <x:c r="B104" t="s">
        <x:v>13</x:v>
      </x:c>
      <x:c r="C104" t="str">
        <x:f t="shared" si="1"/>
        <x:v>08-18-2026</x:v>
      </x:c>
      <x:c r="D104" t="s">
        <x:v>13</x:v>
      </x:c>
      <x:c r="E104" s="17">
        <x:v>52.5</x:v>
      </x:c>
      <x:c r="F104">
        <x:v>0.05</x:v>
      </x:c>
      <x:c r="G104" s="22" t="n">
        <x:f>E104/SUM(tIBRD[Capital invested])*100</x:f>
        <x:v>0.019047764173441322</x:v>
      </x:c>
    </x:row>
    <x:row r="105">
      <x:c r="A105" t="s">
        <x:v>117</x:v>
      </x:c>
      <x:c r="B105" t="s">
        <x:v>13</x:v>
      </x:c>
      <x:c r="C105" t="str">
        <x:f t="shared" si="1"/>
        <x:v>08-18-2026</x:v>
      </x:c>
      <x:c r="D105" t="s">
        <x:v>13</x:v>
      </x:c>
      <x:c r="E105" s="17">
        <x:v>203.5</x:v>
      </x:c>
      <x:c r="F105">
        <x:v>0.1</x:v>
      </x:c>
      <x:c r="G105" s="22" t="n">
        <x:f>E105/SUM(tIBRD[Capital invested])*100</x:f>
        <x:v>0.0738327620818154</x:v>
      </x:c>
    </x:row>
    <x:row r="106">
      <x:c r="A106" t="s">
        <x:v>118</x:v>
      </x:c>
      <x:c r="B106" t="s">
        <x:v>13</x:v>
      </x:c>
      <x:c r="C106" t="str">
        <x:f t="shared" si="1"/>
        <x:v>08-18-2026</x:v>
      </x:c>
      <x:c r="D106" t="s">
        <x:v>13</x:v>
      </x:c>
      <x:c r="E106" s="17">
        <x:v>153.30000000000001</x:v>
      </x:c>
      <x:c r="F106">
        <x:v>0.08</x:v>
      </x:c>
      <x:c r="G106" s="22" t="n">
        <x:f>E106/SUM(tIBRD[Capital invested])*100</x:f>
        <x:v>0.05561947138644866</x:v>
      </x:c>
    </x:row>
    <x:row r="107">
      <x:c r="A107" t="s">
        <x:v>119</x:v>
      </x:c>
      <x:c r="B107" t="s">
        <x:v>13</x:v>
      </x:c>
      <x:c r="C107" t="str">
        <x:f t="shared" si="1"/>
        <x:v>08-18-2026</x:v>
      </x:c>
      <x:c r="D107" t="s">
        <x:v>13</x:v>
      </x:c>
      <x:c r="E107" s="17">
        <x:v>46.9</x:v>
      </x:c>
      <x:c r="F107">
        <x:v>0.05</x:v>
      </x:c>
      <x:c r="G107" s="22" t="n">
        <x:f>E107/SUM(tIBRD[Capital invested])*100</x:f>
        <x:v>0.017016002661607577</x:v>
      </x:c>
    </x:row>
    <x:row r="108">
      <x:c r="A108" t="s">
        <x:v>120</x:v>
      </x:c>
      <x:c r="B108" t="s">
        <x:v>13</x:v>
      </x:c>
      <x:c r="C108" t="str">
        <x:f t="shared" si="1"/>
        <x:v>08-18-2026</x:v>
      </x:c>
      <x:c r="D108" t="s">
        <x:v>13</x:v>
      </x:c>
      <x:c r="E108" s="17">
        <x:v>159.30000000000001</x:v>
      </x:c>
      <x:c r="F108">
        <x:v>0.08</x:v>
      </x:c>
      <x:c r="G108" s="22" t="n">
        <x:f>E108/SUM(tIBRD[Capital invested])*100</x:f>
        <x:v>0.05779635872055624</x:v>
      </x:c>
    </x:row>
    <x:row r="109">
      <x:c r="A109" t="s">
        <x:v>121</x:v>
      </x:c>
      <x:c r="B109" t="s">
        <x:v>13</x:v>
      </x:c>
      <x:c r="C109" t="str">
        <x:f t="shared" si="1"/>
        <x:v>08-18-2026</x:v>
      </x:c>
      <x:c r="D109" t="s">
        <x:v>13</x:v>
      </x:c>
      <x:c r="E109" s="17">
        <x:v>178</x:v>
      </x:c>
      <x:c r="F109">
        <x:v>0.09</x:v>
      </x:c>
      <x:c r="G109" s="22" t="n">
        <x:f>E109/SUM(tIBRD[Capital invested])*100</x:f>
        <x:v>0.06458099091185819</x:v>
      </x:c>
    </x:row>
    <x:row r="110">
      <x:c r="A110" t="s">
        <x:v>122</x:v>
      </x:c>
      <x:c r="B110" t="s">
        <x:v>13</x:v>
      </x:c>
      <x:c r="C110" t="str">
        <x:f t="shared" si="1"/>
        <x:v>08-18-2026</x:v>
      </x:c>
      <x:c r="D110" t="s">
        <x:v>13</x:v>
      </x:c>
      <x:c r="E110" s="17">
        <x:v>4772</x:v>
      </x:c>
      <x:c r="F110">
        <x:v>1.66</x:v>
      </x:c>
      <x:c r="G110" s="22" t="n">
        <x:f>E110/SUM(tIBRD[Capital invested])*100</x:f>
        <x:v>1.7313510597268946</x:v>
      </x:c>
    </x:row>
    <x:row r="111">
      <x:c r="A111" t="s">
        <x:v>123</x:v>
      </x:c>
      <x:c r="B111" t="s">
        <x:v>13</x:v>
      </x:c>
      <x:c r="C111" t="str">
        <x:f t="shared" si="1"/>
        <x:v>08-18-2026</x:v>
      </x:c>
      <x:c r="D111" t="s">
        <x:v>13</x:v>
      </x:c>
      <x:c r="E111" s="17">
        <x:v>47.9</x:v>
      </x:c>
      <x:c r="F111">
        <x:v>0.05</x:v>
      </x:c>
      <x:c r="G111" s="22" t="n">
        <x:f>E111/SUM(tIBRD[Capital invested])*100</x:f>
        <x:v>0.017378817217292175</x:v>
      </x:c>
    </x:row>
    <x:row r="112">
      <x:c r="A112" t="s">
        <x:v>124</x:v>
      </x:c>
      <x:c r="B112" t="s">
        <x:v>13</x:v>
      </x:c>
      <x:c r="C112" t="str">
        <x:f t="shared" si="1"/>
        <x:v>08-18-2026</x:v>
      </x:c>
      <x:c r="D112" t="s">
        <x:v>13</x:v>
      </x:c>
      <x:c r="E112" s="17">
        <x:v>241.9</x:v>
      </x:c>
      <x:c r="F112">
        <x:v>0.11</x:v>
      </x:c>
      <x:c r="G112" s="22" t="n">
        <x:f>E112/SUM(tIBRD[Capital invested])*100</x:f>
        <x:v>0.08776484102010391</x:v>
      </x:c>
    </x:row>
    <x:row r="113">
      <x:c r="A113" t="s">
        <x:v>125</x:v>
      </x:c>
      <x:c r="B113" t="s">
        <x:v>13</x:v>
      </x:c>
      <x:c r="C113" t="str">
        <x:f t="shared" si="1"/>
        <x:v>08-18-2026</x:v>
      </x:c>
      <x:c r="D113" t="s">
        <x:v>13</x:v>
      </x:c>
      <x:c r="E113" s="17">
        <x:v>82.9</x:v>
      </x:c>
      <x:c r="F113">
        <x:v>0.06</x:v>
      </x:c>
      <x:c r="G113" s="22" t="n">
        <x:f>E113/SUM(tIBRD[Capital invested])*100</x:f>
        <x:v>0.03007732666625306</x:v>
      </x:c>
    </x:row>
    <x:row r="114">
      <x:c r="A114" t="s">
        <x:v>126</x:v>
      </x:c>
      <x:c r="B114" t="s">
        <x:v>13</x:v>
      </x:c>
      <x:c r="C114" t="str">
        <x:f t="shared" si="1"/>
        <x:v>08-18-2026</x:v>
      </x:c>
      <x:c r="D114" t="s">
        <x:v>13</x:v>
      </x:c>
      <x:c r="E114" s="17">
        <x:v>97.1</x:v>
      </x:c>
      <x:c r="F114">
        <x:v>0.06</x:v>
      </x:c>
      <x:c r="G114" s="22" t="n">
        <x:f>E114/SUM(tIBRD[Capital invested])*100</x:f>
        <x:v>0.03522929335697433</x:v>
      </x:c>
    </x:row>
    <x:row r="115">
      <x:c r="A115" t="s">
        <x:v>127</x:v>
      </x:c>
      <x:c r="B115" t="s">
        <x:v>13</x:v>
      </x:c>
      <x:c r="C115" t="str">
        <x:f t="shared" si="1"/>
        <x:v>08-18-2026</x:v>
      </x:c>
      <x:c r="D115" t="s">
        <x:v>13</x:v>
      </x:c>
      <x:c r="E115" s="17">
        <x:v>806.9</x:v>
      </x:c>
      <x:c r="F115">
        <x:v>0.31</x:v>
      </x:c>
      <x:c r="G115" s="22" t="n">
        <x:f>E115/SUM(tIBRD[Capital invested])*100</x:f>
        <x:v>0.29275506498190096</x:v>
      </x:c>
    </x:row>
    <x:row r="116">
      <x:c r="A116" t="s">
        <x:v>128</x:v>
      </x:c>
      <x:c r="B116" t="s">
        <x:v>13</x:v>
      </x:c>
      <x:c r="C116" t="str">
        <x:f t="shared" si="1"/>
        <x:v>08-18-2026</x:v>
      </x:c>
      <x:c r="D116" t="s">
        <x:v>13</x:v>
      </x:c>
      <x:c r="E116" s="17">
        <x:v>133.19999999999999</x:v>
      </x:c>
      <x:c r="F116">
        <x:v>0.08</x:v>
      </x:c>
      <x:c r="G116" s="22" t="n">
        <x:f>E116/SUM(tIBRD[Capital invested])*100</x:f>
        <x:v>0.04832689881718826</x:v>
      </x:c>
    </x:row>
    <x:row r="117">
      <x:c r="A117" t="s">
        <x:v>129</x:v>
      </x:c>
      <x:c r="B117" t="s">
        <x:v>13</x:v>
      </x:c>
      <x:c r="C117" t="str">
        <x:f t="shared" si="1"/>
        <x:v>08-18-2026</x:v>
      </x:c>
      <x:c r="D117" t="s">
        <x:v>13</x:v>
      </x:c>
      <x:c r="E117" s="17">
        <x:v>346.5</x:v>
      </x:c>
      <x:c r="F117">
        <x:v>0.15</x:v>
      </x:c>
      <x:c r="G117" s="22" t="n">
        <x:f>E117/SUM(tIBRD[Capital invested])*100</x:f>
        <x:v>0.1257152435447127</x:v>
      </x:c>
    </x:row>
    <x:row r="118">
      <x:c r="A118" t="s">
        <x:v>130</x:v>
      </x:c>
      <x:c r="B118" t="s">
        <x:v>13</x:v>
      </x:c>
      <x:c r="C118" t="str">
        <x:f t="shared" si="1"/>
        <x:v>08-18-2026</x:v>
      </x:c>
      <x:c r="D118" t="s">
        <x:v>13</x:v>
      </x:c>
      <x:c r="E118" s="17">
        <x:v>193</x:v>
      </x:c>
      <x:c r="F118">
        <x:v>0.1</x:v>
      </x:c>
      <x:c r="G118" s="22" t="n">
        <x:f>E118/SUM(tIBRD[Capital invested])*100</x:f>
        <x:v>0.07002320924712714</x:v>
      </x:c>
    </x:row>
    <x:row r="119">
      <x:c r="A119" t="s">
        <x:v>131</x:v>
      </x:c>
      <x:c r="B119" t="s">
        <x:v>13</x:v>
      </x:c>
      <x:c r="C119" t="str">
        <x:f t="shared" si="1"/>
        <x:v>08-18-2026</x:v>
      </x:c>
      <x:c r="D119" t="s">
        <x:v>13</x:v>
      </x:c>
      <x:c r="E119" s="17">
        <x:v>58.6</x:v>
      </x:c>
      <x:c r="F119">
        <x:v>0.05</x:v>
      </x:c>
      <x:c r="G119" s="22" t="n">
        <x:f>E119/SUM(tIBRD[Capital invested])*100</x:f>
        <x:v>0.02126093296311736</x:v>
      </x:c>
    </x:row>
    <x:row r="120">
      <x:c r="A120" t="s">
        <x:v>132</x:v>
      </x:c>
      <x:c r="B120" t="s">
        <x:v>13</x:v>
      </x:c>
      <x:c r="C120" t="str">
        <x:f t="shared" si="1"/>
        <x:v>08-18-2026</x:v>
      </x:c>
      <x:c r="D120" t="s">
        <x:v>13</x:v>
      </x:c>
      <x:c r="E120" s="17">
        <x:v>171.4</x:v>
      </x:c>
      <x:c r="F120">
        <x:v>0.09</x:v>
      </x:c>
      <x:c r="G120" s="22" t="n">
        <x:f>E120/SUM(tIBRD[Capital invested])*100</x:f>
        <x:v>0.06218641484433985</x:v>
      </x:c>
    </x:row>
    <x:row r="121">
      <x:c r="A121" t="s">
        <x:v>133</x:v>
      </x:c>
      <x:c r="B121" t="s">
        <x:v>13</x:v>
      </x:c>
      <x:c r="C121" t="str">
        <x:f t="shared" si="1"/>
        <x:v>08-18-2026</x:v>
      </x:c>
      <x:c r="D121" t="s">
        <x:v>13</x:v>
      </x:c>
      <x:c r="E121" s="17">
        <x:v>5411.1</x:v>
      </x:c>
      <x:c r="F121">
        <x:v>1.88</x:v>
      </x:c>
      <x:c r="G121" s="22" t="n">
        <x:f>E121/SUM(tIBRD[Capital invested])*100</x:f>
        <x:v>1.9632258422649207</x:v>
      </x:c>
    </x:row>
    <x:row r="122">
      <x:c r="A122" t="s">
        <x:v>134</x:v>
      </x:c>
      <x:c r="B122" t="s">
        <x:v>13</x:v>
      </x:c>
      <x:c r="C122" t="str">
        <x:f t="shared" si="1"/>
        <x:v>08-18-2026</x:v>
      </x:c>
      <x:c r="D122" t="s">
        <x:v>13</x:v>
      </x:c>
      <x:c r="E122" s="17">
        <x:v>1126.0999999999999</x:v>
      </x:c>
      <x:c r="F122">
        <x:v>0.42</x:v>
      </x:c>
      <x:c r="G122" s="22" t="n">
        <x:f>E122/SUM(tIBRD[Capital invested])*100</x:f>
        <x:v>0.40856547115642416</x:v>
      </x:c>
    </x:row>
    <x:row r="123">
      <x:c r="A123" t="s">
        <x:v>135</x:v>
      </x:c>
      <x:c r="B123" t="s">
        <x:v>13</x:v>
      </x:c>
      <x:c r="C123" t="str">
        <x:f t="shared" si="1"/>
        <x:v>08-18-2026</x:v>
      </x:c>
      <x:c r="D123" t="s">
        <x:v>13</x:v>
      </x:c>
      <x:c r="E123" s="17">
        <x:v>106.4</x:v>
      </x:c>
      <x:c r="F123">
        <x:v>7.0000000000000007E-2</x:v>
      </x:c>
      <x:c r="G123" s="22" t="n">
        <x:f>E123/SUM(tIBRD[Capital invested])*100</x:f>
        <x:v>0.03860346872484108</x:v>
      </x:c>
    </x:row>
    <x:row r="124">
      <x:c r="A124" t="s">
        <x:v>136</x:v>
      </x:c>
      <x:c r="B124" t="s">
        <x:v>13</x:v>
      </x:c>
      <x:c r="C124" t="str">
        <x:f t="shared" si="1"/>
        <x:v>08-18-2026</x:v>
      </x:c>
      <x:c r="D124" t="s">
        <x:v>13</x:v>
      </x:c>
      <x:c r="E124" s="17">
        <x:v>134.80000000000001</x:v>
      </x:c>
      <x:c r="F124">
        <x:v>0.08</x:v>
      </x:c>
      <x:c r="G124" s="22" t="n">
        <x:f>E124/SUM(tIBRD[Capital invested])*100</x:f>
        <x:v>0.048907402106283616</x:v>
      </x:c>
    </x:row>
    <x:row r="125">
      <x:c r="A125" t="s">
        <x:v>137</x:v>
      </x:c>
      <x:c r="B125" t="s">
        <x:v>13</x:v>
      </x:c>
      <x:c r="C125" t="str">
        <x:f t="shared" si="1"/>
        <x:v>08-18-2026</x:v>
      </x:c>
      <x:c r="D125" t="s">
        <x:v>13</x:v>
      </x:c>
      <x:c r="E125" s="17">
        <x:v>1941.7</x:v>
      </x:c>
      <x:c r="F125">
        <x:v>0.69</x:v>
      </x:c>
      <x:c r="G125" s="22" t="n">
        <x:f>E125/SUM(tIBRD[Capital invested])*100</x:f>
        <x:v>0.7044770227727812</x:v>
      </x:c>
    </x:row>
    <x:row r="126">
      <x:c r="A126" t="s">
        <x:v>138</x:v>
      </x:c>
      <x:c r="B126" t="s">
        <x:v>13</x:v>
      </x:c>
      <x:c r="C126" t="str">
        <x:f t="shared" si="1"/>
        <x:v>08-18-2026</x:v>
      </x:c>
      <x:c r="D126" t="s">
        <x:v>13</x:v>
      </x:c>
      <x:c r="E126" s="17">
        <x:v>64.099999999999994</x:v>
      </x:c>
      <x:c r="F126">
        <x:v>0.05</x:v>
      </x:c>
      <x:c r="G126" s="22" t="n">
        <x:f>E126/SUM(tIBRD[Capital invested])*100</x:f>
        <x:v>0.023256413019382638</x:v>
      </x:c>
    </x:row>
    <x:row r="127">
      <x:c r="A127" t="s">
        <x:v>139</x:v>
      </x:c>
      <x:c r="B127" t="s">
        <x:v>13</x:v>
      </x:c>
      <x:c r="C127" t="str">
        <x:f t="shared" si="1"/>
        <x:v>08-18-2026</x:v>
      </x:c>
      <x:c r="D127" t="s">
        <x:v>13</x:v>
      </x:c>
      <x:c r="E127" s="17">
        <x:v>1674.6</x:v>
      </x:c>
      <x:c r="F127">
        <x:v>0.6</x:v>
      </x:c>
      <x:c r="G127" s="22" t="n">
        <x:f>E127/SUM(tIBRD[Capital invested])*100</x:f>
        <x:v>0.6075692549494254</x:v>
      </x:c>
    </x:row>
    <x:row r="128">
      <x:c r="A128" t="s">
        <x:v>140</x:v>
      </x:c>
      <x:c r="B128" t="s">
        <x:v>13</x:v>
      </x:c>
      <x:c r="C128" t="str">
        <x:f t="shared" si="1"/>
        <x:v>08-18-2026</x:v>
      </x:c>
      <x:c r="D128" t="s">
        <x:v>13</x:v>
      </x:c>
      <x:c r="E128" s="17">
        <x:v>246.1</x:v>
      </x:c>
      <x:c r="F128">
        <x:v>0.11</x:v>
      </x:c>
      <x:c r="G128" s="22" t="n">
        <x:f>E128/SUM(tIBRD[Capital invested])*100</x:f>
        <x:v>0.08928866215397921</x:v>
      </x:c>
    </x:row>
    <x:row r="129">
      <x:c r="A129" t="s">
        <x:v>141</x:v>
      </x:c>
      <x:c r="B129" t="s">
        <x:v>13</x:v>
      </x:c>
      <x:c r="C129" t="str">
        <x:f t="shared" si="1"/>
        <x:v>08-18-2026</x:v>
      </x:c>
      <x:c r="D129" t="s">
        <x:v>13</x:v>
      </x:c>
      <x:c r="E129" s="17">
        <x:v>1414.8</x:v>
      </x:c>
      <x:c r="F129">
        <x:v>0.51</x:v>
      </x:c>
      <x:c r="G129" s="22" t="n">
        <x:f>E129/SUM(tIBRD[Capital invested])*100</x:f>
        <x:v>0.5133100333825672</x:v>
      </x:c>
    </x:row>
    <x:row r="130">
      <x:c r="A130" t="s">
        <x:v>142</x:v>
      </x:c>
      <x:c r="B130" t="s">
        <x:v>13</x:v>
      </x:c>
      <x:c r="C130" t="str">
        <x:f t="shared" si="1"/>
        <x:v>08-18-2026</x:v>
      </x:c>
      <x:c r="D130" t="s">
        <x:v>13</x:v>
      </x:c>
      <x:c r="E130" s="17">
        <x:v>1.6</x:v>
      </x:c>
      <x:c r="F130">
        <x:v>0.03</x:v>
      </x:c>
      <x:c r="G130" s="22" t="n">
        <x:f>E130/SUM(tIBRD[Capital invested])*100</x:f>
        <x:v>0.0005805032890953545</x:v>
      </x:c>
    </x:row>
    <x:row r="131">
      <x:c r="A131" t="s">
        <x:v>143</x:v>
      </x:c>
      <x:c r="B131" t="s">
        <x:v>13</x:v>
      </x:c>
      <x:c r="C131" t="str">
        <x:f t="shared" si="1"/>
        <x:v>08-18-2026</x:v>
      </x:c>
      <x:c r="D131" t="s">
        <x:v>13</x:v>
      </x:c>
      <x:c r="E131" s="17">
        <x:v>113.8</x:v>
      </x:c>
      <x:c r="F131">
        <x:v>7.0000000000000007E-2</x:v>
      </x:c>
      <x:c r="G131" s="22" t="n">
        <x:f>E131/SUM(tIBRD[Capital invested])*100</x:f>
        <x:v>0.04128829643690709</x:v>
      </x:c>
    </x:row>
    <x:row r="132">
      <x:c r="A132" t="s">
        <x:v>144</x:v>
      </x:c>
      <x:c r="B132" t="s">
        <x:v>13</x:v>
      </x:c>
      <x:c r="C132" t="str">
        <x:f t="shared" ref="C132:C190" si="2">$C131</x:f>
        <x:v>08-18-2026</x:v>
      </x:c>
      <x:c r="D132" t="s">
        <x:v>13</x:v>
      </x:c>
      <x:c r="E132" s="17">
        <x:v>227.3</x:v>
      </x:c>
      <x:c r="F132">
        <x:v>0.11</x:v>
      </x:c>
      <x:c r="G132" s="22" t="n">
        <x:f>E132/SUM(tIBRD[Capital invested])*100</x:f>
        <x:v>0.0824677485071088</x:v>
      </x:c>
    </x:row>
    <x:row r="133">
      <x:c r="A133" t="s">
        <x:v>145</x:v>
      </x:c>
      <x:c r="B133" t="s">
        <x:v>13</x:v>
      </x:c>
      <x:c r="C133" t="str">
        <x:f t="shared" si="2"/>
        <x:v>08-18-2026</x:v>
      </x:c>
      <x:c r="D133" t="s">
        <x:v>13</x:v>
      </x:c>
      <x:c r="E133" s="17">
        <x:v>203.7</x:v>
      </x:c>
      <x:c r="F133">
        <x:v>0.1</x:v>
      </x:c>
      <x:c r="G133" s="22" t="n">
        <x:f>E133/SUM(tIBRD[Capital invested])*100</x:f>
        <x:v>0.07390532499295233</x:v>
      </x:c>
    </x:row>
    <x:row r="134">
      <x:c r="A134" t="s">
        <x:v>146</x:v>
      </x:c>
      <x:c r="B134" t="s">
        <x:v>13</x:v>
      </x:c>
      <x:c r="C134" t="str">
        <x:f t="shared" si="2"/>
        <x:v>08-18-2026</x:v>
      </x:c>
      <x:c r="D134" t="s">
        <x:v>13</x:v>
      </x:c>
      <x:c r="E134" s="17">
        <x:v>909.2</x:v>
      </x:c>
      <x:c r="F134">
        <x:v>0.34</x:v>
      </x:c>
      <x:c r="G134" s="22" t="n">
        <x:f>E134/SUM(tIBRD[Capital invested])*100</x:f>
        <x:v>0.3298709940284352</x:v>
      </x:c>
    </x:row>
    <x:row r="135">
      <x:c r="A135" t="s">
        <x:v>147</x:v>
      </x:c>
      <x:c r="B135" t="s">
        <x:v>13</x:v>
      </x:c>
      <x:c r="C135" t="str">
        <x:f t="shared" si="2"/>
        <x:v>08-18-2026</x:v>
      </x:c>
      <x:c r="D135" t="s">
        <x:v>13</x:v>
      </x:c>
      <x:c r="E135" s="17">
        <x:v>1188.7</x:v>
      </x:c>
      <x:c r="F135">
        <x:v>0.44</x:v>
      </x:c>
      <x:c r="G135" s="22" t="n">
        <x:f>E135/SUM(tIBRD[Capital invested])*100</x:f>
        <x:v>0.43127766234227993</x:v>
      </x:c>
    </x:row>
    <x:row r="136">
      <x:c r="A136" t="s">
        <x:v>148</x:v>
      </x:c>
      <x:c r="B136" t="s">
        <x:v>13</x:v>
      </x:c>
      <x:c r="C136" t="str">
        <x:f t="shared" si="2"/>
        <x:v>08-18-2026</x:v>
      </x:c>
      <x:c r="D136" t="s">
        <x:v>13</x:v>
      </x:c>
      <x:c r="E136" s="17">
        <x:v>2047.4</x:v>
      </x:c>
      <x:c r="F136">
        <x:v>0.73</x:v>
      </x:c>
      <x:c r="G136" s="22" t="n">
        <x:f>E136/SUM(tIBRD[Capital invested])*100</x:f>
        <x:v>0.742826521308643</x:v>
      </x:c>
    </x:row>
    <x:row r="137">
      <x:c r="A137" t="s">
        <x:v>149</x:v>
      </x:c>
      <x:c r="B137" t="s">
        <x:v>13</x:v>
      </x:c>
      <x:c r="C137" t="str">
        <x:f t="shared" si="2"/>
        <x:v>08-18-2026</x:v>
      </x:c>
      <x:c r="D137" t="s">
        <x:v>13</x:v>
      </x:c>
      <x:c r="E137" s="17">
        <x:v>893.7</x:v>
      </x:c>
      <x:c r="F137">
        <x:v>0.34</x:v>
      </x:c>
      <x:c r="G137" s="22" t="n">
        <x:f>E137/SUM(tIBRD[Capital invested])*100</x:f>
        <x:v>0.324247368415324</x:v>
      </x:c>
    </x:row>
    <x:row r="138">
      <x:c r="A138" t="s">
        <x:v>150</x:v>
      </x:c>
      <x:c r="B138" t="s">
        <x:v>13</x:v>
      </x:c>
      <x:c r="C138" t="str">
        <x:f t="shared" si="2"/>
        <x:v>08-18-2026</x:v>
      </x:c>
      <x:c r="D138" t="s">
        <x:v>13</x:v>
      </x:c>
      <x:c r="E138" s="17">
        <x:v>278.10000000000002</x:v>
      </x:c>
      <x:c r="F138">
        <x:v>0.12</x:v>
      </x:c>
      <x:c r="G138" s="22" t="n">
        <x:f>E138/SUM(tIBRD[Capital invested])*100</x:f>
        <x:v>0.1008987279358863</x:v>
      </x:c>
    </x:row>
    <x:row r="139">
      <x:c r="A139" t="s">
        <x:v>151</x:v>
      </x:c>
      <x:c r="B139" t="s">
        <x:v>13</x:v>
      </x:c>
      <x:c r="C139" t="str">
        <x:f t="shared" si="2"/>
        <x:v>08-18-2026</x:v>
      </x:c>
      <x:c r="D139" t="s">
        <x:v>13</x:v>
      </x:c>
      <x:c r="E139" s="17">
        <x:v>821</x:v>
      </x:c>
      <x:c r="F139">
        <x:v>0.31</x:v>
      </x:c>
      <x:c r="G139" s="22" t="n">
        <x:f>E139/SUM(tIBRD[Capital invested])*100</x:f>
        <x:v>0.2978707502170538</x:v>
      </x:c>
    </x:row>
    <x:row r="140">
      <x:c r="A140" t="s">
        <x:v>152</x:v>
      </x:c>
      <x:c r="B140" t="s">
        <x:v>13</x:v>
      </x:c>
      <x:c r="C140" t="str">
        <x:f t="shared" si="2"/>
        <x:v>08-18-2026</x:v>
      </x:c>
      <x:c r="D140" t="s">
        <x:v>13</x:v>
      </x:c>
      <x:c r="E140" s="17">
        <x:v>7912.1</x:v>
      </x:c>
      <x:c r="F140">
        <x:v>2.74</x:v>
      </x:c>
      <x:c r="G140" s="22" t="n">
        <x:f>E140/SUM(tIBRD[Capital invested])*100</x:f>
        <x:v>2.870625046032097</x:v>
      </x:c>
    </x:row>
    <x:row r="141">
      <x:c r="A141" t="s">
        <x:v>153</x:v>
      </x:c>
      <x:c r="B141" t="s">
        <x:v>13</x:v>
      </x:c>
      <x:c r="C141" t="str">
        <x:f t="shared" si="2"/>
        <x:v>08-18-2026</x:v>
      </x:c>
      <x:c r="D141" t="s">
        <x:v>13</x:v>
      </x:c>
      <x:c r="E141" s="17">
        <x:v>183.1</x:v>
      </x:c>
      <x:c r="F141">
        <x:v>0.09</x:v>
      </x:c>
      <x:c r="G141" s="22" t="n">
        <x:f>E141/SUM(tIBRD[Capital invested])*100</x:f>
        <x:v>0.06643134514584963</x:v>
      </x:c>
    </x:row>
    <x:row r="142">
      <x:c r="A142" t="s">
        <x:v>154</x:v>
      </x:c>
      <x:c r="B142" t="s">
        <x:v>13</x:v>
      </x:c>
      <x:c r="C142" t="str">
        <x:f t="shared" si="2"/>
        <x:v>08-18-2026</x:v>
      </x:c>
      <x:c r="D142" t="s">
        <x:v>13</x:v>
      </x:c>
      <x:c r="E142" s="17">
        <x:v>94.7</x:v>
      </x:c>
      <x:c r="F142">
        <x:v>0.06</x:v>
      </x:c>
      <x:c r="G142" s="22" t="n">
        <x:f>E142/SUM(tIBRD[Capital invested])*100</x:f>
        <x:v>0.034358538423331295</x:v>
      </x:c>
    </x:row>
    <x:row r="143">
      <x:c r="A143" t="s">
        <x:v>155</x:v>
      </x:c>
      <x:c r="B143" t="s">
        <x:v>13</x:v>
      </x:c>
      <x:c r="C143" t="str">
        <x:f t="shared" si="2"/>
        <x:v>08-18-2026</x:v>
      </x:c>
      <x:c r="D143" t="s">
        <x:v>13</x:v>
      </x:c>
      <x:c r="E143" s="17">
        <x:v>59.5</x:v>
      </x:c>
      <x:c r="F143">
        <x:v>0.05</x:v>
      </x:c>
      <x:c r="G143" s="22" t="n">
        <x:f>E143/SUM(tIBRD[Capital invested])*100</x:f>
        <x:v>0.021587466063233494</x:v>
      </x:c>
    </x:row>
    <x:row r="144">
      <x:c r="A144" t="s">
        <x:v>156</x:v>
      </x:c>
      <x:c r="B144" t="s">
        <x:v>13</x:v>
      </x:c>
      <x:c r="C144" t="str">
        <x:f t="shared" si="2"/>
        <x:v>08-18-2026</x:v>
      </x:c>
      <x:c r="D144" t="s">
        <x:v>13</x:v>
      </x:c>
      <x:c r="E144" s="17">
        <x:v>70.5</x:v>
      </x:c>
      <x:c r="F144">
        <x:v>0.05</x:v>
      </x:c>
      <x:c r="G144" s="22" t="n">
        <x:f>E144/SUM(tIBRD[Capital invested])*100</x:f>
        <x:v>0.025578426175764057</x:v>
      </x:c>
    </x:row>
    <x:row r="145">
      <x:c r="A145" t="s">
        <x:v>157</x:v>
      </x:c>
      <x:c r="B145" t="s">
        <x:v>13</x:v>
      </x:c>
      <x:c r="C145" t="str">
        <x:f t="shared" si="2"/>
        <x:v>08-18-2026</x:v>
      </x:c>
      <x:c r="D145" t="s">
        <x:v>13</x:v>
      </x:c>
      <x:c r="E145" s="17">
        <x:v>7696.7</x:v>
      </x:c>
      <x:c r="F145">
        <x:v>2.67</x:v>
      </x:c>
      <x:c r="G145" s="22" t="n">
        <x:f>E145/SUM(tIBRD[Capital invested])*100</x:f>
        <x:v>2.7924747907376344</x:v>
      </x:c>
    </x:row>
    <x:row r="146">
      <x:c r="A146" t="s">
        <x:v>158</x:v>
      </x:c>
      <x:c r="B146" t="s">
        <x:v>13</x:v>
      </x:c>
      <x:c r="C146" t="str">
        <x:f t="shared" si="2"/>
        <x:v>08-18-2026</x:v>
      </x:c>
      <x:c r="D146" t="s">
        <x:v>13</x:v>
      </x:c>
      <x:c r="E146" s="17">
        <x:v>358.5</x:v>
      </x:c>
      <x:c r="F146">
        <x:v>0.15</x:v>
      </x:c>
      <x:c r="G146" s="22" t="n">
        <x:f>E146/SUM(tIBRD[Capital invested])*100</x:f>
        <x:v>0.13006901821292785</x:v>
      </x:c>
    </x:row>
    <x:row r="147">
      <x:c r="A147" t="s">
        <x:v>159</x:v>
      </x:c>
      <x:c r="B147" t="s">
        <x:v>13</x:v>
      </x:c>
      <x:c r="C147" t="str">
        <x:f t="shared" si="2"/>
        <x:v>08-18-2026</x:v>
      </x:c>
      <x:c r="D147" t="s">
        <x:v>13</x:v>
      </x:c>
      <x:c r="E147" s="17">
        <x:v>413.3</x:v>
      </x:c>
      <x:c r="F147">
        <x:v>0.17</x:v>
      </x:c>
      <x:c r="G147" s="22" t="n">
        <x:f>E147/SUM(tIBRD[Capital invested])*100</x:f>
        <x:v>0.14995125586444377</x:v>
      </x:c>
    </x:row>
    <x:row r="148">
      <x:c r="A148" t="s">
        <x:v>160</x:v>
      </x:c>
      <x:c r="B148" t="s">
        <x:v>13</x:v>
      </x:c>
      <x:c r="C148" t="str">
        <x:f t="shared" si="2"/>
        <x:v>08-18-2026</x:v>
      </x:c>
      <x:c r="D148" t="s">
        <x:v>13</x:v>
      </x:c>
      <x:c r="E148" s="17">
        <x:v>29.4</x:v>
      </x:c>
      <x:c r="F148">
        <x:v>0.04</x:v>
      </x:c>
      <x:c r="G148" s="22" t="n">
        <x:f>E148/SUM(tIBRD[Capital invested])*100</x:f>
        <x:v>0.010666747937127139</x:v>
      </x:c>
    </x:row>
    <x:row r="149">
      <x:c r="A149" t="s">
        <x:v>161</x:v>
      </x:c>
      <x:c r="B149" t="s">
        <x:v>13</x:v>
      </x:c>
      <x:c r="C149" t="str">
        <x:f t="shared" si="2"/>
        <x:v>08-18-2026</x:v>
      </x:c>
      <x:c r="D149" t="s">
        <x:v>13</x:v>
      </x:c>
      <x:c r="E149" s="17">
        <x:v>104.3</x:v>
      </x:c>
      <x:c r="F149">
        <x:v>7.0000000000000007E-2</x:v>
      </x:c>
      <x:c r="G149" s="22" t="n">
        <x:f>E149/SUM(tIBRD[Capital invested])*100</x:f>
        <x:v>0.037841558157903424</x:v>
      </x:c>
    </x:row>
    <x:row r="150">
      <x:c r="A150" t="s">
        <x:v>162</x:v>
      </x:c>
      <x:c r="B150" t="s">
        <x:v>13</x:v>
      </x:c>
      <x:c r="C150" t="str">
        <x:f t="shared" si="2"/>
        <x:v>08-18-2026</x:v>
      </x:c>
      <x:c r="D150" t="s">
        <x:v>13</x:v>
      </x:c>
      <x:c r="E150" s="17">
        <x:v>710.9</x:v>
      </x:c>
      <x:c r="F150">
        <x:v>0.27</x:v>
      </x:c>
      <x:c r="G150" s="22" t="n">
        <x:f>E150/SUM(tIBRD[Capital invested])*100</x:f>
        <x:v>0.2579248676361797</x:v>
      </x:c>
    </x:row>
    <x:row r="151">
      <x:c r="A151" t="s">
        <x:v>163</x:v>
      </x:c>
      <x:c r="B151" t="s">
        <x:v>13</x:v>
      </x:c>
      <x:c r="C151" t="str">
        <x:f t="shared" si="2"/>
        <x:v>08-18-2026</x:v>
      </x:c>
      <x:c r="D151" t="s">
        <x:v>13</x:v>
      </x:c>
      <x:c r="E151" s="17">
        <x:v>478.5</x:v>
      </x:c>
      <x:c r="F151">
        <x:v>0.19</x:v>
      </x:c>
      <x:c r="G151" s="22" t="n">
        <x:f>E151/SUM(tIBRD[Capital invested])*100</x:f>
        <x:v>0.17360676489507945</x:v>
      </x:c>
    </x:row>
    <x:row r="152">
      <x:c r="A152" t="s">
        <x:v>164</x:v>
      </x:c>
      <x:c r="B152" t="s">
        <x:v>13</x:v>
      </x:c>
      <x:c r="C152" t="str">
        <x:f t="shared" si="2"/>
        <x:v>08-18-2026</x:v>
      </x:c>
      <x:c r="D152" t="s">
        <x:v>13</x:v>
      </x:c>
      <x:c r="E152" s="17">
        <x:v>203.7</x:v>
      </x:c>
      <x:c r="F152">
        <x:v>0.1</x:v>
      </x:c>
      <x:c r="G152" s="22" t="n">
        <x:f>E152/SUM(tIBRD[Capital invested])*100</x:f>
        <x:v>0.07390532499295233</x:v>
      </x:c>
    </x:row>
    <x:row r="153">
      <x:c r="A153" t="s">
        <x:v>165</x:v>
      </x:c>
      <x:c r="B153" t="s">
        <x:v>13</x:v>
      </x:c>
      <x:c r="C153" t="str">
        <x:f t="shared" si="2"/>
        <x:v>08-18-2026</x:v>
      </x:c>
      <x:c r="D153" t="s">
        <x:v>13</x:v>
      </x:c>
      <x:c r="E153" s="17">
        <x:v>82.8</x:v>
      </x:c>
      <x:c r="F153">
        <x:v>0.06</x:v>
      </x:c>
      <x:c r="G153" s="22" t="n">
        <x:f>E153/SUM(tIBRD[Capital invested])*100</x:f>
        <x:v>0.030041045210684597</x:v>
      </x:c>
    </x:row>
    <x:row r="154">
      <x:c r="A154" t="s">
        <x:v>166</x:v>
      </x:c>
      <x:c r="B154" t="s">
        <x:v>13</x:v>
      </x:c>
      <x:c r="C154" t="str">
        <x:f t="shared" si="2"/>
        <x:v>08-18-2026</x:v>
      </x:c>
      <x:c r="D154" t="s">
        <x:v>13</x:v>
      </x:c>
      <x:c r="E154" s="17">
        <x:v>63.2</x:v>
      </x:c>
      <x:c r="F154">
        <x:v>0.05</x:v>
      </x:c>
      <x:c r="G154" s="22" t="n">
        <x:f>E154/SUM(tIBRD[Capital invested])*100</x:f>
        <x:v>0.022929879919266503</x:v>
      </x:c>
    </x:row>
    <x:row r="155">
      <x:c r="A155" t="s">
        <x:v>167</x:v>
      </x:c>
      <x:c r="B155" t="s">
        <x:v>13</x:v>
      </x:c>
      <x:c r="C155" t="str">
        <x:f t="shared" si="2"/>
        <x:v>08-18-2026</x:v>
      </x:c>
      <x:c r="D155" t="s">
        <x:v>13</x:v>
      </x:c>
      <x:c r="E155" s="17">
        <x:v>2079.3000000000002</x:v>
      </x:c>
      <x:c r="F155">
        <x:v>0.74</x:v>
      </x:c>
      <x:c r="G155" s="22" t="n">
        <x:f>E155/SUM(tIBRD[Capital invested])*100</x:f>
        <x:v>0.7544003056349817</x:v>
      </x:c>
    </x:row>
    <x:row r="156">
      <x:c r="A156" t="s">
        <x:v>168</x:v>
      </x:c>
      <x:c r="B156" t="s">
        <x:v>13</x:v>
      </x:c>
      <x:c r="C156" t="str">
        <x:f t="shared" si="2"/>
        <x:v>08-18-2026</x:v>
      </x:c>
      <x:c r="D156" t="s">
        <x:v>13</x:v>
      </x:c>
      <x:c r="E156" s="17">
        <x:v>143.69999999999999</x:v>
      </x:c>
      <x:c r="F156">
        <x:v>0.08</x:v>
      </x:c>
      <x:c r="G156" s="22" t="n">
        <x:f>E156/SUM(tIBRD[Capital invested])*100</x:f>
        <x:v>0.052136451651876525</x:v>
      </x:c>
    </x:row>
    <x:row r="157">
      <x:c r="A157" t="s">
        <x:v>169</x:v>
      </x:c>
      <x:c r="B157" t="s">
        <x:v>13</x:v>
      </x:c>
      <x:c r="C157" t="str">
        <x:f t="shared" si="2"/>
        <x:v>08-18-2026</x:v>
      </x:c>
      <x:c r="D157" t="s">
        <x:v>13</x:v>
      </x:c>
      <x:c r="E157" s="17">
        <x:v>5289.5</x:v>
      </x:c>
      <x:c r="F157">
        <x:v>1.84</x:v>
      </x:c>
      <x:c r="G157" s="22" t="n">
        <x:f>E157/SUM(tIBRD[Capital invested])*100</x:f>
        <x:v>1.9191075922936736</x:v>
      </x:c>
    </x:row>
    <x:row r="158">
      <x:c r="A158" t="s">
        <x:v>170</x:v>
      </x:c>
      <x:c r="B158" t="s">
        <x:v>13</x:v>
      </x:c>
      <x:c r="C158" t="str">
        <x:f t="shared" si="2"/>
        <x:v>08-18-2026</x:v>
      </x:c>
      <x:c r="D158" t="s">
        <x:v>13</x:v>
      </x:c>
      <x:c r="E158" s="17">
        <x:v>628.20000000000005</x:v>
      </x:c>
      <x:c r="F158">
        <x:v>0.24</x:v>
      </x:c>
      <x:c r="G158" s="22" t="n">
        <x:f>E158/SUM(tIBRD[Capital invested])*100</x:f>
        <x:v>0.2279201038810636</x:v>
      </x:c>
    </x:row>
    <x:row r="159">
      <x:c r="A159" t="s">
        <x:v>171</x:v>
      </x:c>
      <x:c r="B159" t="s">
        <x:v>13</x:v>
      </x:c>
      <x:c r="C159" t="str">
        <x:f t="shared" si="2"/>
        <x:v>08-18-2026</x:v>
      </x:c>
      <x:c r="D159" t="s">
        <x:v>13</x:v>
      </x:c>
      <x:c r="E159" s="17">
        <x:v>27.5</x:v>
      </x:c>
      <x:c r="F159">
        <x:v>0.04</x:v>
      </x:c>
      <x:c r="G159" s="22" t="n">
        <x:f>E159/SUM(tIBRD[Capital invested])*100</x:f>
        <x:v>0.009977400281326406</x:v>
      </x:c>
    </x:row>
    <x:row r="160">
      <x:c r="A160" t="s">
        <x:v>172</x:v>
      </x:c>
      <x:c r="B160" t="s">
        <x:v>13</x:v>
      </x:c>
      <x:c r="C160" t="str">
        <x:f t="shared" si="2"/>
        <x:v>08-18-2026</x:v>
      </x:c>
      <x:c r="D160" t="s">
        <x:v>13</x:v>
      </x:c>
      <x:c r="E160" s="17">
        <x:v>69.900000000000006</x:v>
      </x:c>
      <x:c r="F160">
        <x:v>0.05</x:v>
      </x:c>
      <x:c r="G160" s="22" t="n">
        <x:f>E160/SUM(tIBRD[Capital invested])*100</x:f>
        <x:v>0.0253607374423533</x:v>
      </x:c>
    </x:row>
    <x:row r="161">
      <x:c r="A161" t="s">
        <x:v>173</x:v>
      </x:c>
      <x:c r="B161" t="s">
        <x:v>13</x:v>
      </x:c>
      <x:c r="C161" t="str">
        <x:f t="shared" si="2"/>
        <x:v>08-18-2026</x:v>
      </x:c>
      <x:c r="D161" t="s">
        <x:v>13</x:v>
      </x:c>
      <x:c r="E161" s="17">
        <x:v>38.700000000000003</x:v>
      </x:c>
      <x:c r="F161">
        <x:v>0.04</x:v>
      </x:c>
      <x:c r="G161" s="22" t="n">
        <x:f>E161/SUM(tIBRD[Capital invested])*100</x:f>
        <x:v>0.014040923304993888</x:v>
      </x:c>
    </x:row>
    <x:row r="162">
      <x:c r="A162" t="s">
        <x:v>174</x:v>
      </x:c>
      <x:c r="B162" t="s">
        <x:v>13</x:v>
      </x:c>
      <x:c r="C162" t="str">
        <x:f t="shared" si="2"/>
        <x:v>08-18-2026</x:v>
      </x:c>
      <x:c r="D162" t="s">
        <x:v>13</x:v>
      </x:c>
      <x:c r="E162" s="17">
        <x:v>198.9</x:v>
      </x:c>
      <x:c r="F162">
        <x:v>0.1</x:v>
      </x:c>
      <x:c r="G162" s="22" t="n">
        <x:f>E162/SUM(tIBRD[Capital invested])*100</x:f>
        <x:v>0.07216381512566626</x:v>
      </x:c>
    </x:row>
    <x:row r="163">
      <x:c r="A163" t="s">
        <x:v>175</x:v>
      </x:c>
      <x:c r="B163" t="s">
        <x:v>13</x:v>
      </x:c>
      <x:c r="C163" t="str">
        <x:f t="shared" si="2"/>
        <x:v>08-18-2026</x:v>
      </x:c>
      <x:c r="D163" t="s">
        <x:v>13</x:v>
      </x:c>
      <x:c r="E163" s="17">
        <x:v>41.2</x:v>
      </x:c>
      <x:c r="F163">
        <x:v>0.04</x:v>
      </x:c>
      <x:c r="G163" s="22" t="n">
        <x:f>E163/SUM(tIBRD[Capital invested])*100</x:f>
        <x:v>0.014947959694205381</x:v>
      </x:c>
    </x:row>
    <x:row r="164">
      <x:c r="A164" t="s">
        <x:v>176</x:v>
      </x:c>
      <x:c r="B164" t="s">
        <x:v>13</x:v>
      </x:c>
      <x:c r="C164" t="str">
        <x:f t="shared" si="2"/>
        <x:v>08-18-2026</x:v>
      </x:c>
      <x:c r="D164" t="s">
        <x:v>13</x:v>
      </x:c>
      <x:c r="E164" s="17">
        <x:v>2514.8000000000002</x:v>
      </x:c>
      <x:c r="F164">
        <x:v>0.89</x:v>
      </x:c>
      <x:c r="G164" s="22" t="n">
        <x:f>E164/SUM(tIBRD[Capital invested])*100</x:f>
        <x:v>0.9124060446356235</x:v>
      </x:c>
    </x:row>
    <x:row r="165">
      <x:c r="A165" t="s">
        <x:v>177</x:v>
      </x:c>
      <x:c r="B165" t="s">
        <x:v>13</x:v>
      </x:c>
      <x:c r="C165" t="str">
        <x:f t="shared" si="2"/>
        <x:v>08-18-2026</x:v>
      </x:c>
      <x:c r="D165" t="s">
        <x:v>13</x:v>
      </x:c>
      <x:c r="E165" s="17">
        <x:v>4088.9</x:v>
      </x:c>
      <x:c r="F165">
        <x:v>1.43</x:v>
      </x:c>
      <x:c r="G165" s="22" t="n">
        <x:f>E165/SUM(tIBRD[Capital invested])*100</x:f>
        <x:v>1.4835124367387469</x:v>
      </x:c>
    </x:row>
    <x:row r="166">
      <x:c r="A166" t="s">
        <x:v>178</x:v>
      </x:c>
      <x:c r="B166" t="s">
        <x:v>13</x:v>
      </x:c>
      <x:c r="C166" t="str">
        <x:f t="shared" si="2"/>
        <x:v>08-18-2026</x:v>
      </x:c>
      <x:c r="D166" t="s">
        <x:v>13</x:v>
      </x:c>
      <x:c r="E166" s="17">
        <x:v>245.2</x:v>
      </x:c>
      <x:c r="F166">
        <x:v>0.11</x:v>
      </x:c>
      <x:c r="G166" s="22" t="n">
        <x:f>E166/SUM(tIBRD[Capital invested])*100</x:f>
        <x:v>0.08896212905386308</x:v>
      </x:c>
    </x:row>
    <x:row r="167">
      <x:c r="A167" t="s">
        <x:v>179</x:v>
      </x:c>
      <x:c r="B167" t="s">
        <x:v>13</x:v>
      </x:c>
      <x:c r="C167" t="str">
        <x:f t="shared" si="2"/>
        <x:v>08-18-2026</x:v>
      </x:c>
      <x:c r="D167" t="s">
        <x:v>13</x:v>
      </x:c>
      <x:c r="E167" s="17">
        <x:v>146.80000000000001</x:v>
      </x:c>
      <x:c r="F167">
        <x:v>0.08</x:v>
      </x:c>
      <x:c r="G167" s="22" t="n">
        <x:f>E167/SUM(tIBRD[Capital invested])*100</x:f>
        <x:v>0.05326117677449878</x:v>
      </x:c>
    </x:row>
    <x:row r="168">
      <x:c r="A168" t="s">
        <x:v>180</x:v>
      </x:c>
      <x:c r="B168" t="s">
        <x:v>13</x:v>
      </x:c>
      <x:c r="C168" t="str">
        <x:f t="shared" si="2"/>
        <x:v>08-18-2026</x:v>
      </x:c>
      <x:c r="D168" t="s">
        <x:v>13</x:v>
      </x:c>
      <x:c r="E168" s="17">
        <x:v>161.5</x:v>
      </x:c>
      <x:c r="F168">
        <x:v>0.08</x:v>
      </x:c>
      <x:c r="G168" s="22" t="n">
        <x:f>E168/SUM(tIBRD[Capital invested])*100</x:f>
        <x:v>0.05859455074306235</x:v>
      </x:c>
    </x:row>
    <x:row r="169">
      <x:c r="A169" t="s">
        <x:v>181</x:v>
      </x:c>
      <x:c r="B169" t="s">
        <x:v>13</x:v>
      </x:c>
      <x:c r="C169" t="str">
        <x:f t="shared" si="2"/>
        <x:v>08-18-2026</x:v>
      </x:c>
      <x:c r="D169" t="s">
        <x:v>13</x:v>
      </x:c>
      <x:c r="E169" s="17">
        <x:v>1375.2</x:v>
      </x:c>
      <x:c r="F169">
        <x:v>0.5</x:v>
      </x:c>
      <x:c r="G169" s="22" t="n">
        <x:f>E169/SUM(tIBRD[Capital invested])*100</x:f>
        <x:v>0.4989425769774572</x:v>
      </x:c>
    </x:row>
    <x:row r="170">
      <x:c r="A170" t="s">
        <x:v>182</x:v>
      </x:c>
      <x:c r="B170" t="s">
        <x:v>13</x:v>
      </x:c>
      <x:c r="C170" t="str">
        <x:f t="shared" si="2"/>
        <x:v>08-18-2026</x:v>
      </x:c>
      <x:c r="D170" t="s">
        <x:v>13</x:v>
      </x:c>
      <x:c r="E170" s="17">
        <x:v>91.8</x:v>
      </x:c>
      <x:c r="F170">
        <x:v>0.06</x:v>
      </x:c>
      <x:c r="G170" s="22" t="n">
        <x:f>E170/SUM(tIBRD[Capital invested])*100</x:f>
        <x:v>0.03330637621184596</x:v>
      </x:c>
    </x:row>
    <x:row r="171">
      <x:c r="A171" t="s">
        <x:v>183</x:v>
      </x:c>
      <x:c r="B171" t="s">
        <x:v>13</x:v>
      </x:c>
      <x:c r="C171" t="str">
        <x:f t="shared" si="2"/>
        <x:v>08-18-2026</x:v>
      </x:c>
      <x:c r="D171" t="s">
        <x:v>13</x:v>
      </x:c>
      <x:c r="E171" s="17">
        <x:v>194.7</x:v>
      </x:c>
      <x:c r="F171">
        <x:v>0.1</x:v>
      </x:c>
      <x:c r="G171" s="22" t="n">
        <x:f>E171/SUM(tIBRD[Capital invested])*100</x:f>
        <x:v>0.07063999399179095</x:v>
      </x:c>
    </x:row>
    <x:row r="172">
      <x:c r="A172" t="s">
        <x:v>184</x:v>
      </x:c>
      <x:c r="B172" t="s">
        <x:v>13</x:v>
      </x:c>
      <x:c r="C172" t="str">
        <x:f t="shared" si="2"/>
        <x:v>08-18-2026</x:v>
      </x:c>
      <x:c r="D172" t="s">
        <x:v>13</x:v>
      </x:c>
      <x:c r="E172" s="17">
        <x:v>85.9</x:v>
      </x:c>
      <x:c r="F172">
        <x:v>0.06</x:v>
      </x:c>
      <x:c r="G172" s="22" t="n">
        <x:f>E172/SUM(tIBRD[Capital invested])*100</x:f>
        <x:v>0.031165770333306846</x:v>
      </x:c>
    </x:row>
    <x:row r="173">
      <x:c r="A173" t="s">
        <x:v>185</x:v>
      </x:c>
      <x:c r="B173" t="s">
        <x:v>13</x:v>
      </x:c>
      <x:c r="C173" t="str">
        <x:f t="shared" si="2"/>
        <x:v>08-18-2026</x:v>
      </x:c>
      <x:c r="D173" t="s">
        <x:v>13</x:v>
      </x:c>
      <x:c r="E173" s="17">
        <x:v>337.6</x:v>
      </x:c>
      <x:c r="F173">
        <x:v>0.15</x:v>
      </x:c>
      <x:c r="G173" s="22" t="n">
        <x:f>E173/SUM(tIBRD[Capital invested])*100</x:f>
        <x:v>0.1224861939991198</x:v>
      </x:c>
    </x:row>
    <x:row r="174">
      <x:c r="A174" t="s">
        <x:v>186</x:v>
      </x:c>
      <x:c r="B174" t="s">
        <x:v>13</x:v>
      </x:c>
      <x:c r="C174" t="str">
        <x:f t="shared" si="2"/>
        <x:v>08-18-2026</x:v>
      </x:c>
      <x:c r="D174" t="s">
        <x:v>13</x:v>
      </x:c>
      <x:c r="E174" s="17">
        <x:v>206.4</x:v>
      </x:c>
      <x:c r="F174">
        <x:v>0.1</x:v>
      </x:c>
      <x:c r="G174" s="22" t="n">
        <x:f>E174/SUM(tIBRD[Capital invested])*100</x:f>
        <x:v>0.07488492429330074</x:v>
      </x:c>
    </x:row>
    <x:row r="175">
      <x:c r="A175" t="s">
        <x:v>187</x:v>
      </x:c>
      <x:c r="B175" t="s">
        <x:v>13</x:v>
      </x:c>
      <x:c r="C175" t="str">
        <x:f t="shared" si="2"/>
        <x:v>08-18-2026</x:v>
      </x:c>
      <x:c r="D175" t="s">
        <x:v>13</x:v>
      </x:c>
      <x:c r="E175" s="17">
        <x:v>3066.8</x:v>
      </x:c>
      <x:c r="F175">
        <x:v>1.08</x:v>
      </x:c>
      <x:c r="G175" s="22" t="n">
        <x:f>E175/SUM(tIBRD[Capital invested])*100</x:f>
        <x:v>1.112679679373521</x:v>
      </x:c>
    </x:row>
    <x:row r="176">
      <x:c r="A176" t="s">
        <x:v>188</x:v>
      </x:c>
      <x:c r="B176" t="s">
        <x:v>13</x:v>
      </x:c>
      <x:c r="C176" t="str">
        <x:f t="shared" si="2"/>
        <x:v>08-18-2026</x:v>
      </x:c>
      <x:c r="D176" t="s">
        <x:v>13</x:v>
      </x:c>
      <x:c r="E176" s="17">
        <x:v>62.7</x:v>
      </x:c>
      <x:c r="F176">
        <x:v>0.05</x:v>
      </x:c>
      <x:c r="G176" s="22" t="n">
        <x:f>E176/SUM(tIBRD[Capital invested])*100</x:f>
        <x:v>0.022748472641424208</x:v>
      </x:c>
    </x:row>
    <x:row r="177">
      <x:c r="A177" t="s">
        <x:v>189</x:v>
      </x:c>
      <x:c r="B177" t="s">
        <x:v>13</x:v>
      </x:c>
      <x:c r="C177" t="str">
        <x:f t="shared" si="2"/>
        <x:v>08-18-2026</x:v>
      </x:c>
      <x:c r="D177" t="s">
        <x:v>13</x:v>
      </x:c>
      <x:c r="E177" s="17">
        <x:v>50.2</x:v>
      </x:c>
      <x:c r="F177">
        <x:v>0.05</x:v>
      </x:c>
      <x:c r="G177" s="22" t="n">
        <x:f>E177/SUM(tIBRD[Capital invested])*100</x:f>
        <x:v>0.01821329069536675</x:v>
      </x:c>
    </x:row>
    <x:row r="178">
      <x:c r="A178" t="s">
        <x:v>190</x:v>
      </x:c>
      <x:c r="B178" t="s">
        <x:v>13</x:v>
      </x:c>
      <x:c r="C178" t="str">
        <x:f t="shared" si="2"/>
        <x:v>08-18-2026</x:v>
      </x:c>
      <x:c r="D178" t="s">
        <x:v>13</x:v>
      </x:c>
      <x:c r="E178" s="17">
        <x:v>113.3</x:v>
      </x:c>
      <x:c r="F178">
        <x:v>7.0000000000000007E-2</x:v>
      </x:c>
      <x:c r="G178" s="22" t="n">
        <x:f>E178/SUM(tIBRD[Capital invested])*100</x:f>
        <x:v>0.04110688915906479</x:v>
      </x:c>
    </x:row>
    <x:row r="179">
      <x:c r="A179" t="s">
        <x:v>191</x:v>
      </x:c>
      <x:c r="B179" t="s">
        <x:v>13</x:v>
      </x:c>
      <x:c r="C179" t="str">
        <x:f t="shared" si="2"/>
        <x:v>08-18-2026</x:v>
      </x:c>
      <x:c r="D179" t="s">
        <x:v>13</x:v>
      </x:c>
      <x:c r="E179" s="17">
        <x:v>1606.5</x:v>
      </x:c>
      <x:c r="F179">
        <x:v>0.57999999999999996</x:v>
      </x:c>
      <x:c r="G179" s="22" t="n">
        <x:f>E179/SUM(tIBRD[Capital invested])*100</x:f>
        <x:v>0.5828615837073045</x:v>
      </x:c>
    </x:row>
    <x:row r="180">
      <x:c r="A180" t="s">
        <x:v>192</x:v>
      </x:c>
      <x:c r="B180" t="s">
        <x:v>13</x:v>
      </x:c>
      <x:c r="C180" t="str">
        <x:f t="shared" si="2"/>
        <x:v>08-18-2026</x:v>
      </x:c>
      <x:c r="D180" t="s">
        <x:v>13</x:v>
      </x:c>
      <x:c r="E180" s="17">
        <x:v>704.3</x:v>
      </x:c>
      <x:c r="F180">
        <x:v>0.27</x:v>
      </x:c>
      <x:c r="G180" s="22" t="n">
        <x:f>E180/SUM(tIBRD[Capital invested])*100</x:f>
        <x:v>0.25553029156866136</x:v>
      </x:c>
    </x:row>
    <x:row r="181">
      <x:c r="A181" t="s">
        <x:v>193</x:v>
      </x:c>
      <x:c r="B181" t="s">
        <x:v>13</x:v>
      </x:c>
      <x:c r="C181" t="str">
        <x:f t="shared" si="2"/>
        <x:v>08-18-2026</x:v>
      </x:c>
      <x:c r="D181" t="s">
        <x:v>13</x:v>
      </x:c>
      <x:c r="E181" s="17">
        <x:v>10861.1</x:v>
      </x:c>
      <x:c r="F181">
        <x:v>3.75</x:v>
      </x:c>
      <x:c r="G181" s="22" t="n">
        <x:f>E181/SUM(tIBRD[Capital invested])*100</x:f>
        <x:v>3.9405651707459723</x:v>
      </x:c>
    </x:row>
    <x:row r="182">
      <x:c r="A182" t="s">
        <x:v>194</x:v>
      </x:c>
      <x:c r="B182" t="s">
        <x:v>13</x:v>
      </x:c>
      <x:c r="C182" t="str">
        <x:f t="shared" si="2"/>
        <x:v>08-18-2026</x:v>
      </x:c>
      <x:c r="D182" t="s">
        <x:v>13</x:v>
      </x:c>
      <x:c r="E182" s="17">
        <x:v>46546.2</x:v>
      </x:c>
      <x:c r="F182">
        <x:v>15.98</x:v>
      </x:c>
      <x:c r="G182" s="22" t="n">
        <x:f>E182/SUM(tIBRD[Capital invested])*100</x:f>
        <x:v>16.887638871806367</x:v>
      </x:c>
    </x:row>
    <x:row r="183">
      <x:c r="A183" t="s">
        <x:v>195</x:v>
      </x:c>
      <x:c r="B183" t="s">
        <x:v>13</x:v>
      </x:c>
      <x:c r="C183" t="str">
        <x:f t="shared" si="2"/>
        <x:v>08-18-2026</x:v>
      </x:c>
      <x:c r="D183" t="s">
        <x:v>13</x:v>
      </x:c>
      <x:c r="E183" s="17">
        <x:v>390.2</x:v>
      </x:c>
      <x:c r="F183">
        <x:v>0.16</x:v>
      </x:c>
      <x:c r="G183" s="22" t="n">
        <x:f>E183/SUM(tIBRD[Capital invested])*100</x:f>
        <x:v>0.1415702396281296</x:v>
      </x:c>
    </x:row>
    <x:row r="184">
      <x:c r="A184" t="s">
        <x:v>196</x:v>
      </x:c>
      <x:c r="B184" t="s">
        <x:v>13</x:v>
      </x:c>
      <x:c r="C184" t="str">
        <x:f t="shared" si="2"/>
        <x:v>08-18-2026</x:v>
      </x:c>
      <x:c r="D184" t="s">
        <x:v>13</x:v>
      </x:c>
      <x:c r="E184" s="17">
        <x:v>423.8</x:v>
      </x:c>
      <x:c r="F184">
        <x:v>0.17</x:v>
      </x:c>
      <x:c r="G184" s="22" t="n">
        <x:f>E184/SUM(tIBRD[Capital invested])*100</x:f>
        <x:v>0.15376080869913203</x:v>
      </x:c>
    </x:row>
    <x:row r="185">
      <x:c r="A185" t="s">
        <x:v>197</x:v>
      </x:c>
      <x:c r="B185" t="s">
        <x:v>13</x:v>
      </x:c>
      <x:c r="C185" t="str">
        <x:f t="shared" si="2"/>
        <x:v>08-18-2026</x:v>
      </x:c>
      <x:c r="D185" t="s">
        <x:v>13</x:v>
      </x:c>
      <x:c r="E185" s="17">
        <x:v>93.3</x:v>
      </x:c>
      <x:c r="F185">
        <x:v>0.06</x:v>
      </x:c>
      <x:c r="G185" s="22" t="n">
        <x:f>E185/SUM(tIBRD[Capital invested])*100</x:f>
        <x:v>0.03385059804537286</x:v>
      </x:c>
    </x:row>
    <x:row r="186">
      <x:c r="A186" t="s">
        <x:v>198</x:v>
      </x:c>
      <x:c r="B186" t="s">
        <x:v>13</x:v>
      </x:c>
      <x:c r="C186" t="str">
        <x:f t="shared" si="2"/>
        <x:v>08-18-2026</x:v>
      </x:c>
      <x:c r="D186" t="s">
        <x:v>13</x:v>
      </x:c>
      <x:c r="E186" s="17">
        <x:v>2036.1</x:v>
      </x:c>
      <x:c r="F186">
        <x:v>0.73</x:v>
      </x:c>
      <x:c r="G186" s="22" t="n">
        <x:f>E186/SUM(tIBRD[Capital invested])*100</x:f>
        <x:v>0.738726716829407</x:v>
      </x:c>
    </x:row>
    <x:row r="187">
      <x:c r="A187" t="s">
        <x:v>199</x:v>
      </x:c>
      <x:c r="B187" t="s">
        <x:v>13</x:v>
      </x:c>
      <x:c r="C187" t="str">
        <x:f t="shared" si="2"/>
        <x:v>08-18-2026</x:v>
      </x:c>
      <x:c r="D187" t="s">
        <x:v>13</x:v>
      </x:c>
      <x:c r="E187" s="17">
        <x:v>531.1</x:v>
      </x:c>
      <x:c r="F187">
        <x:v>0.21</x:v>
      </x:c>
      <x:c r="G187" s="22" t="n">
        <x:f>E187/SUM(tIBRD[Capital invested])*100</x:f>
        <x:v>0.19269081052408923</x:v>
      </x:c>
    </x:row>
    <x:row r="188">
      <x:c r="A188" t="s">
        <x:v>200</x:v>
      </x:c>
      <x:c r="B188" t="s">
        <x:v>13</x:v>
      </x:c>
      <x:c r="C188" t="str">
        <x:f t="shared" si="2"/>
        <x:v>08-18-2026</x:v>
      </x:c>
      <x:c r="D188" t="s">
        <x:v>13</x:v>
      </x:c>
      <x:c r="E188" s="17">
        <x:v>221.2</x:v>
      </x:c>
      <x:c r="F188">
        <x:v>0.11</x:v>
      </x:c>
      <x:c r="G188" s="22" t="n">
        <x:f>E188/SUM(tIBRD[Capital invested])*100</x:f>
        <x:v>0.08025457971743276</x:v>
      </x:c>
    </x:row>
    <x:row r="189">
      <x:c r="A189" t="s">
        <x:v>201</x:v>
      </x:c>
      <x:c r="B189" t="s">
        <x:v>13</x:v>
      </x:c>
      <x:c r="C189" t="str">
        <x:f t="shared" si="2"/>
        <x:v>08-18-2026</x:v>
      </x:c>
      <x:c r="D189" t="s">
        <x:v>13</x:v>
      </x:c>
      <x:c r="E189" s="17">
        <x:v>472.7</x:v>
      </x:c>
      <x:c r="F189">
        <x:v>0.19</x:v>
      </x:c>
      <x:c r="G189" s="22" t="n">
        <x:f>E189/SUM(tIBRD[Capital invested])*100</x:f>
        <x:v>0.1715024404721088</x:v>
      </x:c>
    </x:row>
    <x:row r="190">
      <x:c r="A190" t="s">
        <x:v>202</x:v>
      </x:c>
      <x:c r="B190" t="s">
        <x:v>13</x:v>
      </x:c>
      <x:c r="C190" t="str">
        <x:f t="shared" si="2"/>
        <x:v>08-18-2026</x:v>
      </x:c>
      <x:c r="D190" t="s">
        <x:v>13</x:v>
      </x:c>
      <x:c r="E190" s="17">
        <x:v>399.6</x:v>
      </x:c>
      <x:c r="F190">
        <x:v>0.17</x:v>
      </x:c>
      <x:c r="G190" s="22" t="n">
        <x:f>E190/SUM(tIBRD[Capital invested])*100</x:f>
        <x:v>0.1449806964515648</x:v>
      </x:c>
    </x:row>
  </x:sheetData>
  <x:pageMargins left="0.7" right="0.7" top="0.75" bottom="0.75" header="0.3" footer="0.3"/>
  <x:tableParts count="1">
    <x:tablePart xmlns:r="http://schemas.openxmlformats.org/officeDocument/2006/relationships" r:id="R71be02fc6eed4d76"/>
  </x:tableParts>
</x:worksheet>
</file>

<file path=xl/worksheets/sheet5.xml><?xml version="1.0" encoding="utf-8"?>
<x:worksheet xmlns:x="http://schemas.openxmlformats.org/spreadsheetml/2006/main">
  <x:sheetFormatPr baseColWidth="10" defaultRowHeight="14"/>
  <x:cols>
    <x:col min="2" max="2" width="13.1640625" customWidth="1"/>
    <x:col min="5" max="5" width="17.6640625" customWidth="1"/>
    <x:col min="6" max="6" width="15.33203125" customWidth="1"/>
    <x:col min="7" max="7" width="15.1640625" customWidth="1"/>
  </x:cols>
  <x:sheetData>
    <x:row r="1" ht="15">
      <x:c r="A1" s="19" t="s">
        <x:v>0</x:v>
      </x:c>
      <x:c r="B1" s="20" t="s">
        <x:v>9</x:v>
      </x:c>
      <x:c r="C1" s="20" t="s">
        <x:v>4</x:v>
      </x:c>
      <x:c r="D1" s="20" t="s">
        <x:v>10</x:v>
      </x:c>
      <x:c r="E1" s="20" t="s">
        <x:v>11</x:v>
      </x:c>
      <x:c r="F1" s="20" t="s">
        <x:v>3</x:v>
      </x:c>
      <x:c r="G1" s="21" t="s">
        <x:v>2</x:v>
      </x:c>
    </x:row>
    <x:row r="2">
      <x:c r="A2" t="s">
        <x:v>12</x:v>
      </x:c>
      <x:c r="B2" t="s">
        <x:v>203</x:v>
      </x:c>
      <x:c r="C2" s="18" t="s">
        <x:v>204</x:v>
      </x:c>
      <x:c r="D2" t="s">
        <x:v>203</x:v>
      </x:c>
      <x:c r="E2">
        <x:v>50.6</x:v>
      </x:c>
      <x:c r="F2">
        <x:v>0.05</x:v>
      </x:c>
      <x:c r="G2">
        <x:v>0.02</x:v>
      </x:c>
    </x:row>
    <x:row r="3">
      <x:c r="A3" t="s">
        <x:v>15</x:v>
      </x:c>
      <x:c r="B3" t="s">
        <x:v>203</x:v>
      </x:c>
      <x:c r="C3" s="18" t="s">
        <x:v>204</x:v>
      </x:c>
      <x:c r="D3" t="s">
        <x:v>203</x:v>
      </x:c>
      <x:c r="E3">
        <x:v>135.5</x:v>
      </x:c>
      <x:c r="F3">
        <x:v>0.08</x:v>
      </x:c>
      <x:c r="G3">
        <x:v>0.05</x:v>
      </x:c>
    </x:row>
    <x:row r="4">
      <x:c r="A4" t="s">
        <x:v>16</x:v>
      </x:c>
      <x:c r="B4" t="s">
        <x:v>203</x:v>
      </x:c>
      <x:c r="C4" s="18" t="s">
        <x:v>204</x:v>
      </x:c>
      <x:c r="D4" t="s">
        <x:v>203</x:v>
      </x:c>
      <x:c r="E4">
        <x:v>1368.9</x:v>
      </x:c>
      <x:c r="F4">
        <x:v>0.5</x:v>
      </x:c>
      <x:c r="G4">
        <x:v>0.5</x:v>
      </x:c>
    </x:row>
    <x:row r="5">
      <x:c r="A5" t="s">
        <x:v>17</x:v>
      </x:c>
      <x:c r="B5" t="s">
        <x:v>203</x:v>
      </x:c>
      <x:c r="C5" s="18" t="s">
        <x:v>204</x:v>
      </x:c>
      <x:c r="D5" t="s">
        <x:v>203</x:v>
      </x:c>
      <x:c r="E5">
        <x:v>442.9</x:v>
      </x:c>
      <x:c r="F5">
        <x:v>0.18</x:v>
      </x:c>
      <x:c r="G5">
        <x:v>0.16</x:v>
      </x:c>
    </x:row>
    <x:row r="6">
      <x:c r="A6" t="s">
        <x:v>18</x:v>
      </x:c>
      <x:c r="B6" t="s">
        <x:v>203</x:v>
      </x:c>
      <x:c r="C6" s="18" t="s">
        <x:v>204</x:v>
      </x:c>
      <x:c r="D6" t="s">
        <x:v>203</x:v>
      </x:c>
      <x:c r="E6">
        <x:v>72.400000000000006</x:v>
      </x:c>
      <x:c r="F6">
        <x:v>0.05</x:v>
      </x:c>
      <x:c r="G6">
        <x:v>0.03</x:v>
      </x:c>
    </x:row>
    <x:row r="7">
      <x:c r="A7" t="s">
        <x:v>19</x:v>
      </x:c>
      <x:c r="B7" t="s">
        <x:v>203</x:v>
      </x:c>
      <x:c r="C7" s="18" t="s">
        <x:v>204</x:v>
      </x:c>
      <x:c r="D7" t="s">
        <x:v>203</x:v>
      </x:c>
      <x:c r="E7">
        <x:v>3057.1</x:v>
      </x:c>
      <x:c r="F7">
        <x:v>1.08</x:v>
      </x:c>
      <x:c r="G7">
        <x:v>1.1100000000000001</x:v>
      </x:c>
    </x:row>
    <x:row r="8">
      <x:c r="A8" t="s">
        <x:v>20</x:v>
      </x:c>
      <x:c r="B8" t="s">
        <x:v>203</x:v>
      </x:c>
      <x:c r="C8" s="18" t="s">
        <x:v>204</x:v>
      </x:c>
      <x:c r="D8" t="s">
        <x:v>203</x:v>
      </x:c>
      <x:c r="E8">
        <x:v>200.6</x:v>
      </x:c>
      <x:c r="F8">
        <x:v>0.1</x:v>
      </x:c>
      <x:c r="G8">
        <x:v>7.0000000000000007E-2</x:v>
      </x:c>
    </x:row>
    <x:row r="9">
      <x:c r="A9" t="s">
        <x:v>21</x:v>
      </x:c>
      <x:c r="B9" t="s">
        <x:v>203</x:v>
      </x:c>
      <x:c r="C9" s="18" t="s">
        <x:v>204</x:v>
      </x:c>
      <x:c r="D9" t="s">
        <x:v>203</x:v>
      </x:c>
      <x:c r="E9">
        <x:v>3905.4</x:v>
      </x:c>
      <x:c r="F9">
        <x:v>1.37</x:v>
      </x:c>
      <x:c r="G9">
        <x:v>1.42</x:v>
      </x:c>
    </x:row>
    <x:row r="10">
      <x:c r="A10" t="s">
        <x:v>22</x:v>
      </x:c>
      <x:c r="B10" t="s">
        <x:v>203</x:v>
      </x:c>
      <x:c r="C10" s="18" t="s">
        <x:v>204</x:v>
      </x:c>
      <x:c r="D10" t="s">
        <x:v>203</x:v>
      </x:c>
      <x:c r="E10">
        <x:v>1814.3</x:v>
      </x:c>
      <x:c r="F10">
        <x:v>0.65</x:v>
      </x:c>
      <x:c r="G10">
        <x:v>0.66</x:v>
      </x:c>
    </x:row>
    <x:row r="11">
      <x:c r="A11" t="s">
        <x:v>23</x:v>
      </x:c>
      <x:c r="B11" t="s">
        <x:v>203</x:v>
      </x:c>
      <x:c r="C11" s="18" t="s">
        <x:v>204</x:v>
      </x:c>
      <x:c r="D11" t="s">
        <x:v>203</x:v>
      </x:c>
      <x:c r="E11">
        <x:v>287.60000000000002</x:v>
      </x:c>
      <x:c r="F11">
        <x:v>0.13</x:v>
      </x:c>
      <x:c r="G11">
        <x:v>0.1</x:v>
      </x:c>
    </x:row>
    <x:row r="12">
      <x:c r="A12" t="s">
        <x:v>24</x:v>
      </x:c>
      <x:c r="B12" t="s">
        <x:v>203</x:v>
      </x:c>
      <x:c r="C12" s="18" t="s">
        <x:v>204</x:v>
      </x:c>
      <x:c r="D12" t="s">
        <x:v>203</x:v>
      </x:c>
      <x:c r="E12">
        <x:v>152.9</x:v>
      </x:c>
      <x:c r="F12">
        <x:v>0.08</x:v>
      </x:c>
      <x:c r="G12">
        <x:v>0.06</x:v>
      </x:c>
    </x:row>
    <x:row r="13">
      <x:c r="A13" t="s">
        <x:v>25</x:v>
      </x:c>
      <x:c r="B13" t="s">
        <x:v>203</x:v>
      </x:c>
      <x:c r="C13" s="18" t="s">
        <x:v>204</x:v>
      </x:c>
      <x:c r="D13" t="s">
        <x:v>203</x:v>
      </x:c>
      <x:c r="E13">
        <x:v>164.8</x:v>
      </x:c>
      <x:c r="F13">
        <x:v>0.09</x:v>
      </x:c>
      <x:c r="G13">
        <x:v>0.06</x:v>
      </x:c>
    </x:row>
    <x:row r="14">
      <x:c r="A14" t="s">
        <x:v>26</x:v>
      </x:c>
      <x:c r="B14" t="s">
        <x:v>203</x:v>
      </x:c>
      <x:c r="C14" s="18" t="s">
        <x:v>204</x:v>
      </x:c>
      <x:c r="D14" t="s">
        <x:v>203</x:v>
      </x:c>
      <x:c r="E14">
        <x:v>788.4</x:v>
      </x:c>
      <x:c r="F14">
        <x:v>0.3</x:v>
      </x:c>
      <x:c r="G14">
        <x:v>0.28999999999999998</x:v>
      </x:c>
    </x:row>
    <x:row r="15">
      <x:c r="A15" t="s">
        <x:v>27</x:v>
      </x:c>
      <x:c r="B15" t="s">
        <x:v>203</x:v>
      </x:c>
      <x:c r="C15" s="18" t="s">
        <x:v>204</x:v>
      </x:c>
      <x:c r="D15" t="s">
        <x:v>203</x:v>
      </x:c>
      <x:c r="E15">
        <x:v>105.5</x:v>
      </x:c>
      <x:c r="F15">
        <x:v>7.0000000000000007E-2</x:v>
      </x:c>
      <x:c r="G15">
        <x:v>0.04</x:v>
      </x:c>
    </x:row>
    <x:row r="16">
      <x:c r="A16" t="s">
        <x:v>28</x:v>
      </x:c>
      <x:c r="B16" t="s">
        <x:v>203</x:v>
      </x:c>
      <x:c r="C16" s="18" t="s">
        <x:v>204</x:v>
      </x:c>
      <x:c r="D16" t="s">
        <x:v>203</x:v>
      </x:c>
      <x:c r="E16">
        <x:v>454.7</x:v>
      </x:c>
      <x:c r="F16">
        <x:v>0.19</x:v>
      </x:c>
      <x:c r="G16">
        <x:v>0.16</x:v>
      </x:c>
    </x:row>
    <x:row r="17">
      <x:c r="A17" t="s">
        <x:v>29</x:v>
      </x:c>
      <x:c r="B17" t="s">
        <x:v>203</x:v>
      </x:c>
      <x:c r="C17" s="18" t="s">
        <x:v>204</x:v>
      </x:c>
      <x:c r="D17" t="s">
        <x:v>203</x:v>
      </x:c>
      <x:c r="E17">
        <x:v>4328.1000000000004</x:v>
      </x:c>
      <x:c r="F17">
        <x:v>1.51</x:v>
      </x:c>
      <x:c r="G17">
        <x:v>1.57</x:v>
      </x:c>
    </x:row>
    <x:row r="18">
      <x:c r="A18" t="s">
        <x:v>30</x:v>
      </x:c>
      <x:c r="B18" t="s">
        <x:v>203</x:v>
      </x:c>
      <x:c r="C18" s="18" t="s">
        <x:v>204</x:v>
      </x:c>
      <x:c r="D18" t="s">
        <x:v>203</x:v>
      </x:c>
      <x:c r="E18">
        <x:v>64.599999999999994</x:v>
      </x:c>
      <x:c r="F18">
        <x:v>0.05</x:v>
      </x:c>
      <x:c r="G18">
        <x:v>0.02</x:v>
      </x:c>
    </x:row>
    <x:row r="19">
      <x:c r="A19" t="s">
        <x:v>31</x:v>
      </x:c>
      <x:c r="B19" t="s">
        <x:v>203</x:v>
      </x:c>
      <x:c r="C19" s="18" t="s">
        <x:v>204</x:v>
      </x:c>
      <x:c r="D19" t="s">
        <x:v>203</x:v>
      </x:c>
      <x:c r="E19">
        <x:v>153.6</x:v>
      </x:c>
      <x:c r="F19">
        <x:v>0.08</x:v>
      </x:c>
      <x:c r="G19">
        <x:v>0.06</x:v>
      </x:c>
    </x:row>
    <x:row r="20">
      <x:c r="A20" t="s">
        <x:v>32</x:v>
      </x:c>
      <x:c r="B20" t="s">
        <x:v>203</x:v>
      </x:c>
      <x:c r="C20" s="18" t="s">
        <x:v>204</x:v>
      </x:c>
      <x:c r="D20" t="s">
        <x:v>203</x:v>
      </x:c>
      <x:c r="E20">
        <x:v>82.9</x:v>
      </x:c>
      <x:c r="F20">
        <x:v>0.06</x:v>
      </x:c>
      <x:c r="G20">
        <x:v>0.03</x:v>
      </x:c>
    </x:row>
    <x:row r="21">
      <x:c r="A21" t="s">
        <x:v>33</x:v>
      </x:c>
      <x:c r="B21" t="s">
        <x:v>203</x:v>
      </x:c>
      <x:c r="C21" s="18" t="s">
        <x:v>204</x:v>
      </x:c>
      <x:c r="D21" t="s">
        <x:v>203</x:v>
      </x:c>
      <x:c r="E21">
        <x:v>312.7</x:v>
      </x:c>
      <x:c r="F21">
        <x:v>0.14000000000000001</x:v>
      </x:c>
      <x:c r="G21">
        <x:v>0.11</x:v>
      </x:c>
    </x:row>
    <x:row r="22">
      <x:c r="A22" t="s">
        <x:v>34</x:v>
      </x:c>
      <x:c r="B22" t="s">
        <x:v>203</x:v>
      </x:c>
      <x:c r="C22" s="18" t="s">
        <x:v>204</x:v>
      </x:c>
      <x:c r="D22" t="s">
        <x:v>203</x:v>
      </x:c>
      <x:c r="E22">
        <x:v>98</x:v>
      </x:c>
      <x:c r="F22">
        <x:v>0.06</x:v>
      </x:c>
      <x:c r="G22">
        <x:v>0.04</x:v>
      </x:c>
    </x:row>
    <x:row r="23">
      <x:c r="A23" t="s">
        <x:v>35</x:v>
      </x:c>
      <x:c r="B23" t="s">
        <x:v>203</x:v>
      </x:c>
      <x:c r="C23" s="18" t="s">
        <x:v>204</x:v>
      </x:c>
      <x:c r="D23" t="s">
        <x:v>203</x:v>
      </x:c>
      <x:c r="E23">
        <x:v>91.6</x:v>
      </x:c>
      <x:c r="F23">
        <x:v>0.06</x:v>
      </x:c>
      <x:c r="G23">
        <x:v>0.03</x:v>
      </x:c>
    </x:row>
    <x:row r="24">
      <x:c r="A24" t="s">
        <x:v>36</x:v>
      </x:c>
      <x:c r="B24" t="s">
        <x:v>203</x:v>
      </x:c>
      <x:c r="C24" s="18" t="s">
        <x:v>204</x:v>
      </x:c>
      <x:c r="D24" t="s">
        <x:v>203</x:v>
      </x:c>
      <x:c r="E24">
        <x:v>6330.5</x:v>
      </x:c>
      <x:c r="F24">
        <x:v>2.2000000000000002</x:v>
      </x:c>
      <x:c r="G24">
        <x:v>2.2999999999999998</x:v>
      </x:c>
    </x:row>
    <x:row r="25">
      <x:c r="A25" t="s">
        <x:v>37</x:v>
      </x:c>
      <x:c r="B25" t="s">
        <x:v>203</x:v>
      </x:c>
      <x:c r="C25" s="18" t="s">
        <x:v>204</x:v>
      </x:c>
      <x:c r="D25" t="s">
        <x:v>203</x:v>
      </x:c>
      <x:c r="E25">
        <x:v>237.3</x:v>
      </x:c>
      <x:c r="F25">
        <x:v>0.11</x:v>
      </x:c>
      <x:c r="G25">
        <x:v>0.09</x:v>
      </x:c>
    </x:row>
    <x:row r="26">
      <x:c r="A26" t="s">
        <x:v>38</x:v>
      </x:c>
      <x:c r="B26" t="s">
        <x:v>203</x:v>
      </x:c>
      <x:c r="C26" s="18" t="s">
        <x:v>204</x:v>
      </x:c>
      <x:c r="D26" t="s">
        <x:v>203</x:v>
      </x:c>
      <x:c r="E26">
        <x:v>760.9</x:v>
      </x:c>
      <x:c r="F26">
        <x:v>0.28999999999999998</x:v>
      </x:c>
      <x:c r="G26">
        <x:v>0.28000000000000003</x:v>
      </x:c>
    </x:row>
    <x:row r="27">
      <x:c r="A27" t="s">
        <x:v>39</x:v>
      </x:c>
      <x:c r="B27" t="s">
        <x:v>203</x:v>
      </x:c>
      <x:c r="C27" s="18" t="s">
        <x:v>204</x:v>
      </x:c>
      <x:c r="D27" t="s">
        <x:v>203</x:v>
      </x:c>
      <x:c r="E27">
        <x:v>153.6</x:v>
      </x:c>
      <x:c r="F27">
        <x:v>0.08</x:v>
      </x:c>
      <x:c r="G27">
        <x:v>0.06</x:v>
      </x:c>
    </x:row>
    <x:row r="28">
      <x:c r="A28" t="s">
        <x:v>40</x:v>
      </x:c>
      <x:c r="B28" t="s">
        <x:v>203</x:v>
      </x:c>
      <x:c r="C28" s="18" t="s">
        <x:v>204</x:v>
      </x:c>
      <x:c r="D28" t="s">
        <x:v>203</x:v>
      </x:c>
      <x:c r="E28">
        <x:v>121.9</x:v>
      </x:c>
      <x:c r="F28">
        <x:v>7.0000000000000007E-2</x:v>
      </x:c>
      <x:c r="G28">
        <x:v>0.04</x:v>
      </x:c>
    </x:row>
    <x:row r="29">
      <x:c r="A29" t="s">
        <x:v>41</x:v>
      </x:c>
      <x:c r="B29" t="s">
        <x:v>203</x:v>
      </x:c>
      <x:c r="C29" s="18" t="s">
        <x:v>204</x:v>
      </x:c>
      <x:c r="D29" t="s">
        <x:v>203</x:v>
      </x:c>
      <x:c r="E29">
        <x:v>83.3</x:v>
      </x:c>
      <x:c r="F29">
        <x:v>0.06</x:v>
      </x:c>
      <x:c r="G29">
        <x:v>0.03</x:v>
      </x:c>
    </x:row>
    <x:row r="30">
      <x:c r="A30" t="s">
        <x:v>42</x:v>
      </x:c>
      <x:c r="B30" t="s">
        <x:v>203</x:v>
      </x:c>
      <x:c r="C30" s="18" t="s">
        <x:v>204</x:v>
      </x:c>
      <x:c r="D30" t="s">
        <x:v>203</x:v>
      </x:c>
      <x:c r="E30">
        <x:v>61.9</x:v>
      </x:c>
      <x:c r="F30">
        <x:v>0.05</x:v>
      </x:c>
      <x:c r="G30">
        <x:v>0.02</x:v>
      </x:c>
    </x:row>
    <x:row r="31">
      <x:c r="A31" t="s">
        <x:v>43</x:v>
      </x:c>
      <x:c r="B31" t="s">
        <x:v>203</x:v>
      </x:c>
      <x:c r="C31" s="18" t="s">
        <x:v>204</x:v>
      </x:c>
      <x:c r="D31" t="s">
        <x:v>203</x:v>
      </x:c>
      <x:c r="E31">
        <x:v>268.5</x:v>
      </x:c>
      <x:c r="F31">
        <x:v>0.12</x:v>
      </x:c>
      <x:c r="G31">
        <x:v>0.1</x:v>
      </x:c>
    </x:row>
    <x:row r="32">
      <x:c r="A32" t="s">
        <x:v>44</x:v>
      </x:c>
      <x:c r="B32" t="s">
        <x:v>203</x:v>
      </x:c>
      <x:c r="C32" s="18" t="s">
        <x:v>204</x:v>
      </x:c>
      <x:c r="D32" t="s">
        <x:v>203</x:v>
      </x:c>
      <x:c r="E32">
        <x:v>7045.5</x:v>
      </x:c>
      <x:c r="F32">
        <x:v>2.44</x:v>
      </x:c>
      <x:c r="G32">
        <x:v>2.56</x:v>
      </x:c>
    </x:row>
    <x:row r="33">
      <x:c r="A33" t="s">
        <x:v>45</x:v>
      </x:c>
      <x:c r="B33" t="s">
        <x:v>203</x:v>
      </x:c>
      <x:c r="C33" s="18" t="s">
        <x:v>204</x:v>
      </x:c>
      <x:c r="D33" t="s">
        <x:v>203</x:v>
      </x:c>
      <x:c r="E33">
        <x:v>118.9</x:v>
      </x:c>
      <x:c r="F33">
        <x:v>7.0000000000000007E-2</x:v>
      </x:c>
      <x:c r="G33">
        <x:v>0.04</x:v>
      </x:c>
    </x:row>
    <x:row r="34">
      <x:c r="A34" t="s">
        <x:v>46</x:v>
      </x:c>
      <x:c r="B34" t="s">
        <x:v>203</x:v>
      </x:c>
      <x:c r="C34" s="18" t="s">
        <x:v>204</x:v>
      </x:c>
      <x:c r="D34" t="s">
        <x:v>203</x:v>
      </x:c>
      <x:c r="E34">
        <x:v>97.5</x:v>
      </x:c>
      <x:c r="F34">
        <x:v>0.06</x:v>
      </x:c>
      <x:c r="G34">
        <x:v>0.04</x:v>
      </x:c>
    </x:row>
    <x:row r="35">
      <x:c r="A35" t="s">
        <x:v>47</x:v>
      </x:c>
      <x:c r="B35" t="s">
        <x:v>203</x:v>
      </x:c>
      <x:c r="C35" s="18" t="s">
        <x:v>204</x:v>
      </x:c>
      <x:c r="D35" t="s">
        <x:v>203</x:v>
      </x:c>
      <x:c r="E35">
        <x:v>1178.7</x:v>
      </x:c>
      <x:c r="F35">
        <x:v>0.43</x:v>
      </x:c>
      <x:c r="G35">
        <x:v>0.43</x:v>
      </x:c>
    </x:row>
    <x:row r="36">
      <x:c r="A36" t="s">
        <x:v>48</x:v>
      </x:c>
      <x:c r="B36" t="s">
        <x:v>203</x:v>
      </x:c>
      <x:c r="C36" s="18" t="s">
        <x:v>204</x:v>
      </x:c>
      <x:c r="D36" t="s">
        <x:v>203</x:v>
      </x:c>
      <x:c r="E36">
        <x:v>16685.900000000001</x:v>
      </x:c>
      <x:c r="F36">
        <x:v>5.75</x:v>
      </x:c>
      <x:c r="G36">
        <x:v>6.05</x:v>
      </x:c>
    </x:row>
    <x:row r="37">
      <x:c r="A37" t="s">
        <x:v>49</x:v>
      </x:c>
      <x:c r="B37" t="s">
        <x:v>203</x:v>
      </x:c>
      <x:c r="C37" s="18" t="s">
        <x:v>204</x:v>
      </x:c>
      <x:c r="D37" t="s">
        <x:v>203</x:v>
      </x:c>
      <x:c r="E37">
        <x:v>1180.5999999999999</x:v>
      </x:c>
      <x:c r="F37">
        <x:v>0.43</x:v>
      </x:c>
      <x:c r="G37">
        <x:v>0.43</x:v>
      </x:c>
    </x:row>
    <x:row r="38">
      <x:c r="A38" t="s">
        <x:v>50</x:v>
      </x:c>
      <x:c r="B38" t="s">
        <x:v>203</x:v>
      </x:c>
      <x:c r="C38" s="18" t="s">
        <x:v>204</x:v>
      </x:c>
      <x:c r="D38" t="s">
        <x:v>203</x:v>
      </x:c>
      <x:c r="E38">
        <x:v>36.9</x:v>
      </x:c>
      <x:c r="F38">
        <x:v>0.04</x:v>
      </x:c>
      <x:c r="G38">
        <x:v>0.01</x:v>
      </x:c>
    </x:row>
    <x:row r="39">
      <x:c r="A39" t="s">
        <x:v>51</x:v>
      </x:c>
      <x:c r="B39" t="s">
        <x:v>203</x:v>
      </x:c>
      <x:c r="C39" s="18" t="s">
        <x:v>204</x:v>
      </x:c>
      <x:c r="D39" t="s">
        <x:v>203</x:v>
      </x:c>
      <x:c r="E39">
        <x:v>341.6</x:v>
      </x:c>
      <x:c r="F39">
        <x:v>0.15</x:v>
      </x:c>
      <x:c r="G39">
        <x:v>0.12</x:v>
      </x:c>
    </x:row>
    <x:row r="40">
      <x:c r="A40" t="s">
        <x:v>52</x:v>
      </x:c>
      <x:c r="B40" t="s">
        <x:v>203</x:v>
      </x:c>
      <x:c r="C40" s="18" t="s">
        <x:v>204</x:v>
      </x:c>
      <x:c r="D40" t="s">
        <x:v>203</x:v>
      </x:c>
      <x:c r="E40">
        <x:v>105.1</x:v>
      </x:c>
      <x:c r="F40">
        <x:v>7.0000000000000007E-2</x:v>
      </x:c>
      <x:c r="G40">
        <x:v>0.04</x:v>
      </x:c>
    </x:row>
    <x:row r="41">
      <x:c r="A41" t="s">
        <x:v>53</x:v>
      </x:c>
      <x:c r="B41" t="s">
        <x:v>203</x:v>
      </x:c>
      <x:c r="C41" s="18" t="s">
        <x:v>204</x:v>
      </x:c>
      <x:c r="D41" t="s">
        <x:v>203</x:v>
      </x:c>
      <x:c r="E41">
        <x:v>139.19999999999999</x:v>
      </x:c>
      <x:c r="F41">
        <x:v>0.08</x:v>
      </x:c>
      <x:c r="G41">
        <x:v>0.05</x:v>
      </x:c>
    </x:row>
    <x:row r="42">
      <x:c r="A42" t="s">
        <x:v>54</x:v>
      </x:c>
      <x:c r="B42" t="s">
        <x:v>203</x:v>
      </x:c>
      <x:c r="C42" s="18" t="s">
        <x:v>204</x:v>
      </x:c>
      <x:c r="D42" t="s">
        <x:v>203</x:v>
      </x:c>
      <x:c r="E42">
        <x:v>427.3</x:v>
      </x:c>
      <x:c r="F42">
        <x:v>0.18</x:v>
      </x:c>
      <x:c r="G42">
        <x:v>0.16</x:v>
      </x:c>
    </x:row>
    <x:row r="43">
      <x:c r="A43" t="s">
        <x:v>55</x:v>
      </x:c>
      <x:c r="B43" t="s">
        <x:v>203</x:v>
      </x:c>
      <x:c r="C43" s="18" t="s">
        <x:v>204</x:v>
      </x:c>
      <x:c r="D43" t="s">
        <x:v>203</x:v>
      </x:c>
      <x:c r="E43">
        <x:v>337.6</x:v>
      </x:c>
      <x:c r="F43">
        <x:v>0.15</x:v>
      </x:c>
      <x:c r="G43">
        <x:v>0.12</x:v>
      </x:c>
    </x:row>
    <x:row r="44">
      <x:c r="A44" t="s">
        <x:v>56</x:v>
      </x:c>
      <x:c r="B44" t="s">
        <x:v>203</x:v>
      </x:c>
      <x:c r="C44" s="18" t="s">
        <x:v>204</x:v>
      </x:c>
      <x:c r="D44" t="s">
        <x:v>203</x:v>
      </x:c>
      <x:c r="E44">
        <x:v>211.1</x:v>
      </x:c>
      <x:c r="F44">
        <x:v>0.1</x:v>
      </x:c>
      <x:c r="G44">
        <x:v>0.08</x:v>
      </x:c>
    </x:row>
    <x:row r="45">
      <x:c r="A45" t="s">
        <x:v>57</x:v>
      </x:c>
      <x:c r="B45" t="s">
        <x:v>203</x:v>
      </x:c>
      <x:c r="C45" s="18" t="s">
        <x:v>204</x:v>
      </x:c>
      <x:c r="D45" t="s">
        <x:v>203</x:v>
      </x:c>
      <x:c r="E45">
        <x:v>945.1</x:v>
      </x:c>
      <x:c r="F45">
        <x:v>0.35</x:v>
      </x:c>
      <x:c r="G45">
        <x:v>0.34</x:v>
      </x:c>
    </x:row>
    <x:row r="46">
      <x:c r="A46" t="s">
        <x:v>58</x:v>
      </x:c>
      <x:c r="B46" t="s">
        <x:v>203</x:v>
      </x:c>
      <x:c r="C46" s="18" t="s">
        <x:v>204</x:v>
      </x:c>
      <x:c r="D46" t="s">
        <x:v>203</x:v>
      </x:c>
      <x:c r="E46">
        <x:v>2106.1</x:v>
      </x:c>
      <x:c r="F46">
        <x:v>0.75</x:v>
      </x:c>
      <x:c r="G46">
        <x:v>0.76</x:v>
      </x:c>
    </x:row>
    <x:row r="47">
      <x:c r="A47" t="s">
        <x:v>59</x:v>
      </x:c>
      <x:c r="B47" t="s">
        <x:v>203</x:v>
      </x:c>
      <x:c r="C47" s="18" t="s">
        <x:v>204</x:v>
      </x:c>
      <x:c r="D47" t="s">
        <x:v>203</x:v>
      </x:c>
      <x:c r="E47">
        <x:v>89.6</x:v>
      </x:c>
      <x:c r="F47">
        <x:v>0.06</x:v>
      </x:c>
      <x:c r="G47">
        <x:v>0.03</x:v>
      </x:c>
    </x:row>
    <x:row r="48">
      <x:c r="A48" t="s">
        <x:v>60</x:v>
      </x:c>
      <x:c r="B48" t="s">
        <x:v>203</x:v>
      </x:c>
      <x:c r="C48" s="18" t="s">
        <x:v>204</x:v>
      </x:c>
      <x:c r="D48" t="s">
        <x:v>203</x:v>
      </x:c>
      <x:c r="E48">
        <x:v>69.900000000000006</x:v>
      </x:c>
      <x:c r="F48">
        <x:v>0.05</x:v>
      </x:c>
      <x:c r="G48">
        <x:v>0.03</x:v>
      </x:c>
    </x:row>
    <x:row r="49">
      <x:c r="A49" t="s">
        <x:v>61</x:v>
      </x:c>
      <x:c r="B49" t="s">
        <x:v>203</x:v>
      </x:c>
      <x:c r="C49" s="18" t="s">
        <x:v>204</x:v>
      </x:c>
      <x:c r="D49" t="s">
        <x:v>203</x:v>
      </x:c>
      <x:c r="E49">
        <x:v>314.2</x:v>
      </x:c>
      <x:c r="F49">
        <x:v>0.14000000000000001</x:v>
      </x:c>
      <x:c r="G49">
        <x:v>0.11</x:v>
      </x:c>
    </x:row>
    <x:row r="50">
      <x:c r="A50" t="s">
        <x:v>62</x:v>
      </x:c>
      <x:c r="B50" t="s">
        <x:v>203</x:v>
      </x:c>
      <x:c r="C50" s="18" t="s">
        <x:v>204</x:v>
      </x:c>
      <x:c r="D50" t="s">
        <x:v>203</x:v>
      </x:c>
      <x:c r="E50">
        <x:v>452.3</x:v>
      </x:c>
      <x:c r="F50">
        <x:v>0.18</x:v>
      </x:c>
      <x:c r="G50">
        <x:v>0.16</x:v>
      </x:c>
    </x:row>
    <x:row r="51">
      <x:c r="A51" t="s">
        <x:v>63</x:v>
      </x:c>
      <x:c r="B51" t="s">
        <x:v>203</x:v>
      </x:c>
      <x:c r="C51" s="18" t="s">
        <x:v>204</x:v>
      </x:c>
      <x:c r="D51" t="s">
        <x:v>203</x:v>
      </x:c>
      <x:c r="E51">
        <x:v>1299.9000000000001</x:v>
      </x:c>
      <x:c r="F51">
        <x:v>0.47</x:v>
      </x:c>
      <x:c r="G51">
        <x:v>0.47</x:v>
      </x:c>
    </x:row>
    <x:row r="52">
      <x:c r="A52" t="s">
        <x:v>64</x:v>
      </x:c>
      <x:c r="B52" t="s">
        <x:v>203</x:v>
      </x:c>
      <x:c r="C52" s="18" t="s">
        <x:v>204</x:v>
      </x:c>
      <x:c r="D52" t="s">
        <x:v>203</x:v>
      </x:c>
      <x:c r="E52">
        <x:v>55.2</x:v>
      </x:c>
      <x:c r="F52">
        <x:v>0.05</x:v>
      </x:c>
      <x:c r="G52">
        <x:v>0.02</x:v>
      </x:c>
    </x:row>
    <x:row r="53">
      <x:c r="A53" t="s">
        <x:v>65</x:v>
      </x:c>
      <x:c r="B53" t="s">
        <x:v>203</x:v>
      </x:c>
      <x:c r="C53" s="18" t="s">
        <x:v>204</x:v>
      </x:c>
      <x:c r="D53" t="s">
        <x:v>203</x:v>
      </x:c>
      <x:c r="E53">
        <x:v>86</x:v>
      </x:c>
      <x:c r="F53">
        <x:v>0.06</x:v>
      </x:c>
      <x:c r="G53">
        <x:v>0.03</x:v>
      </x:c>
    </x:row>
    <x:row r="54">
      <x:c r="A54" t="s">
        <x:v>66</x:v>
      </x:c>
      <x:c r="B54" t="s">
        <x:v>203</x:v>
      </x:c>
      <x:c r="C54" s="18" t="s">
        <x:v>204</x:v>
      </x:c>
      <x:c r="D54" t="s">
        <x:v>203</x:v>
      </x:c>
      <x:c r="E54">
        <x:v>59.3</x:v>
      </x:c>
      <x:c r="F54">
        <x:v>0.05</x:v>
      </x:c>
      <x:c r="G54">
        <x:v>0.02</x:v>
      </x:c>
    </x:row>
    <x:row r="55">
      <x:c r="A55" t="s">
        <x:v>67</x:v>
      </x:c>
      <x:c r="B55" t="s">
        <x:v>203</x:v>
      </x:c>
      <x:c r="C55" s="18" t="s">
        <x:v>204</x:v>
      </x:c>
      <x:c r="D55" t="s">
        <x:v>203</x:v>
      </x:c>
      <x:c r="E55">
        <x:v>137.19999999999999</x:v>
      </x:c>
      <x:c r="F55">
        <x:v>0.08</x:v>
      </x:c>
      <x:c r="G55">
        <x:v>0.05</x:v>
      </x:c>
    </x:row>
    <x:row r="56">
      <x:c r="A56" t="s">
        <x:v>68</x:v>
      </x:c>
      <x:c r="B56" t="s">
        <x:v>203</x:v>
      </x:c>
      <x:c r="C56" s="18" t="s">
        <x:v>204</x:v>
      </x:c>
      <x:c r="D56" t="s">
        <x:v>203</x:v>
      </x:c>
      <x:c r="E56">
        <x:v>60.9</x:v>
      </x:c>
      <x:c r="F56">
        <x:v>0.05</x:v>
      </x:c>
      <x:c r="G56">
        <x:v>0.02</x:v>
      </x:c>
    </x:row>
    <x:row r="57">
      <x:c r="A57" t="s">
        <x:v>69</x:v>
      </x:c>
      <x:c r="B57" t="s">
        <x:v>203</x:v>
      </x:c>
      <x:c r="C57" s="18" t="s">
        <x:v>204</x:v>
      </x:c>
      <x:c r="D57" t="s">
        <x:v>203</x:v>
      </x:c>
      <x:c r="E57">
        <x:v>182.9</x:v>
      </x:c>
      <x:c r="F57">
        <x:v>0.09</x:v>
      </x:c>
      <x:c r="G57">
        <x:v>7.0000000000000007E-2</x:v>
      </x:c>
    </x:row>
    <x:row r="58">
      <x:c r="A58" t="s">
        <x:v>70</x:v>
      </x:c>
      <x:c r="B58" t="s">
        <x:v>203</x:v>
      </x:c>
      <x:c r="C58" s="18" t="s">
        <x:v>204</x:v>
      </x:c>
      <x:c r="D58" t="s">
        <x:v>203</x:v>
      </x:c>
      <x:c r="E58">
        <x:v>140.69999999999999</x:v>
      </x:c>
      <x:c r="F58">
        <x:v>0.08</x:v>
      </x:c>
      <x:c r="G58">
        <x:v>0.05</x:v>
      </x:c>
    </x:row>
    <x:row r="59">
      <x:c r="A59" t="s">
        <x:v>71</x:v>
      </x:c>
      <x:c r="B59" t="s">
        <x:v>203</x:v>
      </x:c>
      <x:c r="C59" s="18" t="s">
        <x:v>204</x:v>
      </x:c>
      <x:c r="D59" t="s">
        <x:v>203</x:v>
      </x:c>
      <x:c r="E59">
        <x:v>1372.6</x:v>
      </x:c>
      <x:c r="F59">
        <x:v>0.5</x:v>
      </x:c>
      <x:c r="G59">
        <x:v>0.5</x:v>
      </x:c>
    </x:row>
    <x:row r="60">
      <x:c r="A60" t="s">
        <x:v>72</x:v>
      </x:c>
      <x:c r="B60" t="s">
        <x:v>203</x:v>
      </x:c>
      <x:c r="C60" s="18" t="s">
        <x:v>204</x:v>
      </x:c>
      <x:c r="D60" t="s">
        <x:v>203</x:v>
      </x:c>
      <x:c r="E60">
        <x:v>10861.1</x:v>
      </x:c>
      <x:c r="F60">
        <x:v>3.75</x:v>
      </x:c>
      <x:c r="G60">
        <x:v>3.94</x:v>
      </x:c>
    </x:row>
    <x:row r="61">
      <x:c r="A61" t="s">
        <x:v>73</x:v>
      </x:c>
      <x:c r="B61" t="s">
        <x:v>203</x:v>
      </x:c>
      <x:c r="C61" s="18" t="s">
        <x:v>204</x:v>
      </x:c>
      <x:c r="D61" t="s">
        <x:v>203</x:v>
      </x:c>
      <x:c r="E61">
        <x:v>114.5</x:v>
      </x:c>
      <x:c r="F61">
        <x:v>7.0000000000000007E-2</x:v>
      </x:c>
      <x:c r="G61">
        <x:v>0.04</x:v>
      </x:c>
    </x:row>
    <x:row r="62">
      <x:c r="A62" t="s">
        <x:v>74</x:v>
      </x:c>
      <x:c r="B62" t="s">
        <x:v>203</x:v>
      </x:c>
      <x:c r="C62" s="18" t="s">
        <x:v>204</x:v>
      </x:c>
      <x:c r="D62" t="s">
        <x:v>203</x:v>
      </x:c>
      <x:c r="E62">
        <x:v>77.7</x:v>
      </x:c>
      <x:c r="F62">
        <x:v>0.06</x:v>
      </x:c>
      <x:c r="G62">
        <x:v>0.03</x:v>
      </x:c>
    </x:row>
    <x:row r="63">
      <x:c r="A63" t="s">
        <x:v>75</x:v>
      </x:c>
      <x:c r="B63" t="s">
        <x:v>203</x:v>
      </x:c>
      <x:c r="C63" s="18" t="s">
        <x:v>204</x:v>
      </x:c>
      <x:c r="D63" t="s">
        <x:v>203</x:v>
      </x:c>
      <x:c r="E63">
        <x:v>259</x:v>
      </x:c>
      <x:c r="F63">
        <x:v>0.12</x:v>
      </x:c>
      <x:c r="G63">
        <x:v>0.09</x:v>
      </x:c>
    </x:row>
    <x:row r="64">
      <x:c r="A64" t="s">
        <x:v>76</x:v>
      </x:c>
      <x:c r="B64" t="s">
        <x:v>203</x:v>
      </x:c>
      <x:c r="C64" s="18" t="s">
        <x:v>204</x:v>
      </x:c>
      <x:c r="D64" t="s">
        <x:v>203</x:v>
      </x:c>
      <x:c r="E64">
        <x:v>11857.8</x:v>
      </x:c>
      <x:c r="F64">
        <x:v>4.09</x:v>
      </x:c>
      <x:c r="G64">
        <x:v>4.3</x:v>
      </x:c>
    </x:row>
    <x:row r="65">
      <x:c r="A65" t="s">
        <x:v>77</x:v>
      </x:c>
      <x:c r="B65" t="s">
        <x:v>203</x:v>
      </x:c>
      <x:c r="C65" s="18" t="s">
        <x:v>204</x:v>
      </x:c>
      <x:c r="D65" t="s">
        <x:v>203</x:v>
      </x:c>
      <x:c r="E65">
        <x:v>268.5</x:v>
      </x:c>
      <x:c r="F65">
        <x:v>0.12</x:v>
      </x:c>
      <x:c r="G65">
        <x:v>0.1</x:v>
      </x:c>
    </x:row>
    <x:row r="66">
      <x:c r="A66" t="s">
        <x:v>78</x:v>
      </x:c>
      <x:c r="B66" t="s">
        <x:v>203</x:v>
      </x:c>
      <x:c r="C66" s="18" t="s">
        <x:v>204</x:v>
      </x:c>
      <x:c r="D66" t="s">
        <x:v>203</x:v>
      </x:c>
      <x:c r="E66">
        <x:v>446</x:v>
      </x:c>
      <x:c r="F66">
        <x:v>0.18</x:v>
      </x:c>
      <x:c r="G66">
        <x:v>0.16</x:v>
      </x:c>
    </x:row>
    <x:row r="67">
      <x:c r="A67" t="s">
        <x:v>79</x:v>
      </x:c>
      <x:c r="B67" t="s">
        <x:v>203</x:v>
      </x:c>
      <x:c r="C67" s="18" t="s">
        <x:v>204</x:v>
      </x:c>
      <x:c r="D67" t="s">
        <x:v>203</x:v>
      </x:c>
      <x:c r="E67">
        <x:v>73.900000000000006</x:v>
      </x:c>
      <x:c r="F67">
        <x:v>0.05</x:v>
      </x:c>
      <x:c r="G67">
        <x:v>0.03</x:v>
      </x:c>
    </x:row>
    <x:row r="68">
      <x:c r="A68" t="s">
        <x:v>80</x:v>
      </x:c>
      <x:c r="B68" t="s">
        <x:v>203</x:v>
      </x:c>
      <x:c r="C68" s="18" t="s">
        <x:v>204</x:v>
      </x:c>
      <x:c r="D68" t="s">
        <x:v>203</x:v>
      </x:c>
      <x:c r="E68">
        <x:v>200.1</x:v>
      </x:c>
      <x:c r="F68">
        <x:v>0.1</x:v>
      </x:c>
      <x:c r="G68">
        <x:v>7.0000000000000007E-2</x:v>
      </x:c>
    </x:row>
    <x:row r="69">
      <x:c r="A69" t="s">
        <x:v>81</x:v>
      </x:c>
      <x:c r="B69" t="s">
        <x:v>203</x:v>
      </x:c>
      <x:c r="C69" s="18" t="s">
        <x:v>204</x:v>
      </x:c>
      <x:c r="D69" t="s">
        <x:v>203</x:v>
      </x:c>
      <x:c r="E69">
        <x:v>227.3</x:v>
      </x:c>
      <x:c r="F69">
        <x:v>0.11</x:v>
      </x:c>
      <x:c r="G69">
        <x:v>0.08</x:v>
      </x:c>
    </x:row>
    <x:row r="70">
      <x:c r="A70" t="s">
        <x:v>82</x:v>
      </x:c>
      <x:c r="B70" t="s">
        <x:v>203</x:v>
      </x:c>
      <x:c r="C70" s="18" t="s">
        <x:v>204</x:v>
      </x:c>
      <x:c r="D70" t="s">
        <x:v>203</x:v>
      </x:c>
      <x:c r="E70">
        <x:v>61.3</x:v>
      </x:c>
      <x:c r="F70">
        <x:v>0.05</x:v>
      </x:c>
      <x:c r="G70">
        <x:v>0.02</x:v>
      </x:c>
    </x:row>
    <x:row r="71">
      <x:c r="A71" t="s">
        <x:v>83</x:v>
      </x:c>
      <x:c r="B71" t="s">
        <x:v>203</x:v>
      </x:c>
      <x:c r="C71" s="18" t="s">
        <x:v>204</x:v>
      </x:c>
      <x:c r="D71" t="s">
        <x:v>203</x:v>
      </x:c>
      <x:c r="E71">
        <x:v>172.4</x:v>
      </x:c>
      <x:c r="F71">
        <x:v>0.09</x:v>
      </x:c>
      <x:c r="G71">
        <x:v>0.06</x:v>
      </x:c>
    </x:row>
    <x:row r="72">
      <x:c r="A72" t="s">
        <x:v>84</x:v>
      </x:c>
      <x:c r="B72" t="s">
        <x:v>203</x:v>
      </x:c>
      <x:c r="C72" s="18" t="s">
        <x:v>204</x:v>
      </x:c>
      <x:c r="D72" t="s">
        <x:v>203</x:v>
      </x:c>
      <x:c r="E72">
        <x:v>189</x:v>
      </x:c>
      <x:c r="F72">
        <x:v>0.09</x:v>
      </x:c>
      <x:c r="G72">
        <x:v>7.0000000000000007E-2</x:v>
      </x:c>
    </x:row>
    <x:row r="73">
      <x:c r="A73" t="s">
        <x:v>85</x:v>
      </x:c>
      <x:c r="B73" t="s">
        <x:v>203</x:v>
      </x:c>
      <x:c r="C73" s="18" t="s">
        <x:v>204</x:v>
      </x:c>
      <x:c r="D73" t="s">
        <x:v>203</x:v>
      </x:c>
      <x:c r="E73">
        <x:v>78.2</x:v>
      </x:c>
      <x:c r="F73">
        <x:v>0.06</x:v>
      </x:c>
      <x:c r="G73">
        <x:v>0.03</x:v>
      </x:c>
    </x:row>
    <x:row r="74">
      <x:c r="A74" t="s">
        <x:v>86</x:v>
      </x:c>
      <x:c r="B74" t="s">
        <x:v>203</x:v>
      </x:c>
      <x:c r="C74" s="18" t="s">
        <x:v>204</x:v>
      </x:c>
      <x:c r="D74" t="s">
        <x:v>203</x:v>
      </x:c>
      <x:c r="E74">
        <x:v>1245.5999999999999</x:v>
      </x:c>
      <x:c r="F74">
        <x:v>0.46</x:v>
      </x:c>
      <x:c r="G74">
        <x:v>0.45</x:v>
      </x:c>
    </x:row>
    <x:row r="75">
      <x:c r="A75" t="s">
        <x:v>87</x:v>
      </x:c>
      <x:c r="B75" t="s">
        <x:v>203</x:v>
      </x:c>
      <x:c r="C75" s="18" t="s">
        <x:v>204</x:v>
      </x:c>
      <x:c r="D75" t="s">
        <x:v>203</x:v>
      </x:c>
      <x:c r="E75">
        <x:v>197.5</x:v>
      </x:c>
      <x:c r="F75">
        <x:v>0.1</x:v>
      </x:c>
      <x:c r="G75">
        <x:v>7.0000000000000007E-2</x:v>
      </x:c>
    </x:row>
    <x:row r="76">
      <x:c r="A76" t="s">
        <x:v>88</x:v>
      </x:c>
      <x:c r="B76" t="s">
        <x:v>203</x:v>
      </x:c>
      <x:c r="C76" s="18" t="s">
        <x:v>204</x:v>
      </x:c>
      <x:c r="D76" t="s">
        <x:v>203</x:v>
      </x:c>
      <x:c r="E76">
        <x:v>8517.5</x:v>
      </x:c>
      <x:c r="F76">
        <x:v>2.95</x:v>
      </x:c>
      <x:c r="G76">
        <x:v>3.09</x:v>
      </x:c>
    </x:row>
    <x:row r="77">
      <x:c r="A77" t="s">
        <x:v>89</x:v>
      </x:c>
      <x:c r="B77" t="s">
        <x:v>203</x:v>
      </x:c>
      <x:c r="C77" s="18" t="s">
        <x:v>204</x:v>
      </x:c>
      <x:c r="D77" t="s">
        <x:v>203</x:v>
      </x:c>
      <x:c r="E77">
        <x:v>2886.3</x:v>
      </x:c>
      <x:c r="F77">
        <x:v>1.02</x:v>
      </x:c>
      <x:c r="G77">
        <x:v>1.05</x:v>
      </x:c>
    </x:row>
    <x:row r="78">
      <x:c r="A78" t="s">
        <x:v>90</x:v>
      </x:c>
      <x:c r="B78" t="s">
        <x:v>203</x:v>
      </x:c>
      <x:c r="C78" s="18" t="s">
        <x:v>204</x:v>
      </x:c>
      <x:c r="D78" t="s">
        <x:v>203</x:v>
      </x:c>
      <x:c r="E78">
        <x:v>3830</x:v>
      </x:c>
      <x:c r="F78">
        <x:v>1.34</x:v>
      </x:c>
      <x:c r="G78">
        <x:v>1.39</x:v>
      </x:c>
    </x:row>
    <x:row r="79">
      <x:c r="A79" t="s">
        <x:v>91</x:v>
      </x:c>
      <x:c r="B79" t="s">
        <x:v>203</x:v>
      </x:c>
      <x:c r="C79" s="18" t="s">
        <x:v>204</x:v>
      </x:c>
      <x:c r="D79" t="s">
        <x:v>203</x:v>
      </x:c>
      <x:c r="E79">
        <x:v>508.5</x:v>
      </x:c>
      <x:c r="F79">
        <x:v>0.2</x:v>
      </x:c>
      <x:c r="G79">
        <x:v>0.18</x:v>
      </x:c>
    </x:row>
    <x:row r="80">
      <x:c r="A80" t="s">
        <x:v>92</x:v>
      </x:c>
      <x:c r="B80" t="s">
        <x:v>203</x:v>
      </x:c>
      <x:c r="C80" s="18" t="s">
        <x:v>204</x:v>
      </x:c>
      <x:c r="D80" t="s">
        <x:v>203</x:v>
      </x:c>
      <x:c r="E80">
        <x:v>941.5</x:v>
      </x:c>
      <x:c r="F80">
        <x:v>0.35</x:v>
      </x:c>
      <x:c r="G80">
        <x:v>0.34</x:v>
      </x:c>
    </x:row>
    <x:row r="81">
      <x:c r="A81" t="s">
        <x:v>93</x:v>
      </x:c>
      <x:c r="B81" t="s">
        <x:v>203</x:v>
      </x:c>
      <x:c r="C81" s="18" t="s">
        <x:v>204</x:v>
      </x:c>
      <x:c r="D81" t="s">
        <x:v>203</x:v>
      </x:c>
      <x:c r="E81">
        <x:v>738.6</x:v>
      </x:c>
      <x:c r="F81">
        <x:v>0.28000000000000003</x:v>
      </x:c>
      <x:c r="G81">
        <x:v>0.27</x:v>
      </x:c>
    </x:row>
    <x:row r="82">
      <x:c r="A82" t="s">
        <x:v>94</x:v>
      </x:c>
      <x:c r="B82" t="s">
        <x:v>203</x:v>
      </x:c>
      <x:c r="C82" s="18" t="s">
        <x:v>204</x:v>
      </x:c>
      <x:c r="D82" t="s">
        <x:v>203</x:v>
      </x:c>
      <x:c r="E82">
        <x:v>7614.4</x:v>
      </x:c>
      <x:c r="F82">
        <x:v>2.64</x:v>
      </x:c>
      <x:c r="G82">
        <x:v>2.76</x:v>
      </x:c>
    </x:row>
    <x:row r="83">
      <x:c r="A83" t="s">
        <x:v>95</x:v>
      </x:c>
      <x:c r="B83" t="s">
        <x:v>203</x:v>
      </x:c>
      <x:c r="C83" s="18" t="s">
        <x:v>204</x:v>
      </x:c>
      <x:c r="D83" t="s">
        <x:v>203</x:v>
      </x:c>
      <x:c r="E83">
        <x:v>374.1</x:v>
      </x:c>
      <x:c r="F83">
        <x:v>0.16</x:v>
      </x:c>
      <x:c r="G83">
        <x:v>0.14000000000000001</x:v>
      </x:c>
    </x:row>
    <x:row r="84">
      <x:c r="A84" t="s">
        <x:v>96</x:v>
      </x:c>
      <x:c r="B84" t="s">
        <x:v>203</x:v>
      </x:c>
      <x:c r="C84" s="18" t="s">
        <x:v>204</x:v>
      </x:c>
      <x:c r="D84" t="s">
        <x:v>203</x:v>
      </x:c>
      <x:c r="E84">
        <x:v>19988.5</x:v>
      </x:c>
      <x:c r="F84">
        <x:v>6.88</x:v>
      </x:c>
      <x:c r="G84">
        <x:v>7.25</x:v>
      </x:c>
    </x:row>
    <x:row r="85">
      <x:c r="A85" t="s">
        <x:v>97</x:v>
      </x:c>
      <x:c r="B85" t="s">
        <x:v>203</x:v>
      </x:c>
      <x:c r="C85" s="18" t="s">
        <x:v>204</x:v>
      </x:c>
      <x:c r="D85" t="s">
        <x:v>203</x:v>
      </x:c>
      <x:c r="E85">
        <x:v>233.7</x:v>
      </x:c>
      <x:c r="F85">
        <x:v>0.11</x:v>
      </x:c>
      <x:c r="G85">
        <x:v>0.08</x:v>
      </x:c>
    </x:row>
    <x:row r="86">
      <x:c r="A86" t="s">
        <x:v>98</x:v>
      </x:c>
      <x:c r="B86" t="s">
        <x:v>203</x:v>
      </x:c>
      <x:c r="C86" s="18" t="s">
        <x:v>204</x:v>
      </x:c>
      <x:c r="D86" t="s">
        <x:v>203</x:v>
      </x:c>
      <x:c r="E86">
        <x:v>457.3</x:v>
      </x:c>
      <x:c r="F86">
        <x:v>0.19</x:v>
      </x:c>
      <x:c r="G86">
        <x:v>0.17</x:v>
      </x:c>
    </x:row>
    <x:row r="87">
      <x:c r="A87" t="s">
        <x:v>99</x:v>
      </x:c>
      <x:c r="B87" t="s">
        <x:v>203</x:v>
      </x:c>
      <x:c r="C87" s="18" t="s">
        <x:v>204</x:v>
      </x:c>
      <x:c r="D87" t="s">
        <x:v>203</x:v>
      </x:c>
      <x:c r="E87">
        <x:v>418.7</x:v>
      </x:c>
      <x:c r="F87">
        <x:v>0.17</x:v>
      </x:c>
      <x:c r="G87">
        <x:v>0.15</x:v>
      </x:c>
    </x:row>
    <x:row r="88">
      <x:c r="A88" t="s">
        <x:v>100</x:v>
      </x:c>
      <x:c r="B88" t="s">
        <x:v>203</x:v>
      </x:c>
      <x:c r="C88" s="18" t="s">
        <x:v>204</x:v>
      </x:c>
      <x:c r="D88" t="s">
        <x:v>203</x:v>
      </x:c>
      <x:c r="E88">
        <x:v>82.9</x:v>
      </x:c>
      <x:c r="F88">
        <x:v>0.06</x:v>
      </x:c>
      <x:c r="G88">
        <x:v>0.03</x:v>
      </x:c>
    </x:row>
    <x:row r="89">
      <x:c r="A89" t="s">
        <x:v>101</x:v>
      </x:c>
      <x:c r="B89" t="s">
        <x:v>203</x:v>
      </x:c>
      <x:c r="C89" s="18" t="s">
        <x:v>204</x:v>
      </x:c>
      <x:c r="D89" t="s">
        <x:v>203</x:v>
      </x:c>
      <x:c r="E89">
        <x:v>4528.5</x:v>
      </x:c>
      <x:c r="F89">
        <x:v>1.58</x:v>
      </x:c>
      <x:c r="G89">
        <x:v>1.64</x:v>
      </x:c>
    </x:row>
    <x:row r="90">
      <x:c r="A90" t="s">
        <x:v>102</x:v>
      </x:c>
      <x:c r="B90" t="s">
        <x:v>203</x:v>
      </x:c>
      <x:c r="C90" s="18" t="s">
        <x:v>204</x:v>
      </x:c>
      <x:c r="D90" t="s">
        <x:v>203</x:v>
      </x:c>
      <x:c r="E90">
        <x:v>153.80000000000001</x:v>
      </x:c>
      <x:c r="F90">
        <x:v>0.08</x:v>
      </x:c>
      <x:c r="G90">
        <x:v>0.06</x:v>
      </x:c>
    </x:row>
    <x:row r="91">
      <x:c r="A91" t="s">
        <x:v>103</x:v>
      </x:c>
      <x:c r="B91" t="s">
        <x:v>203</x:v>
      </x:c>
      <x:c r="C91" s="18" t="s">
        <x:v>204</x:v>
      </x:c>
      <x:c r="D91" t="s">
        <x:v>203</x:v>
      </x:c>
      <x:c r="E91">
        <x:v>2245.8000000000002</x:v>
      </x:c>
      <x:c r="F91">
        <x:v>0.8</x:v>
      </x:c>
      <x:c r="G91">
        <x:v>0.81</x:v>
      </x:c>
    </x:row>
    <x:row r="92">
      <x:c r="A92" t="s">
        <x:v>104</x:v>
      </x:c>
      <x:c r="B92" t="s">
        <x:v>203</x:v>
      </x:c>
      <x:c r="C92" s="18" t="s">
        <x:v>204</x:v>
      </x:c>
      <x:c r="D92" t="s">
        <x:v>203</x:v>
      </x:c>
      <x:c r="E92">
        <x:v>135.1</x:v>
      </x:c>
      <x:c r="F92">
        <x:v>0.08</x:v>
      </x:c>
      <x:c r="G92">
        <x:v>0.05</x:v>
      </x:c>
    </x:row>
    <x:row r="93">
      <x:c r="A93" t="s">
        <x:v>105</x:v>
      </x:c>
      <x:c r="B93" t="s">
        <x:v>203</x:v>
      </x:c>
      <x:c r="C93" s="18" t="s">
        <x:v>204</x:v>
      </x:c>
      <x:c r="D93" t="s">
        <x:v>203</x:v>
      </x:c>
      <x:c r="E93">
        <x:v>35.5</x:v>
      </x:c>
      <x:c r="F93">
        <x:v>0.04</x:v>
      </x:c>
      <x:c r="G93">
        <x:v>0.01</x:v>
      </x:c>
    </x:row>
    <x:row r="94">
      <x:c r="A94" t="s">
        <x:v>106</x:v>
      </x:c>
      <x:c r="B94" t="s">
        <x:v>203</x:v>
      </x:c>
      <x:c r="C94" s="18" t="s">
        <x:v>204</x:v>
      </x:c>
      <x:c r="D94" t="s">
        <x:v>203</x:v>
      </x:c>
      <x:c r="E94">
        <x:v>202.7</x:v>
      </x:c>
      <x:c r="F94">
        <x:v>0.1</x:v>
      </x:c>
      <x:c r="G94">
        <x:v>7.0000000000000007E-2</x:v>
      </x:c>
    </x:row>
    <x:row r="95">
      <x:c r="A95" t="s">
        <x:v>107</x:v>
      </x:c>
      <x:c r="B95" t="s">
        <x:v>203</x:v>
      </x:c>
      <x:c r="C95" s="18" t="s">
        <x:v>204</x:v>
      </x:c>
      <x:c r="D95" t="s">
        <x:v>203</x:v>
      </x:c>
      <x:c r="E95">
        <x:v>106.2</x:v>
      </x:c>
      <x:c r="F95">
        <x:v>7.0000000000000007E-2</x:v>
      </x:c>
      <x:c r="G95">
        <x:v>0.04</x:v>
      </x:c>
    </x:row>
    <x:row r="96">
      <x:c r="A96" t="s">
        <x:v>108</x:v>
      </x:c>
      <x:c r="B96" t="s">
        <x:v>203</x:v>
      </x:c>
      <x:c r="C96" s="18" t="s">
        <x:v>204</x:v>
      </x:c>
      <x:c r="D96" t="s">
        <x:v>203</x:v>
      </x:c>
      <x:c r="E96">
        <x:v>115.4</x:v>
      </x:c>
      <x:c r="F96">
        <x:v>7.0000000000000007E-2</x:v>
      </x:c>
      <x:c r="G96">
        <x:v>0.04</x:v>
      </x:c>
    </x:row>
    <x:row r="97">
      <x:c r="A97" t="s">
        <x:v>109</x:v>
      </x:c>
      <x:c r="B97" t="s">
        <x:v>203</x:v>
      </x:c>
      <x:c r="C97" s="18" t="s">
        <x:v>204</x:v>
      </x:c>
      <x:c r="D97" t="s">
        <x:v>203</x:v>
      </x:c>
      <x:c r="E97">
        <x:v>74</x:v>
      </x:c>
      <x:c r="F97">
        <x:v>0.05</x:v>
      </x:c>
      <x:c r="G97">
        <x:v>0.03</x:v>
      </x:c>
    </x:row>
    <x:row r="98">
      <x:c r="A98" t="s">
        <x:v>110</x:v>
      </x:c>
      <x:c r="B98" t="s">
        <x:v>203</x:v>
      </x:c>
      <x:c r="C98" s="18" t="s">
        <x:v>204</x:v>
      </x:c>
      <x:c r="D98" t="s">
        <x:v>203</x:v>
      </x:c>
      <x:c r="E98">
        <x:v>1146.2</x:v>
      </x:c>
      <x:c r="F98">
        <x:v>0.42</x:v>
      </x:c>
      <x:c r="G98">
        <x:v>0.42</x:v>
      </x:c>
    </x:row>
    <x:row r="99">
      <x:c r="A99" t="s">
        <x:v>111</x:v>
      </x:c>
      <x:c r="B99" t="s">
        <x:v>203</x:v>
      </x:c>
      <x:c r="C99" s="18" t="s">
        <x:v>204</x:v>
      </x:c>
      <x:c r="D99" t="s">
        <x:v>203</x:v>
      </x:c>
      <x:c r="E99">
        <x:v>225.8</x:v>
      </x:c>
      <x:c r="F99">
        <x:v>0.11</x:v>
      </x:c>
      <x:c r="G99">
        <x:v>0.08</x:v>
      </x:c>
    </x:row>
    <x:row r="100">
      <x:c r="A100" t="s">
        <x:v>112</x:v>
      </x:c>
      <x:c r="B100" t="s">
        <x:v>203</x:v>
      </x:c>
      <x:c r="C100" s="18" t="s">
        <x:v>204</x:v>
      </x:c>
      <x:c r="D100" t="s">
        <x:v>203</x:v>
      </x:c>
      <x:c r="E100">
        <x:v>280.60000000000002</x:v>
      </x:c>
      <x:c r="F100">
        <x:v>0.13</x:v>
      </x:c>
      <x:c r="G100">
        <x:v>0.1</x:v>
      </x:c>
    </x:row>
    <x:row r="101">
      <x:c r="A101" t="s">
        <x:v>113</x:v>
      </x:c>
      <x:c r="B101" t="s">
        <x:v>203</x:v>
      </x:c>
      <x:c r="C101" s="18" t="s">
        <x:v>204</x:v>
      </x:c>
      <x:c r="D101" t="s">
        <x:v>203</x:v>
      </x:c>
      <x:c r="E101">
        <x:v>250.6</x:v>
      </x:c>
      <x:c r="F101">
        <x:v>0.12</x:v>
      </x:c>
      <x:c r="G101">
        <x:v>0.09</x:v>
      </x:c>
    </x:row>
    <x:row r="102">
      <x:c r="A102" t="s">
        <x:v>114</x:v>
      </x:c>
      <x:c r="B102" t="s">
        <x:v>203</x:v>
      </x:c>
      <x:c r="C102" s="18" t="s">
        <x:v>204</x:v>
      </x:c>
      <x:c r="D102" t="s">
        <x:v>203</x:v>
      </x:c>
      <x:c r="E102">
        <x:v>172.2</x:v>
      </x:c>
      <x:c r="F102">
        <x:v>0.09</x:v>
      </x:c>
      <x:c r="G102">
        <x:v>0.06</x:v>
      </x:c>
    </x:row>
    <x:row r="103">
      <x:c r="A103" t="s">
        <x:v>115</x:v>
      </x:c>
      <x:c r="B103" t="s">
        <x:v>203</x:v>
      </x:c>
      <x:c r="C103" s="18" t="s">
        <x:v>204</x:v>
      </x:c>
      <x:c r="D103" t="s">
        <x:v>203</x:v>
      </x:c>
      <x:c r="E103">
        <x:v>1044.7</x:v>
      </x:c>
      <x:c r="F103">
        <x:v>0.39</x:v>
      </x:c>
      <x:c r="G103">
        <x:v>0.38</x:v>
      </x:c>
    </x:row>
    <x:row r="104">
      <x:c r="A104" t="s">
        <x:v>116</x:v>
      </x:c>
      <x:c r="B104" t="s">
        <x:v>203</x:v>
      </x:c>
      <x:c r="C104" s="18" t="s">
        <x:v>204</x:v>
      </x:c>
      <x:c r="D104" t="s">
        <x:v>203</x:v>
      </x:c>
      <x:c r="E104">
        <x:v>52.5</x:v>
      </x:c>
      <x:c r="F104">
        <x:v>0.05</x:v>
      </x:c>
      <x:c r="G104">
        <x:v>0.02</x:v>
      </x:c>
    </x:row>
    <x:row r="105">
      <x:c r="A105" t="s">
        <x:v>117</x:v>
      </x:c>
      <x:c r="B105" t="s">
        <x:v>203</x:v>
      </x:c>
      <x:c r="C105" s="18" t="s">
        <x:v>204</x:v>
      </x:c>
      <x:c r="D105" t="s">
        <x:v>203</x:v>
      </x:c>
      <x:c r="E105">
        <x:v>203.5</x:v>
      </x:c>
      <x:c r="F105">
        <x:v>0.1</x:v>
      </x:c>
      <x:c r="G105">
        <x:v>7.0000000000000007E-2</x:v>
      </x:c>
    </x:row>
    <x:row r="106">
      <x:c r="A106" t="s">
        <x:v>118</x:v>
      </x:c>
      <x:c r="B106" t="s">
        <x:v>203</x:v>
      </x:c>
      <x:c r="C106" s="18" t="s">
        <x:v>204</x:v>
      </x:c>
      <x:c r="D106" t="s">
        <x:v>203</x:v>
      </x:c>
      <x:c r="E106">
        <x:v>153.30000000000001</x:v>
      </x:c>
      <x:c r="F106">
        <x:v>0.08</x:v>
      </x:c>
      <x:c r="G106">
        <x:v>0.06</x:v>
      </x:c>
    </x:row>
    <x:row r="107">
      <x:c r="A107" t="s">
        <x:v>119</x:v>
      </x:c>
      <x:c r="B107" t="s">
        <x:v>203</x:v>
      </x:c>
      <x:c r="C107" s="18" t="s">
        <x:v>204</x:v>
      </x:c>
      <x:c r="D107" t="s">
        <x:v>203</x:v>
      </x:c>
      <x:c r="E107">
        <x:v>46.9</x:v>
      </x:c>
      <x:c r="F107">
        <x:v>0.05</x:v>
      </x:c>
      <x:c r="G107">
        <x:v>0.02</x:v>
      </x:c>
    </x:row>
    <x:row r="108">
      <x:c r="A108" t="s">
        <x:v>120</x:v>
      </x:c>
      <x:c r="B108" t="s">
        <x:v>203</x:v>
      </x:c>
      <x:c r="C108" s="18" t="s">
        <x:v>204</x:v>
      </x:c>
      <x:c r="D108" t="s">
        <x:v>203</x:v>
      </x:c>
      <x:c r="E108">
        <x:v>159.30000000000001</x:v>
      </x:c>
      <x:c r="F108">
        <x:v>0.08</x:v>
      </x:c>
      <x:c r="G108">
        <x:v>0.06</x:v>
      </x:c>
    </x:row>
    <x:row r="109">
      <x:c r="A109" t="s">
        <x:v>121</x:v>
      </x:c>
      <x:c r="B109" t="s">
        <x:v>203</x:v>
      </x:c>
      <x:c r="C109" s="18" t="s">
        <x:v>204</x:v>
      </x:c>
      <x:c r="D109" t="s">
        <x:v>203</x:v>
      </x:c>
      <x:c r="E109">
        <x:v>178</x:v>
      </x:c>
      <x:c r="F109">
        <x:v>0.09</x:v>
      </x:c>
      <x:c r="G109">
        <x:v>0.06</x:v>
      </x:c>
    </x:row>
    <x:row r="110">
      <x:c r="A110" t="s">
        <x:v>122</x:v>
      </x:c>
      <x:c r="B110" t="s">
        <x:v>203</x:v>
      </x:c>
      <x:c r="C110" s="18" t="s">
        <x:v>204</x:v>
      </x:c>
      <x:c r="D110" t="s">
        <x:v>203</x:v>
      </x:c>
      <x:c r="E110">
        <x:v>4772</x:v>
      </x:c>
      <x:c r="F110">
        <x:v>1.66</x:v>
      </x:c>
      <x:c r="G110">
        <x:v>1.73</x:v>
      </x:c>
    </x:row>
    <x:row r="111">
      <x:c r="A111" t="s">
        <x:v>123</x:v>
      </x:c>
      <x:c r="B111" t="s">
        <x:v>203</x:v>
      </x:c>
      <x:c r="C111" s="18" t="s">
        <x:v>204</x:v>
      </x:c>
      <x:c r="D111" t="s">
        <x:v>203</x:v>
      </x:c>
      <x:c r="E111">
        <x:v>47.9</x:v>
      </x:c>
      <x:c r="F111">
        <x:v>0.05</x:v>
      </x:c>
      <x:c r="G111">
        <x:v>0.02</x:v>
      </x:c>
    </x:row>
    <x:row r="112">
      <x:c r="A112" t="s">
        <x:v>124</x:v>
      </x:c>
      <x:c r="B112" t="s">
        <x:v>203</x:v>
      </x:c>
      <x:c r="C112" s="18" t="s">
        <x:v>204</x:v>
      </x:c>
      <x:c r="D112" t="s">
        <x:v>203</x:v>
      </x:c>
      <x:c r="E112">
        <x:v>241.9</x:v>
      </x:c>
      <x:c r="F112">
        <x:v>0.11</x:v>
      </x:c>
      <x:c r="G112">
        <x:v>0.09</x:v>
      </x:c>
    </x:row>
    <x:row r="113">
      <x:c r="A113" t="s">
        <x:v>125</x:v>
      </x:c>
      <x:c r="B113" t="s">
        <x:v>203</x:v>
      </x:c>
      <x:c r="C113" s="18" t="s">
        <x:v>204</x:v>
      </x:c>
      <x:c r="D113" t="s">
        <x:v>203</x:v>
      </x:c>
      <x:c r="E113">
        <x:v>82.9</x:v>
      </x:c>
      <x:c r="F113">
        <x:v>0.06</x:v>
      </x:c>
      <x:c r="G113">
        <x:v>0.03</x:v>
      </x:c>
    </x:row>
    <x:row r="114">
      <x:c r="A114" t="s">
        <x:v>126</x:v>
      </x:c>
      <x:c r="B114" t="s">
        <x:v>203</x:v>
      </x:c>
      <x:c r="C114" s="18" t="s">
        <x:v>204</x:v>
      </x:c>
      <x:c r="D114" t="s">
        <x:v>203</x:v>
      </x:c>
      <x:c r="E114">
        <x:v>97.1</x:v>
      </x:c>
      <x:c r="F114">
        <x:v>0.06</x:v>
      </x:c>
      <x:c r="G114">
        <x:v>0.04</x:v>
      </x:c>
    </x:row>
    <x:row r="115">
      <x:c r="A115" t="s">
        <x:v>127</x:v>
      </x:c>
      <x:c r="B115" t="s">
        <x:v>203</x:v>
      </x:c>
      <x:c r="C115" s="18" t="s">
        <x:v>204</x:v>
      </x:c>
      <x:c r="D115" t="s">
        <x:v>203</x:v>
      </x:c>
      <x:c r="E115">
        <x:v>806.9</x:v>
      </x:c>
      <x:c r="F115">
        <x:v>0.31</x:v>
      </x:c>
      <x:c r="G115">
        <x:v>0.28999999999999998</x:v>
      </x:c>
    </x:row>
    <x:row r="116">
      <x:c r="A116" t="s">
        <x:v>128</x:v>
      </x:c>
      <x:c r="B116" t="s">
        <x:v>203</x:v>
      </x:c>
      <x:c r="C116" s="18" t="s">
        <x:v>204</x:v>
      </x:c>
      <x:c r="D116" t="s">
        <x:v>203</x:v>
      </x:c>
      <x:c r="E116">
        <x:v>133.19999999999999</x:v>
      </x:c>
      <x:c r="F116">
        <x:v>0.08</x:v>
      </x:c>
      <x:c r="G116">
        <x:v>0.05</x:v>
      </x:c>
    </x:row>
    <x:row r="117">
      <x:c r="A117" t="s">
        <x:v>129</x:v>
      </x:c>
      <x:c r="B117" t="s">
        <x:v>203</x:v>
      </x:c>
      <x:c r="C117" s="18" t="s">
        <x:v>204</x:v>
      </x:c>
      <x:c r="D117" t="s">
        <x:v>203</x:v>
      </x:c>
      <x:c r="E117">
        <x:v>346.5</x:v>
      </x:c>
      <x:c r="F117">
        <x:v>0.15</x:v>
      </x:c>
      <x:c r="G117">
        <x:v>0.13</x:v>
      </x:c>
    </x:row>
    <x:row r="118">
      <x:c r="A118" t="s">
        <x:v>130</x:v>
      </x:c>
      <x:c r="B118" t="s">
        <x:v>203</x:v>
      </x:c>
      <x:c r="C118" s="18" t="s">
        <x:v>204</x:v>
      </x:c>
      <x:c r="D118" t="s">
        <x:v>203</x:v>
      </x:c>
      <x:c r="E118">
        <x:v>193</x:v>
      </x:c>
      <x:c r="F118">
        <x:v>0.1</x:v>
      </x:c>
      <x:c r="G118">
        <x:v>7.0000000000000007E-2</x:v>
      </x:c>
    </x:row>
    <x:row r="119">
      <x:c r="A119" t="s">
        <x:v>131</x:v>
      </x:c>
      <x:c r="B119" t="s">
        <x:v>203</x:v>
      </x:c>
      <x:c r="C119" s="18" t="s">
        <x:v>204</x:v>
      </x:c>
      <x:c r="D119" t="s">
        <x:v>203</x:v>
      </x:c>
      <x:c r="E119">
        <x:v>58.6</x:v>
      </x:c>
      <x:c r="F119">
        <x:v>0.05</x:v>
      </x:c>
      <x:c r="G119">
        <x:v>0.02</x:v>
      </x:c>
    </x:row>
    <x:row r="120">
      <x:c r="A120" t="s">
        <x:v>132</x:v>
      </x:c>
      <x:c r="B120" t="s">
        <x:v>203</x:v>
      </x:c>
      <x:c r="C120" s="18" t="s">
        <x:v>204</x:v>
      </x:c>
      <x:c r="D120" t="s">
        <x:v>203</x:v>
      </x:c>
      <x:c r="E120">
        <x:v>171.4</x:v>
      </x:c>
      <x:c r="F120">
        <x:v>0.09</x:v>
      </x:c>
      <x:c r="G120">
        <x:v>0.06</x:v>
      </x:c>
    </x:row>
    <x:row r="121">
      <x:c r="A121" t="s">
        <x:v>133</x:v>
      </x:c>
      <x:c r="B121" t="s">
        <x:v>203</x:v>
      </x:c>
      <x:c r="C121" s="18" t="s">
        <x:v>204</x:v>
      </x:c>
      <x:c r="D121" t="s">
        <x:v>203</x:v>
      </x:c>
      <x:c r="E121">
        <x:v>5411.1</x:v>
      </x:c>
      <x:c r="F121">
        <x:v>1.88</x:v>
      </x:c>
      <x:c r="G121">
        <x:v>1.96</x:v>
      </x:c>
    </x:row>
    <x:row r="122">
      <x:c r="A122" t="s">
        <x:v>134</x:v>
      </x:c>
      <x:c r="B122" t="s">
        <x:v>203</x:v>
      </x:c>
      <x:c r="C122" s="18" t="s">
        <x:v>204</x:v>
      </x:c>
      <x:c r="D122" t="s">
        <x:v>203</x:v>
      </x:c>
      <x:c r="E122">
        <x:v>1126.0999999999999</x:v>
      </x:c>
      <x:c r="F122">
        <x:v>0.42</x:v>
      </x:c>
      <x:c r="G122">
        <x:v>0.41</x:v>
      </x:c>
    </x:row>
    <x:row r="123">
      <x:c r="A123" t="s">
        <x:v>135</x:v>
      </x:c>
      <x:c r="B123" t="s">
        <x:v>203</x:v>
      </x:c>
      <x:c r="C123" s="18" t="s">
        <x:v>204</x:v>
      </x:c>
      <x:c r="D123" t="s">
        <x:v>203</x:v>
      </x:c>
      <x:c r="E123">
        <x:v>106.4</x:v>
      </x:c>
      <x:c r="F123">
        <x:v>7.0000000000000007E-2</x:v>
      </x:c>
      <x:c r="G123">
        <x:v>0.04</x:v>
      </x:c>
    </x:row>
    <x:row r="124">
      <x:c r="A124" t="s">
        <x:v>136</x:v>
      </x:c>
      <x:c r="B124" t="s">
        <x:v>203</x:v>
      </x:c>
      <x:c r="C124" s="18" t="s">
        <x:v>204</x:v>
      </x:c>
      <x:c r="D124" t="s">
        <x:v>203</x:v>
      </x:c>
      <x:c r="E124">
        <x:v>134.80000000000001</x:v>
      </x:c>
      <x:c r="F124">
        <x:v>0.08</x:v>
      </x:c>
      <x:c r="G124">
        <x:v>0.05</x:v>
      </x:c>
    </x:row>
    <x:row r="125">
      <x:c r="A125" t="s">
        <x:v>137</x:v>
      </x:c>
      <x:c r="B125" t="s">
        <x:v>203</x:v>
      </x:c>
      <x:c r="C125" s="18" t="s">
        <x:v>204</x:v>
      </x:c>
      <x:c r="D125" t="s">
        <x:v>203</x:v>
      </x:c>
      <x:c r="E125">
        <x:v>1941.7</x:v>
      </x:c>
      <x:c r="F125">
        <x:v>0.69</x:v>
      </x:c>
      <x:c r="G125">
        <x:v>0.7</x:v>
      </x:c>
    </x:row>
    <x:row r="126">
      <x:c r="A126" t="s">
        <x:v>138</x:v>
      </x:c>
      <x:c r="B126" t="s">
        <x:v>203</x:v>
      </x:c>
      <x:c r="C126" s="18" t="s">
        <x:v>204</x:v>
      </x:c>
      <x:c r="D126" t="s">
        <x:v>203</x:v>
      </x:c>
      <x:c r="E126">
        <x:v>64.099999999999994</x:v>
      </x:c>
      <x:c r="F126">
        <x:v>0.05</x:v>
      </x:c>
      <x:c r="G126">
        <x:v>0.02</x:v>
      </x:c>
    </x:row>
    <x:row r="127">
      <x:c r="A127" t="s">
        <x:v>139</x:v>
      </x:c>
      <x:c r="B127" t="s">
        <x:v>203</x:v>
      </x:c>
      <x:c r="C127" s="18" t="s">
        <x:v>204</x:v>
      </x:c>
      <x:c r="D127" t="s">
        <x:v>203</x:v>
      </x:c>
      <x:c r="E127">
        <x:v>1674.6</x:v>
      </x:c>
      <x:c r="F127">
        <x:v>0.6</x:v>
      </x:c>
      <x:c r="G127">
        <x:v>0.61</x:v>
      </x:c>
    </x:row>
    <x:row r="128">
      <x:c r="A128" t="s">
        <x:v>140</x:v>
      </x:c>
      <x:c r="B128" t="s">
        <x:v>203</x:v>
      </x:c>
      <x:c r="C128" s="18" t="s">
        <x:v>204</x:v>
      </x:c>
      <x:c r="D128" t="s">
        <x:v>203</x:v>
      </x:c>
      <x:c r="E128">
        <x:v>246.1</x:v>
      </x:c>
      <x:c r="F128">
        <x:v>0.11</x:v>
      </x:c>
      <x:c r="G128">
        <x:v>0.09</x:v>
      </x:c>
    </x:row>
    <x:row r="129">
      <x:c r="A129" t="s">
        <x:v>141</x:v>
      </x:c>
      <x:c r="B129" t="s">
        <x:v>203</x:v>
      </x:c>
      <x:c r="C129" s="18" t="s">
        <x:v>204</x:v>
      </x:c>
      <x:c r="D129" t="s">
        <x:v>203</x:v>
      </x:c>
      <x:c r="E129">
        <x:v>1414.8</x:v>
      </x:c>
      <x:c r="F129">
        <x:v>0.51</x:v>
      </x:c>
      <x:c r="G129">
        <x:v>0.51</x:v>
      </x:c>
    </x:row>
    <x:row r="130">
      <x:c r="A130" t="s">
        <x:v>142</x:v>
      </x:c>
      <x:c r="B130" t="s">
        <x:v>203</x:v>
      </x:c>
      <x:c r="C130" s="18" t="s">
        <x:v>204</x:v>
      </x:c>
      <x:c r="D130" t="s">
        <x:v>203</x:v>
      </x:c>
      <x:c r="E130">
        <x:v>1.6</x:v>
      </x:c>
      <x:c r="F130">
        <x:v>0.03</x:v>
      </x:c>
      <x:c r="G130">
        <x:v>0</x:v>
      </x:c>
    </x:row>
    <x:row r="131">
      <x:c r="A131" t="s">
        <x:v>143</x:v>
      </x:c>
      <x:c r="B131" t="s">
        <x:v>203</x:v>
      </x:c>
      <x:c r="C131" s="18" t="s">
        <x:v>204</x:v>
      </x:c>
      <x:c r="D131" t="s">
        <x:v>203</x:v>
      </x:c>
      <x:c r="E131">
        <x:v>113.8</x:v>
      </x:c>
      <x:c r="F131">
        <x:v>7.0000000000000007E-2</x:v>
      </x:c>
      <x:c r="G131">
        <x:v>0.04</x:v>
      </x:c>
    </x:row>
    <x:row r="132">
      <x:c r="A132" t="s">
        <x:v>144</x:v>
      </x:c>
      <x:c r="B132" t="s">
        <x:v>203</x:v>
      </x:c>
      <x:c r="C132" s="18" t="s">
        <x:v>204</x:v>
      </x:c>
      <x:c r="D132" t="s">
        <x:v>203</x:v>
      </x:c>
      <x:c r="E132">
        <x:v>227.3</x:v>
      </x:c>
      <x:c r="F132">
        <x:v>0.11</x:v>
      </x:c>
      <x:c r="G132">
        <x:v>0.08</x:v>
      </x:c>
    </x:row>
    <x:row r="133">
      <x:c r="A133" t="s">
        <x:v>145</x:v>
      </x:c>
      <x:c r="B133" t="s">
        <x:v>203</x:v>
      </x:c>
      <x:c r="C133" s="18" t="s">
        <x:v>204</x:v>
      </x:c>
      <x:c r="D133" t="s">
        <x:v>203</x:v>
      </x:c>
      <x:c r="E133">
        <x:v>203.7</x:v>
      </x:c>
      <x:c r="F133">
        <x:v>0.1</x:v>
      </x:c>
      <x:c r="G133">
        <x:v>7.0000000000000007E-2</x:v>
      </x:c>
    </x:row>
    <x:row r="134">
      <x:c r="A134" t="s">
        <x:v>146</x:v>
      </x:c>
      <x:c r="B134" t="s">
        <x:v>203</x:v>
      </x:c>
      <x:c r="C134" s="18" t="s">
        <x:v>204</x:v>
      </x:c>
      <x:c r="D134" t="s">
        <x:v>203</x:v>
      </x:c>
      <x:c r="E134">
        <x:v>909.2</x:v>
      </x:c>
      <x:c r="F134">
        <x:v>0.34</x:v>
      </x:c>
      <x:c r="G134">
        <x:v>0.33</x:v>
      </x:c>
    </x:row>
    <x:row r="135">
      <x:c r="A135" t="s">
        <x:v>147</x:v>
      </x:c>
      <x:c r="B135" t="s">
        <x:v>203</x:v>
      </x:c>
      <x:c r="C135" s="18" t="s">
        <x:v>204</x:v>
      </x:c>
      <x:c r="D135" t="s">
        <x:v>203</x:v>
      </x:c>
      <x:c r="E135">
        <x:v>1188.7</x:v>
      </x:c>
      <x:c r="F135">
        <x:v>0.44</x:v>
      </x:c>
      <x:c r="G135">
        <x:v>0.43</x:v>
      </x:c>
    </x:row>
    <x:row r="136">
      <x:c r="A136" t="s">
        <x:v>148</x:v>
      </x:c>
      <x:c r="B136" t="s">
        <x:v>203</x:v>
      </x:c>
      <x:c r="C136" s="18" t="s">
        <x:v>204</x:v>
      </x:c>
      <x:c r="D136" t="s">
        <x:v>203</x:v>
      </x:c>
      <x:c r="E136">
        <x:v>2047.4</x:v>
      </x:c>
      <x:c r="F136">
        <x:v>0.73</x:v>
      </x:c>
      <x:c r="G136">
        <x:v>0.74</x:v>
      </x:c>
    </x:row>
    <x:row r="137">
      <x:c r="A137" t="s">
        <x:v>149</x:v>
      </x:c>
      <x:c r="B137" t="s">
        <x:v>203</x:v>
      </x:c>
      <x:c r="C137" s="18" t="s">
        <x:v>204</x:v>
      </x:c>
      <x:c r="D137" t="s">
        <x:v>203</x:v>
      </x:c>
      <x:c r="E137">
        <x:v>893.7</x:v>
      </x:c>
      <x:c r="F137">
        <x:v>0.34</x:v>
      </x:c>
      <x:c r="G137">
        <x:v>0.32</x:v>
      </x:c>
    </x:row>
    <x:row r="138">
      <x:c r="A138" t="s">
        <x:v>150</x:v>
      </x:c>
      <x:c r="B138" t="s">
        <x:v>203</x:v>
      </x:c>
      <x:c r="C138" s="18" t="s">
        <x:v>204</x:v>
      </x:c>
      <x:c r="D138" t="s">
        <x:v>203</x:v>
      </x:c>
      <x:c r="E138">
        <x:v>278.10000000000002</x:v>
      </x:c>
      <x:c r="F138">
        <x:v>0.12</x:v>
      </x:c>
      <x:c r="G138">
        <x:v>0.1</x:v>
      </x:c>
    </x:row>
    <x:row r="139">
      <x:c r="A139" t="s">
        <x:v>151</x:v>
      </x:c>
      <x:c r="B139" t="s">
        <x:v>203</x:v>
      </x:c>
      <x:c r="C139" s="18" t="s">
        <x:v>204</x:v>
      </x:c>
      <x:c r="D139" t="s">
        <x:v>203</x:v>
      </x:c>
      <x:c r="E139">
        <x:v>821</x:v>
      </x:c>
      <x:c r="F139">
        <x:v>0.31</x:v>
      </x:c>
      <x:c r="G139">
        <x:v>0.3</x:v>
      </x:c>
    </x:row>
    <x:row r="140">
      <x:c r="A140" t="s">
        <x:v>152</x:v>
      </x:c>
      <x:c r="B140" t="s">
        <x:v>203</x:v>
      </x:c>
      <x:c r="C140" s="18" t="s">
        <x:v>204</x:v>
      </x:c>
      <x:c r="D140" t="s">
        <x:v>203</x:v>
      </x:c>
      <x:c r="E140">
        <x:v>7912.1</x:v>
      </x:c>
      <x:c r="F140">
        <x:v>2.74</x:v>
      </x:c>
      <x:c r="G140">
        <x:v>2.87</x:v>
      </x:c>
    </x:row>
    <x:row r="141">
      <x:c r="A141" t="s">
        <x:v>153</x:v>
      </x:c>
      <x:c r="B141" t="s">
        <x:v>203</x:v>
      </x:c>
      <x:c r="C141" s="18" t="s">
        <x:v>204</x:v>
      </x:c>
      <x:c r="D141" t="s">
        <x:v>203</x:v>
      </x:c>
      <x:c r="E141">
        <x:v>183.1</x:v>
      </x:c>
      <x:c r="F141">
        <x:v>0.09</x:v>
      </x:c>
      <x:c r="G141">
        <x:v>7.0000000000000007E-2</x:v>
      </x:c>
    </x:row>
    <x:row r="142">
      <x:c r="A142" t="s">
        <x:v>154</x:v>
      </x:c>
      <x:c r="B142" t="s">
        <x:v>203</x:v>
      </x:c>
      <x:c r="C142" s="18" t="s">
        <x:v>204</x:v>
      </x:c>
      <x:c r="D142" t="s">
        <x:v>203</x:v>
      </x:c>
      <x:c r="E142">
        <x:v>94.7</x:v>
      </x:c>
      <x:c r="F142">
        <x:v>0.06</x:v>
      </x:c>
      <x:c r="G142">
        <x:v>0.03</x:v>
      </x:c>
    </x:row>
    <x:row r="143">
      <x:c r="A143" t="s">
        <x:v>155</x:v>
      </x:c>
      <x:c r="B143" t="s">
        <x:v>203</x:v>
      </x:c>
      <x:c r="C143" s="18" t="s">
        <x:v>204</x:v>
      </x:c>
      <x:c r="D143" t="s">
        <x:v>203</x:v>
      </x:c>
      <x:c r="E143">
        <x:v>59.5</x:v>
      </x:c>
      <x:c r="F143">
        <x:v>0.05</x:v>
      </x:c>
      <x:c r="G143">
        <x:v>0.02</x:v>
      </x:c>
    </x:row>
    <x:row r="144">
      <x:c r="A144" t="s">
        <x:v>156</x:v>
      </x:c>
      <x:c r="B144" t="s">
        <x:v>203</x:v>
      </x:c>
      <x:c r="C144" s="18" t="s">
        <x:v>204</x:v>
      </x:c>
      <x:c r="D144" t="s">
        <x:v>203</x:v>
      </x:c>
      <x:c r="E144">
        <x:v>70.5</x:v>
      </x:c>
      <x:c r="F144">
        <x:v>0.05</x:v>
      </x:c>
      <x:c r="G144">
        <x:v>0.03</x:v>
      </x:c>
    </x:row>
    <x:row r="145">
      <x:c r="A145" t="s">
        <x:v>157</x:v>
      </x:c>
      <x:c r="B145" t="s">
        <x:v>203</x:v>
      </x:c>
      <x:c r="C145" s="18" t="s">
        <x:v>204</x:v>
      </x:c>
      <x:c r="D145" t="s">
        <x:v>203</x:v>
      </x:c>
      <x:c r="E145">
        <x:v>7696.7</x:v>
      </x:c>
      <x:c r="F145">
        <x:v>2.67</x:v>
      </x:c>
      <x:c r="G145">
        <x:v>2.79</x:v>
      </x:c>
    </x:row>
    <x:row r="146">
      <x:c r="A146" t="s">
        <x:v>158</x:v>
      </x:c>
      <x:c r="B146" t="s">
        <x:v>203</x:v>
      </x:c>
      <x:c r="C146" s="18" t="s">
        <x:v>204</x:v>
      </x:c>
      <x:c r="D146" t="s">
        <x:v>203</x:v>
      </x:c>
      <x:c r="E146">
        <x:v>358.5</x:v>
      </x:c>
      <x:c r="F146">
        <x:v>0.15</x:v>
      </x:c>
      <x:c r="G146">
        <x:v>0.13</x:v>
      </x:c>
    </x:row>
    <x:row r="147">
      <x:c r="A147" t="s">
        <x:v>159</x:v>
      </x:c>
      <x:c r="B147" t="s">
        <x:v>203</x:v>
      </x:c>
      <x:c r="C147" s="18" t="s">
        <x:v>204</x:v>
      </x:c>
      <x:c r="D147" t="s">
        <x:v>203</x:v>
      </x:c>
      <x:c r="E147">
        <x:v>413.3</x:v>
      </x:c>
      <x:c r="F147">
        <x:v>0.17</x:v>
      </x:c>
      <x:c r="G147">
        <x:v>0.15</x:v>
      </x:c>
    </x:row>
    <x:row r="148">
      <x:c r="A148" t="s">
        <x:v>160</x:v>
      </x:c>
      <x:c r="B148" t="s">
        <x:v>203</x:v>
      </x:c>
      <x:c r="C148" s="18" t="s">
        <x:v>204</x:v>
      </x:c>
      <x:c r="D148" t="s">
        <x:v>203</x:v>
      </x:c>
      <x:c r="E148">
        <x:v>29.4</x:v>
      </x:c>
      <x:c r="F148">
        <x:v>0.04</x:v>
      </x:c>
      <x:c r="G148">
        <x:v>0.01</x:v>
      </x:c>
    </x:row>
    <x:row r="149">
      <x:c r="A149" t="s">
        <x:v>161</x:v>
      </x:c>
      <x:c r="B149" t="s">
        <x:v>203</x:v>
      </x:c>
      <x:c r="C149" s="18" t="s">
        <x:v>204</x:v>
      </x:c>
      <x:c r="D149" t="s">
        <x:v>203</x:v>
      </x:c>
      <x:c r="E149">
        <x:v>104.3</x:v>
      </x:c>
      <x:c r="F149">
        <x:v>7.0000000000000007E-2</x:v>
      </x:c>
      <x:c r="G149">
        <x:v>0.04</x:v>
      </x:c>
    </x:row>
    <x:row r="150">
      <x:c r="A150" t="s">
        <x:v>162</x:v>
      </x:c>
      <x:c r="B150" t="s">
        <x:v>203</x:v>
      </x:c>
      <x:c r="C150" s="18" t="s">
        <x:v>204</x:v>
      </x:c>
      <x:c r="D150" t="s">
        <x:v>203</x:v>
      </x:c>
      <x:c r="E150">
        <x:v>710.9</x:v>
      </x:c>
      <x:c r="F150">
        <x:v>0.27</x:v>
      </x:c>
      <x:c r="G150">
        <x:v>0.26</x:v>
      </x:c>
    </x:row>
    <x:row r="151">
      <x:c r="A151" t="s">
        <x:v>163</x:v>
      </x:c>
      <x:c r="B151" t="s">
        <x:v>203</x:v>
      </x:c>
      <x:c r="C151" s="18" t="s">
        <x:v>204</x:v>
      </x:c>
      <x:c r="D151" t="s">
        <x:v>203</x:v>
      </x:c>
      <x:c r="E151">
        <x:v>478.5</x:v>
      </x:c>
      <x:c r="F151">
        <x:v>0.19</x:v>
      </x:c>
      <x:c r="G151">
        <x:v>0.17</x:v>
      </x:c>
    </x:row>
    <x:row r="152">
      <x:c r="A152" t="s">
        <x:v>164</x:v>
      </x:c>
      <x:c r="B152" t="s">
        <x:v>203</x:v>
      </x:c>
      <x:c r="C152" s="18" t="s">
        <x:v>204</x:v>
      </x:c>
      <x:c r="D152" t="s">
        <x:v>203</x:v>
      </x:c>
      <x:c r="E152">
        <x:v>203.7</x:v>
      </x:c>
      <x:c r="F152">
        <x:v>0.1</x:v>
      </x:c>
      <x:c r="G152">
        <x:v>7.0000000000000007E-2</x:v>
      </x:c>
    </x:row>
    <x:row r="153">
      <x:c r="A153" t="s">
        <x:v>165</x:v>
      </x:c>
      <x:c r="B153" t="s">
        <x:v>203</x:v>
      </x:c>
      <x:c r="C153" s="18" t="s">
        <x:v>204</x:v>
      </x:c>
      <x:c r="D153" t="s">
        <x:v>203</x:v>
      </x:c>
      <x:c r="E153">
        <x:v>82.8</x:v>
      </x:c>
      <x:c r="F153">
        <x:v>0.06</x:v>
      </x:c>
      <x:c r="G153">
        <x:v>0.03</x:v>
      </x:c>
    </x:row>
    <x:row r="154">
      <x:c r="A154" t="s">
        <x:v>166</x:v>
      </x:c>
      <x:c r="B154" t="s">
        <x:v>203</x:v>
      </x:c>
      <x:c r="C154" s="18" t="s">
        <x:v>204</x:v>
      </x:c>
      <x:c r="D154" t="s">
        <x:v>203</x:v>
      </x:c>
      <x:c r="E154">
        <x:v>63.2</x:v>
      </x:c>
      <x:c r="F154">
        <x:v>0.05</x:v>
      </x:c>
      <x:c r="G154">
        <x:v>0.02</x:v>
      </x:c>
    </x:row>
    <x:row r="155">
      <x:c r="A155" t="s">
        <x:v>167</x:v>
      </x:c>
      <x:c r="B155" t="s">
        <x:v>203</x:v>
      </x:c>
      <x:c r="C155" s="18" t="s">
        <x:v>204</x:v>
      </x:c>
      <x:c r="D155" t="s">
        <x:v>203</x:v>
      </x:c>
      <x:c r="E155">
        <x:v>2079.3000000000002</x:v>
      </x:c>
      <x:c r="F155">
        <x:v>0.74</x:v>
      </x:c>
      <x:c r="G155">
        <x:v>0.75</x:v>
      </x:c>
    </x:row>
    <x:row r="156">
      <x:c r="A156" t="s">
        <x:v>168</x:v>
      </x:c>
      <x:c r="B156" t="s">
        <x:v>203</x:v>
      </x:c>
      <x:c r="C156" s="18" t="s">
        <x:v>204</x:v>
      </x:c>
      <x:c r="D156" t="s">
        <x:v>203</x:v>
      </x:c>
      <x:c r="E156">
        <x:v>143.69999999999999</x:v>
      </x:c>
      <x:c r="F156">
        <x:v>0.08</x:v>
      </x:c>
      <x:c r="G156">
        <x:v>0.05</x:v>
      </x:c>
    </x:row>
    <x:row r="157">
      <x:c r="A157" t="s">
        <x:v>169</x:v>
      </x:c>
      <x:c r="B157" t="s">
        <x:v>203</x:v>
      </x:c>
      <x:c r="C157" s="18" t="s">
        <x:v>204</x:v>
      </x:c>
      <x:c r="D157" t="s">
        <x:v>203</x:v>
      </x:c>
      <x:c r="E157">
        <x:v>5289.5</x:v>
      </x:c>
      <x:c r="F157">
        <x:v>1.84</x:v>
      </x:c>
      <x:c r="G157">
        <x:v>1.92</x:v>
      </x:c>
    </x:row>
    <x:row r="158">
      <x:c r="A158" t="s">
        <x:v>170</x:v>
      </x:c>
      <x:c r="B158" t="s">
        <x:v>203</x:v>
      </x:c>
      <x:c r="C158" s="18" t="s">
        <x:v>204</x:v>
      </x:c>
      <x:c r="D158" t="s">
        <x:v>203</x:v>
      </x:c>
      <x:c r="E158">
        <x:v>628.20000000000005</x:v>
      </x:c>
      <x:c r="F158">
        <x:v>0.24</x:v>
      </x:c>
      <x:c r="G158">
        <x:v>0.23</x:v>
      </x:c>
    </x:row>
    <x:row r="159">
      <x:c r="A159" t="s">
        <x:v>171</x:v>
      </x:c>
      <x:c r="B159" t="s">
        <x:v>203</x:v>
      </x:c>
      <x:c r="C159" s="18" t="s">
        <x:v>204</x:v>
      </x:c>
      <x:c r="D159" t="s">
        <x:v>203</x:v>
      </x:c>
      <x:c r="E159">
        <x:v>27.5</x:v>
      </x:c>
      <x:c r="F159">
        <x:v>0.04</x:v>
      </x:c>
      <x:c r="G159">
        <x:v>0.01</x:v>
      </x:c>
    </x:row>
    <x:row r="160">
      <x:c r="A160" t="s">
        <x:v>172</x:v>
      </x:c>
      <x:c r="B160" t="s">
        <x:v>203</x:v>
      </x:c>
      <x:c r="C160" s="18" t="s">
        <x:v>204</x:v>
      </x:c>
      <x:c r="D160" t="s">
        <x:v>203</x:v>
      </x:c>
      <x:c r="E160">
        <x:v>69.900000000000006</x:v>
      </x:c>
      <x:c r="F160">
        <x:v>0.05</x:v>
      </x:c>
      <x:c r="G160">
        <x:v>0.03</x:v>
      </x:c>
    </x:row>
    <x:row r="161">
      <x:c r="A161" t="s">
        <x:v>173</x:v>
      </x:c>
      <x:c r="B161" t="s">
        <x:v>203</x:v>
      </x:c>
      <x:c r="C161" s="18" t="s">
        <x:v>204</x:v>
      </x:c>
      <x:c r="D161" t="s">
        <x:v>203</x:v>
      </x:c>
      <x:c r="E161">
        <x:v>38.700000000000003</x:v>
      </x:c>
      <x:c r="F161">
        <x:v>0.04</x:v>
      </x:c>
      <x:c r="G161">
        <x:v>0.01</x:v>
      </x:c>
    </x:row>
    <x:row r="162">
      <x:c r="A162" t="s">
        <x:v>174</x:v>
      </x:c>
      <x:c r="B162" t="s">
        <x:v>203</x:v>
      </x:c>
      <x:c r="C162" s="18" t="s">
        <x:v>204</x:v>
      </x:c>
      <x:c r="D162" t="s">
        <x:v>203</x:v>
      </x:c>
      <x:c r="E162">
        <x:v>198.9</x:v>
      </x:c>
      <x:c r="F162">
        <x:v>0.1</x:v>
      </x:c>
      <x:c r="G162">
        <x:v>7.0000000000000007E-2</x:v>
      </x:c>
    </x:row>
    <x:row r="163">
      <x:c r="A163" t="s">
        <x:v>175</x:v>
      </x:c>
      <x:c r="B163" t="s">
        <x:v>203</x:v>
      </x:c>
      <x:c r="C163" s="18" t="s">
        <x:v>204</x:v>
      </x:c>
      <x:c r="D163" t="s">
        <x:v>203</x:v>
      </x:c>
      <x:c r="E163">
        <x:v>41.2</x:v>
      </x:c>
      <x:c r="F163">
        <x:v>0.04</x:v>
      </x:c>
      <x:c r="G163">
        <x:v>0.01</x:v>
      </x:c>
    </x:row>
    <x:row r="164">
      <x:c r="A164" t="s">
        <x:v>176</x:v>
      </x:c>
      <x:c r="B164" t="s">
        <x:v>203</x:v>
      </x:c>
      <x:c r="C164" s="18" t="s">
        <x:v>204</x:v>
      </x:c>
      <x:c r="D164" t="s">
        <x:v>203</x:v>
      </x:c>
      <x:c r="E164">
        <x:v>2514.8000000000002</x:v>
      </x:c>
      <x:c r="F164">
        <x:v>0.89</x:v>
      </x:c>
      <x:c r="G164">
        <x:v>0.91</x:v>
      </x:c>
    </x:row>
    <x:row r="165">
      <x:c r="A165" t="s">
        <x:v>177</x:v>
      </x:c>
      <x:c r="B165" t="s">
        <x:v>203</x:v>
      </x:c>
      <x:c r="C165" s="18" t="s">
        <x:v>204</x:v>
      </x:c>
      <x:c r="D165" t="s">
        <x:v>203</x:v>
      </x:c>
      <x:c r="E165">
        <x:v>4088.9</x:v>
      </x:c>
      <x:c r="F165">
        <x:v>1.43</x:v>
      </x:c>
      <x:c r="G165">
        <x:v>1.48</x:v>
      </x:c>
    </x:row>
    <x:row r="166">
      <x:c r="A166" t="s">
        <x:v>178</x:v>
      </x:c>
      <x:c r="B166" t="s">
        <x:v>203</x:v>
      </x:c>
      <x:c r="C166" s="18" t="s">
        <x:v>204</x:v>
      </x:c>
      <x:c r="D166" t="s">
        <x:v>203</x:v>
      </x:c>
      <x:c r="E166">
        <x:v>245.2</x:v>
      </x:c>
      <x:c r="F166">
        <x:v>0.11</x:v>
      </x:c>
      <x:c r="G166">
        <x:v>0.09</x:v>
      </x:c>
    </x:row>
    <x:row r="167">
      <x:c r="A167" t="s">
        <x:v>179</x:v>
      </x:c>
      <x:c r="B167" t="s">
        <x:v>203</x:v>
      </x:c>
      <x:c r="C167" s="18" t="s">
        <x:v>204</x:v>
      </x:c>
      <x:c r="D167" t="s">
        <x:v>203</x:v>
      </x:c>
      <x:c r="E167">
        <x:v>146.80000000000001</x:v>
      </x:c>
      <x:c r="F167">
        <x:v>0.08</x:v>
      </x:c>
      <x:c r="G167">
        <x:v>0.05</x:v>
      </x:c>
    </x:row>
    <x:row r="168">
      <x:c r="A168" t="s">
        <x:v>180</x:v>
      </x:c>
      <x:c r="B168" t="s">
        <x:v>203</x:v>
      </x:c>
      <x:c r="C168" s="18" t="s">
        <x:v>204</x:v>
      </x:c>
      <x:c r="D168" t="s">
        <x:v>203</x:v>
      </x:c>
      <x:c r="E168">
        <x:v>161.5</x:v>
      </x:c>
      <x:c r="F168">
        <x:v>0.08</x:v>
      </x:c>
      <x:c r="G168">
        <x:v>0.06</x:v>
      </x:c>
    </x:row>
    <x:row r="169">
      <x:c r="A169" t="s">
        <x:v>181</x:v>
      </x:c>
      <x:c r="B169" t="s">
        <x:v>203</x:v>
      </x:c>
      <x:c r="C169" s="18" t="s">
        <x:v>204</x:v>
      </x:c>
      <x:c r="D169" t="s">
        <x:v>203</x:v>
      </x:c>
      <x:c r="E169">
        <x:v>1375.2</x:v>
      </x:c>
      <x:c r="F169">
        <x:v>0.5</x:v>
      </x:c>
      <x:c r="G169">
        <x:v>0.5</x:v>
      </x:c>
    </x:row>
    <x:row r="170">
      <x:c r="A170" t="s">
        <x:v>182</x:v>
      </x:c>
      <x:c r="B170" t="s">
        <x:v>203</x:v>
      </x:c>
      <x:c r="C170" s="18" t="s">
        <x:v>204</x:v>
      </x:c>
      <x:c r="D170" t="s">
        <x:v>203</x:v>
      </x:c>
      <x:c r="E170">
        <x:v>91.8</x:v>
      </x:c>
      <x:c r="F170">
        <x:v>0.06</x:v>
      </x:c>
      <x:c r="G170">
        <x:v>0.03</x:v>
      </x:c>
    </x:row>
    <x:row r="171">
      <x:c r="A171" t="s">
        <x:v>183</x:v>
      </x:c>
      <x:c r="B171" t="s">
        <x:v>203</x:v>
      </x:c>
      <x:c r="C171" s="18" t="s">
        <x:v>204</x:v>
      </x:c>
      <x:c r="D171" t="s">
        <x:v>203</x:v>
      </x:c>
      <x:c r="E171">
        <x:v>194.7</x:v>
      </x:c>
      <x:c r="F171">
        <x:v>0.1</x:v>
      </x:c>
      <x:c r="G171">
        <x:v>7.0000000000000007E-2</x:v>
      </x:c>
    </x:row>
    <x:row r="172">
      <x:c r="A172" t="s">
        <x:v>184</x:v>
      </x:c>
      <x:c r="B172" t="s">
        <x:v>203</x:v>
      </x:c>
      <x:c r="C172" s="18" t="s">
        <x:v>204</x:v>
      </x:c>
      <x:c r="D172" t="s">
        <x:v>203</x:v>
      </x:c>
      <x:c r="E172">
        <x:v>85.9</x:v>
      </x:c>
      <x:c r="F172">
        <x:v>0.06</x:v>
      </x:c>
      <x:c r="G172">
        <x:v>0.03</x:v>
      </x:c>
    </x:row>
    <x:row r="173">
      <x:c r="A173" t="s">
        <x:v>185</x:v>
      </x:c>
      <x:c r="B173" t="s">
        <x:v>203</x:v>
      </x:c>
      <x:c r="C173" s="18" t="s">
        <x:v>204</x:v>
      </x:c>
      <x:c r="D173" t="s">
        <x:v>203</x:v>
      </x:c>
      <x:c r="E173">
        <x:v>337.6</x:v>
      </x:c>
      <x:c r="F173">
        <x:v>0.15</x:v>
      </x:c>
      <x:c r="G173">
        <x:v>0.12</x:v>
      </x:c>
    </x:row>
    <x:row r="174">
      <x:c r="A174" t="s">
        <x:v>186</x:v>
      </x:c>
      <x:c r="B174" t="s">
        <x:v>203</x:v>
      </x:c>
      <x:c r="C174" s="18" t="s">
        <x:v>204</x:v>
      </x:c>
      <x:c r="D174" t="s">
        <x:v>203</x:v>
      </x:c>
      <x:c r="E174">
        <x:v>206.4</x:v>
      </x:c>
      <x:c r="F174">
        <x:v>0.1</x:v>
      </x:c>
      <x:c r="G174">
        <x:v>7.0000000000000007E-2</x:v>
      </x:c>
    </x:row>
    <x:row r="175">
      <x:c r="A175" t="s">
        <x:v>187</x:v>
      </x:c>
      <x:c r="B175" t="s">
        <x:v>203</x:v>
      </x:c>
      <x:c r="C175" s="18" t="s">
        <x:v>204</x:v>
      </x:c>
      <x:c r="D175" t="s">
        <x:v>203</x:v>
      </x:c>
      <x:c r="E175">
        <x:v>3066.8</x:v>
      </x:c>
      <x:c r="F175">
        <x:v>1.08</x:v>
      </x:c>
      <x:c r="G175">
        <x:v>1.1100000000000001</x:v>
      </x:c>
    </x:row>
    <x:row r="176">
      <x:c r="A176" t="s">
        <x:v>188</x:v>
      </x:c>
      <x:c r="B176" t="s">
        <x:v>203</x:v>
      </x:c>
      <x:c r="C176" s="18" t="s">
        <x:v>204</x:v>
      </x:c>
      <x:c r="D176" t="s">
        <x:v>203</x:v>
      </x:c>
      <x:c r="E176">
        <x:v>62.7</x:v>
      </x:c>
      <x:c r="F176">
        <x:v>0.05</x:v>
      </x:c>
      <x:c r="G176">
        <x:v>0.02</x:v>
      </x:c>
    </x:row>
    <x:row r="177">
      <x:c r="A177" t="s">
        <x:v>189</x:v>
      </x:c>
      <x:c r="B177" t="s">
        <x:v>203</x:v>
      </x:c>
      <x:c r="C177" s="18" t="s">
        <x:v>204</x:v>
      </x:c>
      <x:c r="D177" t="s">
        <x:v>203</x:v>
      </x:c>
      <x:c r="E177">
        <x:v>50.2</x:v>
      </x:c>
      <x:c r="F177">
        <x:v>0.05</x:v>
      </x:c>
      <x:c r="G177">
        <x:v>0.02</x:v>
      </x:c>
    </x:row>
    <x:row r="178">
      <x:c r="A178" t="s">
        <x:v>190</x:v>
      </x:c>
      <x:c r="B178" t="s">
        <x:v>203</x:v>
      </x:c>
      <x:c r="C178" s="18" t="s">
        <x:v>204</x:v>
      </x:c>
      <x:c r="D178" t="s">
        <x:v>203</x:v>
      </x:c>
      <x:c r="E178">
        <x:v>113.3</x:v>
      </x:c>
      <x:c r="F178">
        <x:v>7.0000000000000007E-2</x:v>
      </x:c>
      <x:c r="G178">
        <x:v>0.04</x:v>
      </x:c>
    </x:row>
    <x:row r="179">
      <x:c r="A179" t="s">
        <x:v>191</x:v>
      </x:c>
      <x:c r="B179" t="s">
        <x:v>203</x:v>
      </x:c>
      <x:c r="C179" s="18" t="s">
        <x:v>204</x:v>
      </x:c>
      <x:c r="D179" t="s">
        <x:v>203</x:v>
      </x:c>
      <x:c r="E179">
        <x:v>1606.5</x:v>
      </x:c>
      <x:c r="F179">
        <x:v>0.57999999999999996</x:v>
      </x:c>
      <x:c r="G179">
        <x:v>0.57999999999999996</x:v>
      </x:c>
    </x:row>
    <x:row r="180">
      <x:c r="A180" t="s">
        <x:v>192</x:v>
      </x:c>
      <x:c r="B180" t="s">
        <x:v>203</x:v>
      </x:c>
      <x:c r="C180" s="18" t="s">
        <x:v>204</x:v>
      </x:c>
      <x:c r="D180" t="s">
        <x:v>203</x:v>
      </x:c>
      <x:c r="E180">
        <x:v>704.3</x:v>
      </x:c>
      <x:c r="F180">
        <x:v>0.27</x:v>
      </x:c>
      <x:c r="G180">
        <x:v>0.26</x:v>
      </x:c>
    </x:row>
    <x:row r="181">
      <x:c r="A181" t="s">
        <x:v>193</x:v>
      </x:c>
      <x:c r="B181" t="s">
        <x:v>203</x:v>
      </x:c>
      <x:c r="C181" s="18" t="s">
        <x:v>204</x:v>
      </x:c>
      <x:c r="D181" t="s">
        <x:v>203</x:v>
      </x:c>
      <x:c r="E181">
        <x:v>10861.1</x:v>
      </x:c>
      <x:c r="F181">
        <x:v>3.75</x:v>
      </x:c>
      <x:c r="G181">
        <x:v>3.94</x:v>
      </x:c>
    </x:row>
    <x:row r="182">
      <x:c r="A182" t="s">
        <x:v>194</x:v>
      </x:c>
      <x:c r="B182" t="s">
        <x:v>203</x:v>
      </x:c>
      <x:c r="C182" s="18" t="s">
        <x:v>204</x:v>
      </x:c>
      <x:c r="D182" t="s">
        <x:v>203</x:v>
      </x:c>
      <x:c r="E182">
        <x:v>46546.2</x:v>
      </x:c>
      <x:c r="F182">
        <x:v>15.98</x:v>
      </x:c>
      <x:c r="G182">
        <x:v>16.89</x:v>
      </x:c>
    </x:row>
    <x:row r="183">
      <x:c r="A183" t="s">
        <x:v>195</x:v>
      </x:c>
      <x:c r="B183" t="s">
        <x:v>203</x:v>
      </x:c>
      <x:c r="C183" s="18" t="s">
        <x:v>204</x:v>
      </x:c>
      <x:c r="D183" t="s">
        <x:v>203</x:v>
      </x:c>
      <x:c r="E183">
        <x:v>390.2</x:v>
      </x:c>
      <x:c r="F183">
        <x:v>0.16</x:v>
      </x:c>
      <x:c r="G183">
        <x:v>0.14000000000000001</x:v>
      </x:c>
    </x:row>
    <x:row r="184">
      <x:c r="A184" t="s">
        <x:v>196</x:v>
      </x:c>
      <x:c r="B184" t="s">
        <x:v>203</x:v>
      </x:c>
      <x:c r="C184" s="18" t="s">
        <x:v>204</x:v>
      </x:c>
      <x:c r="D184" t="s">
        <x:v>203</x:v>
      </x:c>
      <x:c r="E184">
        <x:v>423.8</x:v>
      </x:c>
      <x:c r="F184">
        <x:v>0.17</x:v>
      </x:c>
      <x:c r="G184">
        <x:v>0.15</x:v>
      </x:c>
    </x:row>
    <x:row r="185">
      <x:c r="A185" t="s">
        <x:v>197</x:v>
      </x:c>
      <x:c r="B185" t="s">
        <x:v>203</x:v>
      </x:c>
      <x:c r="C185" s="18" t="s">
        <x:v>204</x:v>
      </x:c>
      <x:c r="D185" t="s">
        <x:v>203</x:v>
      </x:c>
      <x:c r="E185">
        <x:v>93.3</x:v>
      </x:c>
      <x:c r="F185">
        <x:v>0.06</x:v>
      </x:c>
      <x:c r="G185">
        <x:v>0.03</x:v>
      </x:c>
    </x:row>
    <x:row r="186">
      <x:c r="A186" t="s">
        <x:v>198</x:v>
      </x:c>
      <x:c r="B186" t="s">
        <x:v>203</x:v>
      </x:c>
      <x:c r="C186" s="18" t="s">
        <x:v>204</x:v>
      </x:c>
      <x:c r="D186" t="s">
        <x:v>203</x:v>
      </x:c>
      <x:c r="E186">
        <x:v>2036.1</x:v>
      </x:c>
      <x:c r="F186">
        <x:v>0.73</x:v>
      </x:c>
      <x:c r="G186">
        <x:v>0.74</x:v>
      </x:c>
    </x:row>
    <x:row r="187">
      <x:c r="A187" t="s">
        <x:v>199</x:v>
      </x:c>
      <x:c r="B187" t="s">
        <x:v>203</x:v>
      </x:c>
      <x:c r="C187" s="18" t="s">
        <x:v>204</x:v>
      </x:c>
      <x:c r="D187" t="s">
        <x:v>203</x:v>
      </x:c>
      <x:c r="E187">
        <x:v>531.1</x:v>
      </x:c>
      <x:c r="F187">
        <x:v>0.21</x:v>
      </x:c>
      <x:c r="G187">
        <x:v>0.19</x:v>
      </x:c>
    </x:row>
    <x:row r="188">
      <x:c r="A188" t="s">
        <x:v>200</x:v>
      </x:c>
      <x:c r="B188" t="s">
        <x:v>203</x:v>
      </x:c>
      <x:c r="C188" s="18" t="s">
        <x:v>204</x:v>
      </x:c>
      <x:c r="D188" t="s">
        <x:v>203</x:v>
      </x:c>
      <x:c r="E188">
        <x:v>221.2</x:v>
      </x:c>
      <x:c r="F188">
        <x:v>0.11</x:v>
      </x:c>
      <x:c r="G188">
        <x:v>0.08</x:v>
      </x:c>
    </x:row>
    <x:row r="189">
      <x:c r="A189" t="s">
        <x:v>201</x:v>
      </x:c>
      <x:c r="B189" t="s">
        <x:v>203</x:v>
      </x:c>
      <x:c r="C189" s="18" t="s">
        <x:v>204</x:v>
      </x:c>
      <x:c r="D189" t="s">
        <x:v>203</x:v>
      </x:c>
      <x:c r="E189">
        <x:v>472.7</x:v>
      </x:c>
      <x:c r="F189">
        <x:v>0.19</x:v>
      </x:c>
      <x:c r="G189">
        <x:v>0.17</x:v>
      </x:c>
    </x:row>
    <x:row r="190">
      <x:c r="A190" t="s">
        <x:v>202</x:v>
      </x:c>
      <x:c r="B190" t="s">
        <x:v>203</x:v>
      </x:c>
      <x:c r="C190" s="18" t="s">
        <x:v>204</x:v>
      </x:c>
      <x:c r="D190" t="s">
        <x:v>203</x:v>
      </x:c>
      <x:c r="E190">
        <x:v>399.6</x:v>
      </x:c>
      <x:c r="F190">
        <x:v>0.17</x:v>
      </x:c>
      <x:c r="G190">
        <x:v>0.14000000000000001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cfc21006ded4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9" customWidth="1"/>
    <x:col min="2" max="2" width="34" customWidth="1"/>
    <x:col min="3" max="3" width="28" customWidth="1"/>
    <x:col min="4" max="4" width="46" customWidth="1"/>
    <x:col min="5" max="5" width="23" customWidth="1"/>
    <x:col min="6" max="6" width="25" customWidth="1"/>
    <x:col min="7" max="7" width="46" customWidth="1"/>
    <x:col min="8" max="8" width="32" customWidth="1"/>
    <x:col min="9" max="9" width="52" customWidth="1"/>
    <x:col min="10" max="10" width="13" customWidth="1"/>
    <x:col min="11" max="11" width="46" customWidth="1"/>
  </x:cols>
  <x:sheetData>
    <x:row r="1" ht="24" customHeight="1">
      <x:c r="A1" s="52" t="s">
        <x:v>205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24" customHeight="1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</x:row>
    <x:row r="3" ht="38" customHeight="1">
      <x:c r="A3" s="53" t="s">
        <x:v>206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5" ht="32">
      <x:c r="A5" s="277" t="s">
        <x:v>207</x:v>
      </x:c>
      <x:c r="B5" s="277" t="s">
        <x:v>1</x:v>
      </x:c>
      <x:c r="C5" s="277" t="s">
        <x:v>208</x:v>
      </x:c>
      <x:c r="D5" s="277" t="s">
        <x:v>209</x:v>
      </x:c>
      <x:c r="E5" s="277" t="s">
        <x:v>210</x:v>
      </x:c>
      <x:c r="F5" s="277" t="s">
        <x:v>211</x:v>
      </x:c>
      <x:c r="G5" s="277" t="s">
        <x:v>212</x:v>
      </x:c>
      <x:c r="H5" s="277" t="s">
        <x:v>213</x:v>
      </x:c>
      <x:c r="I5" s="277" t="s">
        <x:v>214</x:v>
      </x:c>
      <x:c r="J5" s="277" t="s">
        <x:v>215</x:v>
      </x:c>
      <x:c r="K5" s="277" t="s">
        <x:v>216</x:v>
      </x:c>
    </x:row>
    <x:row r="6" ht="64" customHeight="1">
      <x:c r="A6" s="278" t="s">
        <x:v>217</x:v>
      </x:c>
      <x:c r="B6" s="278" t="s">
        <x:v>218</x:v>
      </x:c>
      <x:c r="C6" s="278" t="s">
        <x:v>219</x:v>
      </x:c>
      <x:c r="D6" s="279" t="s">
        <x:v>220</x:v>
      </x:c>
      <x:c r="E6" s="278" t="s">
        <x:v>221</x:v>
      </x:c>
      <x:c r="F6" s="278" t="s">
        <x:v>222</x:v>
      </x:c>
      <x:c r="G6" s="278" t="s">
        <x:v>223</x:v>
      </x:c>
      <x:c r="H6" s="278" t="s">
        <x:v>224</x:v>
      </x:c>
      <x:c r="I6" s="278" t="s">
        <x:v>225</x:v>
      </x:c>
      <x:c r="J6" s="280" t="n">
        <x:f>COUNTIF(Country_Shares!$A$6:$A$659,A6)</x:f>
        <x:v>136</x:v>
      </x:c>
      <x:c r="K6" s="281" t="s">
        <x:v>226</x:v>
      </x:c>
    </x:row>
    <x:row r="7" ht="64" customHeight="1">
      <x:c r="A7" s="278" t="s">
        <x:v>227</x:v>
      </x:c>
      <x:c r="B7" s="278" t="s">
        <x:v>228</x:v>
      </x:c>
      <x:c r="C7" s="278" t="s">
        <x:v>229</x:v>
      </x:c>
      <x:c r="D7" s="281" t="s">
        <x:v>230</x:v>
      </x:c>
      <x:c r="E7" s="278" t="s">
        <x:v>231</x:v>
      </x:c>
      <x:c r="F7" s="278" t="s">
        <x:v>232</x:v>
      </x:c>
      <x:c r="G7" s="278" t="s">
        <x:v>233</x:v>
      </x:c>
      <x:c r="H7" s="278" t="s">
        <x:v>234</x:v>
      </x:c>
      <x:c r="I7" s="278" t="s">
        <x:v>235</x:v>
      </x:c>
      <x:c r="J7" s="280" t="n">
        <x:f>COUNTIF(Country_Shares!$A$6:$A$659,A7)</x:f>
        <x:v>96</x:v>
      </x:c>
      <x:c r="K7" s="281" t="s">
        <x:v>236</x:v>
      </x:c>
    </x:row>
    <x:row r="8" ht="64" customHeight="1">
      <x:c r="A8" s="278" t="s">
        <x:v>237</x:v>
      </x:c>
      <x:c r="B8" s="278" t="s">
        <x:v>238</x:v>
      </x:c>
      <x:c r="C8" s="278" t="s">
        <x:v>239</x:v>
      </x:c>
      <x:c r="D8" s="281" t="s">
        <x:v>240</x:v>
      </x:c>
      <x:c r="E8" s="278" t="s">
        <x:v>241</x:v>
      </x:c>
      <x:c r="F8" s="278" t="s">
        <x:v>242</x:v>
      </x:c>
      <x:c r="G8" s="278" t="s">
        <x:v>243</x:v>
      </x:c>
      <x:c r="H8" s="278" t="s">
        <x:v>244</x:v>
      </x:c>
      <x:c r="I8" s="278" t="s">
        <x:v>245</x:v>
      </x:c>
      <x:c r="J8" s="280" t="n">
        <x:f>COUNTIF(Country_Shares!$A$6:$A$659,A8)</x:f>
        <x:v>81</x:v>
      </x:c>
      <x:c r="K8" s="281" t="s">
        <x:v>246</x:v>
      </x:c>
    </x:row>
    <x:row r="9" ht="64" customHeight="1">
      <x:c r="A9" s="278" t="s">
        <x:v>247</x:v>
      </x:c>
      <x:c r="B9" s="278" t="s">
        <x:v>248</x:v>
      </x:c>
      <x:c r="C9" s="278" t="s">
        <x:v>249</x:v>
      </x:c>
      <x:c r="D9" s="281" t="s">
        <x:v>250</x:v>
      </x:c>
      <x:c r="E9" s="278" t="s">
        <x:v>251</x:v>
      </x:c>
      <x:c r="F9" s="278" t="s">
        <x:v>252</x:v>
      </x:c>
      <x:c r="G9" s="278" t="s">
        <x:v>253</x:v>
      </x:c>
      <x:c r="H9" s="278" t="s">
        <x:v>254</x:v>
      </x:c>
      <x:c r="I9" s="278" t="s">
        <x:v>255</x:v>
      </x:c>
      <x:c r="J9" s="280" t="n">
        <x:f>COUNTIF(Country_Shares!$A$6:$A$659,A9)</x:f>
        <x:v>36</x:v>
      </x:c>
      <x:c r="K9" s="281" t="s">
        <x:v>256</x:v>
      </x:c>
    </x:row>
    <x:row r="10" ht="62" customHeight="1">
      <x:c r="A10" s="278" t="s">
        <x:v>257</x:v>
      </x:c>
      <x:c r="B10" s="278" t="s">
        <x:v>258</x:v>
      </x:c>
      <x:c r="C10" s="278" t="str">
        <x:v>Subscribed-capital share + ordinary loan-decision voting power</x:v>
      </x:c>
      <x:c r="D10" s="281" t="str">
        <x:v>https://www.bcie.org/api/documents/26127/BCIE%20Presentaci%C3%B3n%20Institucional%20Cifras%20Diciembre%202024.pdf</x:v>
      </x:c>
      <x:c r="E10" s="278" t="str">
        <x:v>Official investor presentation + Constitutive Agreement / Board rules</x:v>
      </x:c>
      <x:c r="F10" s="278" t="str">
        <x:v>31 Dec 2024</x:v>
      </x:c>
      <x:c r="G10" s="278" t="str">
        <x:v>Extract the official capital table; preserve A/B and zero-face-value C shares; pair with Board decision rules.</x:v>
      </x:c>
      <x:c r="H10" s="278" t="str">
        <x:v>Complete capital and ordinary loan-vote extract (2024)</x:v>
      </x:c>
      <x:c r="I10" s="278" t="str">
        <x:v>Authorized-capital percentages do not sum to subscribed capital. Loan-vote weights allocate underlying member votes; a shared-constituency director may cast several members’ votes as one bloc.</x:v>
      </x:c>
      <x:c r="J10" s="280" t="n">
        <x:v>15</x:v>
      </x:c>
      <x:c r="K10" s="281" t="str">
        <x:v>https://www.bcie.org/api/documents/17913/RIDDA.Integrado.ENERO%202025.pdf</x:v>
      </x:c>
    </x:row>
    <x:row r="11" ht="62" customHeight="1">
      <x:c r="A11" s="278" t="s">
        <x:v>259</x:v>
      </x:c>
      <x:c r="B11" s="278" t="s">
        <x:v>260</x:v>
      </x:c>
      <x:c r="C11" s="278" t="str">
        <x:v>Subscribed-capital share + ordinary Board loan-decision seat share</x:v>
      </x:c>
      <x:c r="D11" s="281" t="str">
        <x:v>https://www.caf.com/media/4675803/2412-caf-investor-presentation-wp.pdf</x:v>
      </x:c>
      <x:c r="E11" s="278" t="str">
        <x:v>Official investor presentation + Constitutive Agreement / Board composition</x:v>
      </x:c>
      <x:c r="F11" s="278" t="str">
        <x:v>31 Dec 2024</x:v>
      </x:c>
      <x:c r="G11" s="278" t="str">
        <x:v>Retain the reported A/B/C category and rounded capital percentage; construct Board seats under arts. 24–27; archive each Board-composition period.</x:v>
      </x:c>
      <x:c r="H11" s="278" t="str">
        <x:v>Complete rounded capital and ordinary loan-vote extract (2024)</x:v>
      </x:c>
      <x:c r="I11" s="278" t="str">
        <x:v>Capital shares are normalized from rounded percentages. Formal Board voting is one-director/one-vote; country-normalized power excludes the private-banking seat, preserves zero-seat countries as 0.00%, and uses principal-country attribution.</x:v>
      </x:c>
      <x:c r="J11" s="280" t="n">
        <x:v>23</x:v>
      </x:c>
      <x:c r="K11" s="281" t="str">
        <x:v>https://www.caf.com/media/4680568/convenio-constitutivo-ingles.pdf</x:v>
      </x:c>
    </x:row>
    <x:row r="12" ht="64" customHeight="1">
      <x:c r="A12" s="278" t="s">
        <x:v>261</x:v>
      </x:c>
      <x:c r="B12" s="278" t="s">
        <x:v>262</x:v>
      </x:c>
      <x:c r="C12" s="278" t="s">
        <x:v>263</x:v>
      </x:c>
      <x:c r="D12" s="281" t="s">
        <x:v>264</x:v>
      </x:c>
      <x:c r="E12" s="278" t="s">
        <x:v>265</x:v>
      </x:c>
      <x:c r="F12" s="278" t="s">
        <x:v>266</x:v>
      </x:c>
      <x:c r="G12" s="278" t="s">
        <x:v>267</x:v>
      </x:c>
      <x:c r="H12" s="278" t="s">
        <x:v>268</x:v>
      </x:c>
      <x:c r="I12" s="278" t="s">
        <x:v>269</x:v>
      </x:c>
      <x:c r="J12" s="280" t="n">
        <x:f>COUNTIF(Country_Shares!$A$6:$A$659,A12)</x:f>
        <x:v>58</x:v>
      </x:c>
      <x:c r="K12" s="281" t="s">
        <x:v>270</x:v>
      </x:c>
    </x:row>
    <x:row r="13" ht="64" customHeight="1">
      <x:c r="A13" s="278" t="s">
        <x:v>271</x:v>
      </x:c>
      <x:c r="B13" s="278" t="s">
        <x:v>272</x:v>
      </x:c>
      <x:c r="C13" s="278" t="s">
        <x:v>273</x:v>
      </x:c>
      <x:c r="D13" s="281" t="s">
        <x:v>274</x:v>
      </x:c>
      <x:c r="E13" s="278" t="s">
        <x:v>275</x:v>
      </x:c>
      <x:c r="F13" s="278" t="s">
        <x:v>276</x:v>
      </x:c>
      <x:c r="G13" s="278" t="s">
        <x:v>277</x:v>
      </x:c>
      <x:c r="H13" s="278" t="s">
        <x:v>278</x:v>
      </x:c>
      <x:c r="I13" s="278" t="s">
        <x:v>279</x:v>
      </x:c>
      <x:c r="J13" s="280" t="n">
        <x:f>COUNTIF(Country_Shares!$A$6:$A$659,A13)</x:f>
        <x:v>79</x:v>
      </x:c>
      <x:c r="K13" s="281" t="s">
        <x:v>280</x:v>
      </x:c>
    </x:row>
    <x:row r="14" ht="64" customHeight="1">
      <x:c r="A14" s="278" t="s">
        <x:v>281</x:v>
      </x:c>
      <x:c r="B14" s="278" t="s">
        <x:v>282</x:v>
      </x:c>
      <x:c r="C14" s="278" t="s">
        <x:v>283</x:v>
      </x:c>
      <x:c r="D14" s="281" t="s">
        <x:v>284</x:v>
      </x:c>
      <x:c r="E14" s="278" t="s">
        <x:v>285</x:v>
      </x:c>
      <x:c r="F14" s="278" t="s">
        <x:v>286</x:v>
      </x:c>
      <x:c r="G14" s="278" t="s">
        <x:v>287</x:v>
      </x:c>
      <x:c r="H14" s="278" t="s">
        <x:v>288</x:v>
      </x:c>
      <x:c r="I14" s="278" t="s">
        <x:v>289</x:v>
      </x:c>
      <x:c r="J14" s="280" t="n">
        <x:f>COUNTIF(Country_Shares!$A$6:$A$659,A14)</x:f>
        <x:v>0</x:v>
      </x:c>
      <x:c r="K14" s="281" t="s">
        <x:v>290</x:v>
      </x:c>
    </x:row>
    <x:row r="15" ht="64" customHeight="1">
      <x:c r="A15" s="278" t="s">
        <x:v>291</x:v>
      </x:c>
      <x:c r="B15" s="278" t="s">
        <x:v>292</x:v>
      </x:c>
      <x:c r="C15" s="278" t="s">
        <x:v>293</x:v>
      </x:c>
      <x:c r="D15" s="281" t="s">
        <x:v>294</x:v>
      </x:c>
      <x:c r="E15" s="278" t="s">
        <x:v>285</x:v>
      </x:c>
      <x:c r="F15" s="278" t="s">
        <x:v>295</x:v>
      </x:c>
      <x:c r="G15" s="278" t="s">
        <x:v>296</x:v>
      </x:c>
      <x:c r="H15" s="278" t="s">
        <x:v>288</x:v>
      </x:c>
      <x:c r="I15" s="278" t="s">
        <x:v>297</x:v>
      </x:c>
      <x:c r="J15" s="280" t="n">
        <x:f>COUNTIF(Country_Shares!$A$6:$A$659,A15)</x:f>
        <x:v>0</x:v>
      </x:c>
      <x:c r="K15" s="281" t="s">
        <x:v>298</x:v>
      </x:c>
    </x:row>
    <x:row r="16" ht="64" customHeight="1">
      <x:c r="A16" s="278" t="s">
        <x:v>299</x:v>
      </x:c>
      <x:c r="B16" s="278" t="s">
        <x:v>300</x:v>
      </x:c>
      <x:c r="C16" s="278" t="s">
        <x:v>301</x:v>
      </x:c>
      <x:c r="D16" s="281" t="s">
        <x:v>302</x:v>
      </x:c>
      <x:c r="E16" s="278" t="s">
        <x:v>303</x:v>
      </x:c>
      <x:c r="F16" s="278" t="s">
        <x:v>252</x:v>
      </x:c>
      <x:c r="G16" s="278" t="s">
        <x:v>304</x:v>
      </x:c>
      <x:c r="H16" s="278" t="s">
        <x:v>305</x:v>
      </x:c>
      <x:c r="I16" s="278" t="s">
        <x:v>306</x:v>
      </x:c>
      <x:c r="J16" s="280" t="n">
        <x:f>COUNTIF(Country_Shares!$A$6:$A$659,A16)</x:f>
        <x:v>48</x:v>
      </x:c>
      <x:c r="K16" s="281" t="s">
        <x:v>307</x:v>
      </x:c>
    </x:row>
    <x:row r="17" ht="64" customHeight="1">
      <x:c r="A17" s="278" t="s">
        <x:v>308</x:v>
      </x:c>
      <x:c r="B17" s="278" t="s">
        <x:v>309</x:v>
      </x:c>
      <x:c r="C17" s="278" t="s">
        <x:v>273</x:v>
      </x:c>
      <x:c r="D17" s="281" t="s">
        <x:v>310</x:v>
      </x:c>
      <x:c r="E17" s="278" t="s">
        <x:v>311</x:v>
      </x:c>
      <x:c r="F17" s="278" t="s">
        <x:v>312</x:v>
      </x:c>
      <x:c r="G17" s="278" t="s">
        <x:v>313</x:v>
      </x:c>
      <x:c r="H17" s="278" t="s">
        <x:v>314</x:v>
      </x:c>
      <x:c r="I17" s="278" t="s">
        <x:v>315</x:v>
      </x:c>
      <x:c r="J17" s="280" t="n">
        <x:f>COUNTIF(Country_Shares!$A$6:$A$659,A17)</x:f>
        <x:v>57</x:v>
      </x:c>
      <x:c r="K17" s="281" t="s">
        <x:v>316</x:v>
      </x:c>
    </x:row>
    <x:row r="18" ht="64" customHeight="1">
      <x:c r="A18" s="278" t="s">
        <x:v>317</x:v>
      </x:c>
      <x:c r="B18" s="278" t="s">
        <x:v>318</x:v>
      </x:c>
      <x:c r="C18" s="278" t="s">
        <x:v>319</x:v>
      </x:c>
      <x:c r="D18" s="281" t="s">
        <x:v>320</x:v>
      </x:c>
      <x:c r="E18" s="278" t="s">
        <x:v>321</x:v>
      </x:c>
      <x:c r="F18" s="278" t="s">
        <x:v>322</x:v>
      </x:c>
      <x:c r="G18" s="278" t="s">
        <x:v>323</x:v>
      </x:c>
      <x:c r="H18" s="278" t="s">
        <x:v>324</x:v>
      </x:c>
      <x:c r="I18" s="278" t="s">
        <x:v>325</x:v>
      </x:c>
      <x:c r="J18" s="280" t="n">
        <x:f>COUNTIF(Country_Shares!$A$6:$A$659,A18)</x:f>
        <x:v>9</x:v>
      </x:c>
      <x:c r="K18" s="281" t="s">
        <x:v>326</x:v>
      </x:c>
    </x:row>
    <x:row r="19" ht="64" customHeight="1">
      <x:c r="A19" s="278" t="s">
        <x:v>327</x:v>
      </x:c>
      <x:c r="B19" s="278" t="s">
        <x:v>328</x:v>
      </x:c>
      <x:c r="C19" s="278" t="s">
        <x:v>319</x:v>
      </x:c>
      <x:c r="D19" s="281" t="s">
        <x:v>329</x:v>
      </x:c>
      <x:c r="E19" s="278" t="s">
        <x:v>265</x:v>
      </x:c>
      <x:c r="F19" s="278" t="s">
        <x:v>266</x:v>
      </x:c>
      <x:c r="G19" s="278" t="s">
        <x:v>330</x:v>
      </x:c>
      <x:c r="H19" s="278" t="s">
        <x:v>331</x:v>
      </x:c>
      <x:c r="I19" s="278" t="s">
        <x:v>332</x:v>
      </x:c>
      <x:c r="J19" s="280" t="n">
        <x:f>COUNTIF(Country_Shares!$A$6:$A$659,A19)</x:f>
        <x:v>54</x:v>
      </x:c>
      <x:c r="K19" s="281" t="s">
        <x:v>333</x:v>
      </x:c>
    </x:row>
  </x:sheetData>
  <x:mergeCells>
    <x:mergeCell ref="A1:K2"/>
    <x:mergeCell ref="A3:K3"/>
  </x:mergeCells>
  <x:hyperlinks>
    <x:hyperlink xmlns:r="http://schemas.openxmlformats.org/officeDocument/2006/relationships" ref="D6" r:id="R9b586a8a738940c3"/>
  </x:hyperlinks>
  <x:pageMargins left="0.7" right="0.7" top="0.75" bottom="0.75" header="0.3" footer="0.3"/>
  <x:tableParts count="1">
    <x:tablePart xmlns:r="http://schemas.openxmlformats.org/officeDocument/2006/relationships" r:id="R938986a108e94f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8" customWidth="1"/>
    <x:col min="2" max="2" width="34" customWidth="1"/>
    <x:col min="3" max="3" width="13" customWidth="1"/>
    <x:col min="4" max="4" width="8" customWidth="1"/>
    <x:col min="5" max="5" width="29" customWidth="1"/>
    <x:col min="6" max="6" width="15" customWidth="1"/>
    <x:col min="7" max="7" width="22" customWidth="1"/>
    <x:col min="8" max="9" width="17" customWidth="1"/>
    <x:col min="10" max="10" width="27" customWidth="1"/>
    <x:col min="11" max="11" width="17" customWidth="1"/>
    <x:col min="12" max="12" width="16" customWidth="1"/>
    <x:col min="13" max="13" width="14" customWidth="1"/>
    <x:col min="14" max="15" width="17" customWidth="1"/>
    <x:col min="16" max="16" width="16" customWidth="1"/>
    <x:col min="17" max="17" width="48" customWidth="1"/>
    <x:col min="18" max="18" width="31" customWidth="1"/>
    <x:col min="19" max="19" width="29" customWidth="1"/>
    <x:col min="20" max="20" width="58" customWidth="1"/>
    <x:col min="21" max="21" width="20" hidden="0" customWidth="1"/>
    <x:col min="22" max="22" width="18" hidden="0" customWidth="1"/>
    <x:col min="23" max="23" width="18" hidden="0" customWidth="1"/>
    <x:col min="24" max="24" width="17" hidden="0" customWidth="1"/>
    <x:col min="25" max="25" width="22" hidden="0" customWidth="1"/>
    <x:col min="26" max="26" width="50" hidden="0" customWidth="1"/>
  </x:cols>
  <x:sheetData>
    <x:row r="1" ht="24" customHeight="1">
      <x:c r="A1" s="52" t="s">
        <x:v>334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4" customHeight="1">
      <x:c r="A2" s="177" t="str">
        <x:v>Normalized country/member share observations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  <x:c r="S2" s="177"/>
      <x:c r="T2" s="177"/>
      <x:c r="U2" s="120"/>
      <x:c r="V2" s="120"/>
      <x:c r="W2" s="120"/>
      <x:c r="X2" s="120"/>
      <x:c r="Y2" s="120"/>
      <x:c r="Z2" s="120"/>
    </x:row>
    <x:row r="3" ht="38" customHeight="1">
      <x:c r="A3" s="129" t="str">
        <x:v>Capital ownership, formal voting power and ordinary loan-decision power are separate. Country-normalized loan votes exclude non-country decision seats and are intended for country-level analysis.</x:v>
      </x:c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  <x:c r="U3" s="129"/>
      <x:c r="V3" s="129"/>
      <x:c r="W3" s="129"/>
      <x:c r="X3" s="129"/>
      <x:c r="Y3" s="129"/>
      <x:c r="Z3" s="129"/>
    </x:row>
    <x:row r="5" ht="50" customHeight="1">
      <x:c r="A5" s="1" t="s">
        <x:v>207</x:v>
      </x:c>
      <x:c r="B5" s="1" t="s">
        <x:v>1</x:v>
      </x:c>
      <x:c r="C5" s="1" t="s">
        <x:v>335</x:v>
      </x:c>
      <x:c r="D5" s="1" t="s">
        <x:v>336</x:v>
      </x:c>
      <x:c r="E5" s="1" t="s">
        <x:v>337</x:v>
      </x:c>
      <x:c r="F5" s="1" t="s">
        <x:v>338</x:v>
      </x:c>
      <x:c r="G5" s="1" t="s">
        <x:v>339</x:v>
      </x:c>
      <x:c r="H5" s="1" t="s">
        <x:v>340</x:v>
      </x:c>
      <x:c r="I5" s="1" t="s">
        <x:v>341</x:v>
      </x:c>
      <x:c r="J5" s="1" t="s">
        <x:v>342</x:v>
      </x:c>
      <x:c r="K5" s="1" t="s">
        <x:v>343</x:v>
      </x:c>
      <x:c r="L5" s="1" t="s">
        <x:v>344</x:v>
      </x:c>
      <x:c r="M5" s="1" t="s">
        <x:v>345</x:v>
      </x:c>
      <x:c r="N5" s="1" t="s">
        <x:v>346</x:v>
      </x:c>
      <x:c r="O5" s="1" t="s">
        <x:v>347</x:v>
      </x:c>
      <x:c r="P5" s="1" t="s">
        <x:v>348</x:v>
      </x:c>
      <x:c r="Q5" s="1" t="s">
        <x:v>349</x:v>
      </x:c>
      <x:c r="R5" s="1" t="s">
        <x:v>350</x:v>
      </x:c>
      <x:c r="S5" s="1" t="s">
        <x:v>351</x:v>
      </x:c>
      <x:c r="T5" s="1" t="s">
        <x:v>352</x:v>
      </x:c>
      <x:c r="U5" s="139" t="str">
        <x:v>Decision organ</x:v>
      </x:c>
      <x:c r="V5" s="139" t="str">
        <x:v>Loan decision votes</x:v>
      </x:c>
      <x:c r="W5" s="139" t="str">
        <x:v>Loan vote denominator</x:v>
      </x:c>
      <x:c r="X5" s="139" t="str">
        <x:v>Formal loan vote %</x:v>
      </x:c>
      <x:c r="Y5" s="139" t="str">
        <x:v>Country-normalized loan vote %</x:v>
      </x:c>
      <x:c r="Z5" s="139" t="str">
        <x:v>Loan vote basis</x:v>
      </x:c>
    </x:row>
    <x:row r="6" ht="22" customHeight="1">
      <x:c r="A6" s="5" t="s">
        <x:v>217</x:v>
      </x:c>
      <x:c r="B6" s="5" t="s">
        <x:v>218</x:v>
      </x:c>
      <x:c r="C6" s="6">
        <x:v>44196</x:v>
      </x:c>
      <x:c r="D6" s="5">
        <x:v>2020</x:v>
      </x:c>
      <x:c r="E6" s="5" t="s">
        <x:v>353</x:v>
      </x:c>
      <x:c r="F6" s="5" t="s">
        <x:v>0</x:v>
      </x:c>
      <x:c r="G6" s="5" t="s">
        <x:v>354</x:v>
      </x:c>
      <x:c r="H6" s="8"/>
      <x:c r="I6" s="8"/>
      <x:c r="J6" s="5"/>
      <x:c r="K6" s="7">
        <x:v>3.4000000000000002E-4</x:v>
      </x:c>
      <x:c r="L6" s="9" t="n">
        <x:f t="shared" ref="L6:L69" si="0">IF(AND(H6&lt;&gt;"",I6&lt;&gt;""),H6/I6,IF(K6&lt;&gt;"",K6,""))</x:f>
        <x:v>0.00034</x:v>
      </x:c>
      <x:c r="M6" s="8"/>
      <x:c r="N6" s="8"/>
      <x:c r="O6" s="7">
        <x:v>3.2100000000000002E-3</x:v>
      </x:c>
      <x:c r="P6" s="9" t="n">
        <x:f t="shared" ref="P6:P69" si="1">IF(AND(M6&lt;&gt;"",N6&lt;&gt;""),M6/N6,IF(O6&lt;&gt;"",O6,""))</x:f>
        <x:v>0.00321</x:v>
      </x:c>
      <x:c r="Q6" s="10" t="s">
        <x:v>355</x:v>
      </x:c>
      <x:c r="R6" s="5" t="s">
        <x:v>356</x:v>
      </x:c>
      <x:c r="S6" s="5" t="s">
        <x:v>357</x:v>
      </x:c>
      <x:c r="T6" s="5" t="s">
        <x:v>358</x:v>
      </x:c>
      <x:c r="U6" s="151"/>
      <x:c r="V6" s="151"/>
      <x:c r="W6" s="151"/>
      <x:c r="X6" s="151"/>
      <x:c r="Y6" s="151"/>
      <x:c r="Z6" s="151"/>
    </x:row>
    <x:row r="7" ht="22" customHeight="1">
      <x:c r="A7" s="5" t="s">
        <x:v>217</x:v>
      </x:c>
      <x:c r="B7" s="5" t="s">
        <x:v>218</x:v>
      </x:c>
      <x:c r="C7" s="6">
        <x:v>44196</x:v>
      </x:c>
      <x:c r="D7" s="5">
        <x:v>2020</x:v>
      </x:c>
      <x:c r="E7" s="5" t="s">
        <x:v>359</x:v>
      </x:c>
      <x:c r="F7" s="5" t="s">
        <x:v>0</x:v>
      </x:c>
      <x:c r="G7" s="5" t="s">
        <x:v>354</x:v>
      </x:c>
      <x:c r="H7" s="8"/>
      <x:c r="I7" s="8"/>
      <x:c r="J7" s="5"/>
      <x:c r="K7" s="7">
        <x:v>2.98E-3</x:v>
      </x:c>
      <x:c r="L7" s="9">
        <x:f t="shared" si="0"/>
        <x:v>2.98E-3</x:v>
      </x:c>
      <x:c r="M7" s="8"/>
      <x:c r="N7" s="8"/>
      <x:c r="O7" s="7">
        <x:v>5.3200000000000001E-3</x:v>
      </x:c>
      <x:c r="P7" s="9">
        <x:f t="shared" si="1"/>
        <x:v>5.3200000000000001E-3</x:v>
      </x:c>
      <x:c r="Q7" s="10" t="s">
        <x:v>355</x:v>
      </x:c>
      <x:c r="R7" s="5" t="s">
        <x:v>356</x:v>
      </x:c>
      <x:c r="S7" s="5" t="s">
        <x:v>357</x:v>
      </x:c>
      <x:c r="T7" s="5" t="s">
        <x:v>358</x:v>
      </x:c>
      <x:c r="U7" s="151"/>
      <x:c r="V7" s="151"/>
      <x:c r="W7" s="151"/>
      <x:c r="X7" s="151"/>
      <x:c r="Y7" s="151"/>
      <x:c r="Z7" s="151"/>
    </x:row>
    <x:row r="8" ht="22" customHeight="1">
      <x:c r="A8" s="5" t="s">
        <x:v>217</x:v>
      </x:c>
      <x:c r="B8" s="5" t="s">
        <x:v>218</x:v>
      </x:c>
      <x:c r="C8" s="6">
        <x:v>44196</x:v>
      </x:c>
      <x:c r="D8" s="5">
        <x:v>2020</x:v>
      </x:c>
      <x:c r="E8" s="5" t="s">
        <x:v>360</x:v>
      </x:c>
      <x:c r="F8" s="5" t="s">
        <x:v>0</x:v>
      </x:c>
      <x:c r="G8" s="5" t="s">
        <x:v>354</x:v>
      </x:c>
      <x:c r="H8" s="8"/>
      <x:c r="I8" s="8"/>
      <x:c r="J8" s="5"/>
      <x:c r="K8" s="7">
        <x:v>5.7729999999999997E-2</x:v>
      </x:c>
      <x:c r="L8" s="9">
        <x:f t="shared" si="0"/>
        <x:v>5.7729999999999997E-2</x:v>
      </x:c>
      <x:c r="M8" s="8"/>
      <x:c r="N8" s="8"/>
      <x:c r="O8" s="7">
        <x:v>4.913E-2</x:v>
      </x:c>
      <x:c r="P8" s="9">
        <x:f t="shared" si="1"/>
        <x:v>4.913E-2</x:v>
      </x:c>
      <x:c r="Q8" s="10" t="s">
        <x:v>355</x:v>
      </x:c>
      <x:c r="R8" s="5" t="s">
        <x:v>356</x:v>
      </x:c>
      <x:c r="S8" s="5" t="s">
        <x:v>357</x:v>
      </x:c>
      <x:c r="T8" s="5" t="s">
        <x:v>358</x:v>
      </x:c>
      <x:c r="U8" s="151"/>
      <x:c r="V8" s="151"/>
      <x:c r="W8" s="151"/>
      <x:c r="X8" s="151"/>
      <x:c r="Y8" s="151"/>
      <x:c r="Z8" s="151"/>
    </x:row>
    <x:row r="9" ht="22" customHeight="1">
      <x:c r="A9" s="5" t="s">
        <x:v>217</x:v>
      </x:c>
      <x:c r="B9" s="5" t="s">
        <x:v>218</x:v>
      </x:c>
      <x:c r="C9" s="6">
        <x:v>44196</x:v>
      </x:c>
      <x:c r="D9" s="5">
        <x:v>2020</x:v>
      </x:c>
      <x:c r="E9" s="5" t="s">
        <x:v>361</x:v>
      </x:c>
      <x:c r="F9" s="5" t="s">
        <x:v>0</x:v>
      </x:c>
      <x:c r="G9" s="5" t="s">
        <x:v>354</x:v>
      </x:c>
      <x:c r="H9" s="8"/>
      <x:c r="I9" s="8"/>
      <x:c r="J9" s="5"/>
      <x:c r="K9" s="7">
        <x:v>4.4400000000000004E-3</x:v>
      </x:c>
      <x:c r="L9" s="9">
        <x:f t="shared" si="0"/>
        <x:v>4.4400000000000004E-3</x:v>
      </x:c>
      <x:c r="M9" s="8"/>
      <x:c r="N9" s="8"/>
      <x:c r="O9" s="7">
        <x:v>6.4900000000000001E-3</x:v>
      </x:c>
      <x:c r="P9" s="9">
        <x:f t="shared" si="1"/>
        <x:v>6.4900000000000001E-3</x:v>
      </x:c>
      <x:c r="Q9" s="10" t="s">
        <x:v>355</x:v>
      </x:c>
      <x:c r="R9" s="5" t="s">
        <x:v>356</x:v>
      </x:c>
      <x:c r="S9" s="5" t="s">
        <x:v>357</x:v>
      </x:c>
      <x:c r="T9" s="5" t="s">
        <x:v>358</x:v>
      </x:c>
      <x:c r="U9" s="151"/>
      <x:c r="V9" s="151"/>
      <x:c r="W9" s="151"/>
      <x:c r="X9" s="151"/>
      <x:c r="Y9" s="151"/>
      <x:c r="Z9" s="151"/>
    </x:row>
    <x:row r="10" ht="22" customHeight="1">
      <x:c r="A10" s="5" t="s">
        <x:v>217</x:v>
      </x:c>
      <x:c r="B10" s="5" t="s">
        <x:v>218</x:v>
      </x:c>
      <x:c r="C10" s="6">
        <x:v>44196</x:v>
      </x:c>
      <x:c r="D10" s="5">
        <x:v>2020</x:v>
      </x:c>
      <x:c r="E10" s="5" t="s">
        <x:v>362</x:v>
      </x:c>
      <x:c r="F10" s="5" t="s">
        <x:v>0</x:v>
      </x:c>
      <x:c r="G10" s="5" t="s">
        <x:v>354</x:v>
      </x:c>
      <x:c r="H10" s="8"/>
      <x:c r="I10" s="8"/>
      <x:c r="J10" s="5"/>
      <x:c r="K10" s="7">
        <x:v>1.0189999999999999E-2</x:v>
      </x:c>
      <x:c r="L10" s="9">
        <x:f t="shared" si="0"/>
        <x:v>1.0189999999999999E-2</x:v>
      </x:c>
      <x:c r="M10" s="8"/>
      <x:c r="N10" s="8"/>
      <x:c r="O10" s="7">
        <x:v>1.1089999999999999E-2</x:v>
      </x:c>
      <x:c r="P10" s="9">
        <x:f t="shared" si="1"/>
        <x:v>1.1089999999999999E-2</x:v>
      </x:c>
      <x:c r="Q10" s="10" t="s">
        <x:v>355</x:v>
      </x:c>
      <x:c r="R10" s="5" t="s">
        <x:v>356</x:v>
      </x:c>
      <x:c r="S10" s="5" t="s">
        <x:v>357</x:v>
      </x:c>
      <x:c r="T10" s="5" t="s">
        <x:v>358</x:v>
      </x:c>
      <x:c r="U10" s="151"/>
      <x:c r="V10" s="151"/>
      <x:c r="W10" s="151"/>
      <x:c r="X10" s="151"/>
      <x:c r="Y10" s="151"/>
      <x:c r="Z10" s="151"/>
    </x:row>
    <x:row r="11" ht="22" customHeight="1">
      <x:c r="A11" s="5" t="s">
        <x:v>217</x:v>
      </x:c>
      <x:c r="B11" s="5" t="s">
        <x:v>218</x:v>
      </x:c>
      <x:c r="C11" s="6">
        <x:v>44196</x:v>
      </x:c>
      <x:c r="D11" s="5">
        <x:v>2020</x:v>
      </x:c>
      <x:c r="E11" s="5" t="s">
        <x:v>363</x:v>
      </x:c>
      <x:c r="F11" s="5" t="s">
        <x:v>0</x:v>
      </x:c>
      <x:c r="G11" s="5" t="s">
        <x:v>354</x:v>
      </x:c>
      <x:c r="H11" s="8"/>
      <x:c r="I11" s="8"/>
      <x:c r="J11" s="5"/>
      <x:c r="K11" s="7">
        <x:v>6.0000000000000002E-5</x:v>
      </x:c>
      <x:c r="L11" s="9">
        <x:f t="shared" si="0"/>
        <x:v>6.0000000000000002E-5</x:v>
      </x:c>
      <x:c r="M11" s="8"/>
      <x:c r="N11" s="8"/>
      <x:c r="O11" s="7">
        <x:v>2.99E-3</x:v>
      </x:c>
      <x:c r="P11" s="9">
        <x:f t="shared" si="1"/>
        <x:v>2.99E-3</x:v>
      </x:c>
      <x:c r="Q11" s="10" t="s">
        <x:v>355</x:v>
      </x:c>
      <x:c r="R11" s="5" t="s">
        <x:v>356</x:v>
      </x:c>
      <x:c r="S11" s="5" t="s">
        <x:v>357</x:v>
      </x:c>
      <x:c r="T11" s="5" t="s">
        <x:v>358</x:v>
      </x:c>
      <x:c r="U11" s="151"/>
      <x:c r="V11" s="151"/>
      <x:c r="W11" s="151"/>
      <x:c r="X11" s="151"/>
      <x:c r="Y11" s="151"/>
      <x:c r="Z11" s="151"/>
    </x:row>
    <x:row r="12" ht="22" customHeight="1">
      <x:c r="A12" s="5" t="s">
        <x:v>217</x:v>
      </x:c>
      <x:c r="B12" s="5" t="s">
        <x:v>218</x:v>
      </x:c>
      <x:c r="C12" s="6">
        <x:v>44196</x:v>
      </x:c>
      <x:c r="D12" s="5">
        <x:v>2020</x:v>
      </x:c>
      <x:c r="E12" s="5" t="s">
        <x:v>364</x:v>
      </x:c>
      <x:c r="F12" s="5" t="s">
        <x:v>0</x:v>
      </x:c>
      <x:c r="G12" s="5" t="s">
        <x:v>354</x:v>
      </x:c>
      <x:c r="H12" s="8"/>
      <x:c r="I12" s="8"/>
      <x:c r="J12" s="5"/>
      <x:c r="K12" s="7">
        <x:v>3.5099999999999997E-3</x:v>
      </x:c>
      <x:c r="L12" s="9">
        <x:f t="shared" si="0"/>
        <x:v>3.5099999999999997E-3</x:v>
      </x:c>
      <x:c r="M12" s="8"/>
      <x:c r="N12" s="8"/>
      <x:c r="O12" s="7">
        <x:v>5.7499999999999999E-3</x:v>
      </x:c>
      <x:c r="P12" s="9">
        <x:f t="shared" si="1"/>
        <x:v>5.7499999999999999E-3</x:v>
      </x:c>
      <x:c r="Q12" s="10" t="s">
        <x:v>355</x:v>
      </x:c>
      <x:c r="R12" s="5" t="s">
        <x:v>356</x:v>
      </x:c>
      <x:c r="S12" s="5" t="s">
        <x:v>357</x:v>
      </x:c>
      <x:c r="T12" s="5" t="s">
        <x:v>358</x:v>
      </x:c>
      <x:c r="U12" s="151"/>
      <x:c r="V12" s="151"/>
      <x:c r="W12" s="151"/>
      <x:c r="X12" s="151"/>
      <x:c r="Y12" s="151"/>
      <x:c r="Z12" s="151"/>
    </x:row>
    <x:row r="13" ht="22" customHeight="1">
      <x:c r="A13" s="5" t="s">
        <x:v>217</x:v>
      </x:c>
      <x:c r="B13" s="5" t="s">
        <x:v>218</x:v>
      </x:c>
      <x:c r="C13" s="6">
        <x:v>44196</x:v>
      </x:c>
      <x:c r="D13" s="5">
        <x:v>2020</x:v>
      </x:c>
      <x:c r="E13" s="5" t="s">
        <x:v>365</x:v>
      </x:c>
      <x:c r="F13" s="5" t="s">
        <x:v>0</x:v>
      </x:c>
      <x:c r="G13" s="5" t="s">
        <x:v>354</x:v>
      </x:c>
      <x:c r="H13" s="8"/>
      <x:c r="I13" s="8"/>
      <x:c r="J13" s="5"/>
      <x:c r="K13" s="7">
        <x:v>4.8999999999999998E-4</x:v>
      </x:c>
      <x:c r="L13" s="9">
        <x:f t="shared" si="0"/>
        <x:v>4.8999999999999998E-4</x:v>
      </x:c>
      <x:c r="M13" s="8"/>
      <x:c r="N13" s="8"/>
      <x:c r="O13" s="7">
        <x:v>3.3400000000000001E-3</x:v>
      </x:c>
      <x:c r="P13" s="9">
        <x:f t="shared" si="1"/>
        <x:v>3.3400000000000001E-3</x:v>
      </x:c>
      <x:c r="Q13" s="10" t="s">
        <x:v>355</x:v>
      </x:c>
      <x:c r="R13" s="5" t="s">
        <x:v>356</x:v>
      </x:c>
      <x:c r="S13" s="5" t="s">
        <x:v>357</x:v>
      </x:c>
      <x:c r="T13" s="5" t="s">
        <x:v>358</x:v>
      </x:c>
      <x:c r="U13" s="151"/>
      <x:c r="V13" s="151"/>
      <x:c r="W13" s="151"/>
      <x:c r="X13" s="151"/>
      <x:c r="Y13" s="151"/>
      <x:c r="Z13" s="151"/>
    </x:row>
    <x:row r="14" ht="22" customHeight="1">
      <x:c r="A14" s="5" t="s">
        <x:v>217</x:v>
      </x:c>
      <x:c r="B14" s="5" t="s">
        <x:v>218</x:v>
      </x:c>
      <x:c r="C14" s="6">
        <x:v>44196</x:v>
      </x:c>
      <x:c r="D14" s="5">
        <x:v>2020</x:v>
      </x:c>
      <x:c r="E14" s="5" t="s">
        <x:v>366</x:v>
      </x:c>
      <x:c r="F14" s="5" t="s">
        <x:v>0</x:v>
      </x:c>
      <x:c r="G14" s="5" t="s">
        <x:v>354</x:v>
      </x:c>
      <x:c r="H14" s="8"/>
      <x:c r="I14" s="8"/>
      <x:c r="J14" s="5"/>
      <x:c r="K14" s="7">
        <x:v>6.429E-2</x:v>
      </x:c>
      <x:c r="L14" s="9">
        <x:f t="shared" si="0"/>
        <x:v>6.429E-2</x:v>
      </x:c>
      <x:c r="M14" s="8"/>
      <x:c r="N14" s="8"/>
      <x:c r="O14" s="7">
        <x:v>5.4370000000000002E-2</x:v>
      </x:c>
      <x:c r="P14" s="9">
        <x:f t="shared" si="1"/>
        <x:v>5.4370000000000002E-2</x:v>
      </x:c>
      <x:c r="Q14" s="10" t="s">
        <x:v>355</x:v>
      </x:c>
      <x:c r="R14" s="5" t="s">
        <x:v>356</x:v>
      </x:c>
      <x:c r="S14" s="5" t="s">
        <x:v>357</x:v>
      </x:c>
      <x:c r="T14" s="5" t="s">
        <x:v>358</x:v>
      </x:c>
      <x:c r="U14" s="151"/>
      <x:c r="V14" s="151"/>
      <x:c r="W14" s="151"/>
      <x:c r="X14" s="151"/>
      <x:c r="Y14" s="151"/>
      <x:c r="Z14" s="151"/>
    </x:row>
    <x:row r="15" ht="22" customHeight="1">
      <x:c r="A15" s="5" t="s">
        <x:v>217</x:v>
      </x:c>
      <x:c r="B15" s="5" t="s">
        <x:v>218</x:v>
      </x:c>
      <x:c r="C15" s="6">
        <x:v>44196</x:v>
      </x:c>
      <x:c r="D15" s="5">
        <x:v>2020</x:v>
      </x:c>
      <x:c r="E15" s="5" t="s">
        <x:v>367</x:v>
      </x:c>
      <x:c r="F15" s="5" t="s">
        <x:v>0</x:v>
      </x:c>
      <x:c r="G15" s="5" t="s">
        <x:v>354</x:v>
      </x:c>
      <x:c r="H15" s="8"/>
      <x:c r="I15" s="8"/>
      <x:c r="J15" s="5"/>
      <x:c r="K15" s="7">
        <x:v>3.0000000000000001E-5</x:v>
      </x:c>
      <x:c r="L15" s="9">
        <x:f t="shared" si="0"/>
        <x:v>3.0000000000000001E-5</x:v>
      </x:c>
      <x:c r="M15" s="8"/>
      <x:c r="N15" s="8"/>
      <x:c r="O15" s="7">
        <x:v>2.96E-3</x:v>
      </x:c>
      <x:c r="P15" s="9">
        <x:f t="shared" si="1"/>
        <x:v>2.96E-3</x:v>
      </x:c>
      <x:c r="Q15" s="10" t="s">
        <x:v>355</x:v>
      </x:c>
      <x:c r="R15" s="5" t="s">
        <x:v>356</x:v>
      </x:c>
      <x:c r="S15" s="5" t="s">
        <x:v>357</x:v>
      </x:c>
      <x:c r="T15" s="5" t="s">
        <x:v>358</x:v>
      </x:c>
      <x:c r="U15" s="151"/>
      <x:c r="V15" s="151"/>
      <x:c r="W15" s="151"/>
      <x:c r="X15" s="151"/>
      <x:c r="Y15" s="151"/>
      <x:c r="Z15" s="151"/>
    </x:row>
    <x:row r="16" ht="22" customHeight="1">
      <x:c r="A16" s="5" t="s">
        <x:v>217</x:v>
      </x:c>
      <x:c r="B16" s="5" t="s">
        <x:v>218</x:v>
      </x:c>
      <x:c r="C16" s="6">
        <x:v>44196</x:v>
      </x:c>
      <x:c r="D16" s="5">
        <x:v>2020</x:v>
      </x:c>
      <x:c r="E16" s="5" t="s">
        <x:v>368</x:v>
      </x:c>
      <x:c r="F16" s="5" t="s">
        <x:v>0</x:v>
      </x:c>
      <x:c r="G16" s="5" t="s">
        <x:v>354</x:v>
      </x:c>
      <x:c r="H16" s="8"/>
      <x:c r="I16" s="8"/>
      <x:c r="J16" s="5"/>
      <x:c r="K16" s="7">
        <x:v>6.8000000000000005E-4</x:v>
      </x:c>
      <x:c r="L16" s="9">
        <x:f t="shared" si="0"/>
        <x:v>6.8000000000000005E-4</x:v>
      </x:c>
      <x:c r="M16" s="8"/>
      <x:c r="N16" s="8"/>
      <x:c r="O16" s="7">
        <x:v>3.4799999999999996E-3</x:v>
      </x:c>
      <x:c r="P16" s="9">
        <x:f t="shared" si="1"/>
        <x:v>3.4799999999999996E-3</x:v>
      </x:c>
      <x:c r="Q16" s="10" t="s">
        <x:v>355</x:v>
      </x:c>
      <x:c r="R16" s="5" t="s">
        <x:v>356</x:v>
      </x:c>
      <x:c r="S16" s="5" t="s">
        <x:v>357</x:v>
      </x:c>
      <x:c r="T16" s="5" t="s">
        <x:v>358</x:v>
      </x:c>
      <x:c r="U16" s="151"/>
      <x:c r="V16" s="151"/>
      <x:c r="W16" s="151"/>
      <x:c r="X16" s="151"/>
      <x:c r="Y16" s="151"/>
      <x:c r="Z16" s="151"/>
    </x:row>
    <x:row r="17" ht="22" customHeight="1">
      <x:c r="A17" s="5" t="s">
        <x:v>217</x:v>
      </x:c>
      <x:c r="B17" s="5" t="s">
        <x:v>218</x:v>
      </x:c>
      <x:c r="C17" s="6">
        <x:v>44196</x:v>
      </x:c>
      <x:c r="D17" s="5">
        <x:v>2020</x:v>
      </x:c>
      <x:c r="E17" s="5" t="s">
        <x:v>369</x:v>
      </x:c>
      <x:c r="F17" s="5" t="s">
        <x:v>0</x:v>
      </x:c>
      <x:c r="G17" s="5" t="s">
        <x:v>354</x:v>
      </x:c>
      <x:c r="H17" s="8"/>
      <x:c r="I17" s="8"/>
      <x:c r="J17" s="5"/>
      <x:c r="K17" s="7">
        <x:v>3.4100000000000003E-3</x:v>
      </x:c>
      <x:c r="L17" s="9">
        <x:f t="shared" si="0"/>
        <x:v>3.4100000000000003E-3</x:v>
      </x:c>
      <x:c r="M17" s="8"/>
      <x:c r="N17" s="8"/>
      <x:c r="O17" s="7">
        <x:v>5.6699999999999997E-3</x:v>
      </x:c>
      <x:c r="P17" s="9">
        <x:f t="shared" si="1"/>
        <x:v>5.6699999999999997E-3</x:v>
      </x:c>
      <x:c r="Q17" s="10" t="s">
        <x:v>355</x:v>
      </x:c>
      <x:c r="R17" s="5" t="s">
        <x:v>356</x:v>
      </x:c>
      <x:c r="S17" s="5" t="s">
        <x:v>357</x:v>
      </x:c>
      <x:c r="T17" s="5" t="s">
        <x:v>358</x:v>
      </x:c>
      <x:c r="U17" s="151"/>
      <x:c r="V17" s="151"/>
      <x:c r="W17" s="151"/>
      <x:c r="X17" s="151"/>
      <x:c r="Y17" s="151"/>
      <x:c r="Z17" s="151"/>
    </x:row>
    <x:row r="18" ht="22" customHeight="1">
      <x:c r="A18" s="5" t="s">
        <x:v>217</x:v>
      </x:c>
      <x:c r="B18" s="5" t="s">
        <x:v>218</x:v>
      </x:c>
      <x:c r="C18" s="6">
        <x:v>44196</x:v>
      </x:c>
      <x:c r="D18" s="5">
        <x:v>2020</x:v>
      </x:c>
      <x:c r="E18" s="5" t="s">
        <x:v>370</x:v>
      </x:c>
      <x:c r="F18" s="5" t="s">
        <x:v>0</x:v>
      </x:c>
      <x:c r="G18" s="5" t="s">
        <x:v>354</x:v>
      </x:c>
      <x:c r="H18" s="8"/>
      <x:c r="I18" s="8"/>
      <x:c r="J18" s="5"/>
      <x:c r="K18" s="7">
        <x:v>5.4300000000000008E-3</x:v>
      </x:c>
      <x:c r="L18" s="9">
        <x:f t="shared" si="0"/>
        <x:v>5.4300000000000008E-3</x:v>
      </x:c>
      <x:c r="M18" s="8"/>
      <x:c r="N18" s="8"/>
      <x:c r="O18" s="7">
        <x:v>7.2899999999999996E-3</x:v>
      </x:c>
      <x:c r="P18" s="9">
        <x:f t="shared" si="1"/>
        <x:v>7.2899999999999996E-3</x:v>
      </x:c>
      <x:c r="Q18" s="10" t="s">
        <x:v>355</x:v>
      </x:c>
      <x:c r="R18" s="5" t="s">
        <x:v>356</x:v>
      </x:c>
      <x:c r="S18" s="5" t="s">
        <x:v>357</x:v>
      </x:c>
      <x:c r="T18" s="5" t="s">
        <x:v>358</x:v>
      </x:c>
      <x:c r="U18" s="151"/>
      <x:c r="V18" s="151"/>
      <x:c r="W18" s="151"/>
      <x:c r="X18" s="151"/>
      <x:c r="Y18" s="151"/>
      <x:c r="Z18" s="151"/>
    </x:row>
    <x:row r="19" ht="22" customHeight="1">
      <x:c r="A19" s="5" t="s">
        <x:v>217</x:v>
      </x:c>
      <x:c r="B19" s="5" t="s">
        <x:v>218</x:v>
      </x:c>
      <x:c r="C19" s="6">
        <x:v>44196</x:v>
      </x:c>
      <x:c r="D19" s="5">
        <x:v>2020</x:v>
      </x:c>
      <x:c r="E19" s="5" t="s">
        <x:v>371</x:v>
      </x:c>
      <x:c r="F19" s="5" t="s">
        <x:v>0</x:v>
      </x:c>
      <x:c r="G19" s="5" t="s">
        <x:v>354</x:v>
      </x:c>
      <x:c r="H19" s="8"/>
      <x:c r="I19" s="8"/>
      <x:c r="J19" s="5"/>
      <x:c r="K19" s="7">
        <x:v>6.3170000000000004E-2</x:v>
      </x:c>
      <x:c r="L19" s="9">
        <x:f t="shared" si="0"/>
        <x:v>6.3170000000000004E-2</x:v>
      </x:c>
      <x:c r="M19" s="8"/>
      <x:c r="N19" s="8"/>
      <x:c r="O19" s="7">
        <x:v>5.3470000000000004E-2</x:v>
      </x:c>
      <x:c r="P19" s="9">
        <x:f t="shared" si="1"/>
        <x:v>5.3470000000000004E-2</x:v>
      </x:c>
      <x:c r="Q19" s="10" t="s">
        <x:v>355</x:v>
      </x:c>
      <x:c r="R19" s="5" t="s">
        <x:v>356</x:v>
      </x:c>
      <x:c r="S19" s="5" t="s">
        <x:v>357</x:v>
      </x:c>
      <x:c r="T19" s="5" t="s">
        <x:v>358</x:v>
      </x:c>
      <x:c r="U19" s="151"/>
      <x:c r="V19" s="151"/>
      <x:c r="W19" s="151"/>
      <x:c r="X19" s="151"/>
      <x:c r="Y19" s="151"/>
      <x:c r="Z19" s="151"/>
    </x:row>
    <x:row r="20" ht="22" customHeight="1">
      <x:c r="A20" s="5" t="s">
        <x:v>217</x:v>
      </x:c>
      <x:c r="B20" s="5" t="s">
        <x:v>218</x:v>
      </x:c>
      <x:c r="C20" s="6">
        <x:v>44196</x:v>
      </x:c>
      <x:c r="D20" s="5">
        <x:v>2020</x:v>
      </x:c>
      <x:c r="E20" s="5" t="s">
        <x:v>372</x:v>
      </x:c>
      <x:c r="F20" s="5" t="s">
        <x:v>0</x:v>
      </x:c>
      <x:c r="G20" s="5" t="s">
        <x:v>354</x:v>
      </x:c>
      <x:c r="H20" s="8"/>
      <x:c r="I20" s="8"/>
      <x:c r="J20" s="5"/>
      <x:c r="K20" s="7">
        <x:v>5.4339999999999999E-2</x:v>
      </x:c>
      <x:c r="L20" s="9">
        <x:f t="shared" si="0"/>
        <x:v>5.4339999999999999E-2</x:v>
      </x:c>
      <x:c r="M20" s="8"/>
      <x:c r="N20" s="8"/>
      <x:c r="O20" s="7">
        <x:v>4.641E-2</x:v>
      </x:c>
      <x:c r="P20" s="9">
        <x:f t="shared" si="1"/>
        <x:v>4.641E-2</x:v>
      </x:c>
      <x:c r="Q20" s="10" t="s">
        <x:v>355</x:v>
      </x:c>
      <x:c r="R20" s="5" t="s">
        <x:v>356</x:v>
      </x:c>
      <x:c r="S20" s="5" t="s">
        <x:v>357</x:v>
      </x:c>
      <x:c r="T20" s="5" t="s">
        <x:v>358</x:v>
      </x:c>
      <x:c r="U20" s="151"/>
      <x:c r="V20" s="151"/>
      <x:c r="W20" s="151"/>
      <x:c r="X20" s="151"/>
      <x:c r="Y20" s="151"/>
      <x:c r="Z20" s="151"/>
    </x:row>
    <x:row r="21" ht="22" customHeight="1">
      <x:c r="A21" s="5" t="s">
        <x:v>217</x:v>
      </x:c>
      <x:c r="B21" s="5" t="s">
        <x:v>218</x:v>
      </x:c>
      <x:c r="C21" s="6">
        <x:v>44196</x:v>
      </x:c>
      <x:c r="D21" s="5">
        <x:v>2020</x:v>
      </x:c>
      <x:c r="E21" s="5" t="s">
        <x:v>373</x:v>
      </x:c>
      <x:c r="F21" s="5" t="s">
        <x:v>0</x:v>
      </x:c>
      <x:c r="G21" s="5" t="s">
        <x:v>354</x:v>
      </x:c>
      <x:c r="H21" s="8"/>
      <x:c r="I21" s="8"/>
      <x:c r="J21" s="5"/>
      <x:c r="K21" s="7">
        <x:v>0.15570999999999999</x:v>
      </x:c>
      <x:c r="L21" s="9">
        <x:f t="shared" si="0"/>
        <x:v>0.15570999999999999</x:v>
      </x:c>
      <x:c r="M21" s="8"/>
      <x:c r="N21" s="8"/>
      <x:c r="O21" s="7">
        <x:v>0.12750999999999998</x:v>
      </x:c>
      <x:c r="P21" s="9">
        <x:f t="shared" si="1"/>
        <x:v>0.12750999999999998</x:v>
      </x:c>
      <x:c r="Q21" s="10" t="s">
        <x:v>355</x:v>
      </x:c>
      <x:c r="R21" s="5" t="s">
        <x:v>356</x:v>
      </x:c>
      <x:c r="S21" s="5" t="s">
        <x:v>357</x:v>
      </x:c>
      <x:c r="T21" s="5" t="s">
        <x:v>358</x:v>
      </x:c>
      <x:c r="U21" s="151"/>
      <x:c r="V21" s="151"/>
      <x:c r="W21" s="151"/>
      <x:c r="X21" s="151"/>
      <x:c r="Y21" s="151"/>
      <x:c r="Z21" s="151"/>
    </x:row>
    <x:row r="22" ht="22" customHeight="1">
      <x:c r="A22" s="5" t="s">
        <x:v>217</x:v>
      </x:c>
      <x:c r="B22" s="5" t="s">
        <x:v>218</x:v>
      </x:c>
      <x:c r="C22" s="6">
        <x:v>44196</x:v>
      </x:c>
      <x:c r="D22" s="5">
        <x:v>2020</x:v>
      </x:c>
      <x:c r="E22" s="5" t="s">
        <x:v>374</x:v>
      </x:c>
      <x:c r="F22" s="5" t="s">
        <x:v>0</x:v>
      </x:c>
      <x:c r="G22" s="5" t="s">
        <x:v>354</x:v>
      </x:c>
      <x:c r="H22" s="8"/>
      <x:c r="I22" s="8"/>
      <x:c r="J22" s="5"/>
      <x:c r="K22" s="7">
        <x:v>8.0499999999999999E-3</x:v>
      </x:c>
      <x:c r="L22" s="9">
        <x:f t="shared" si="0"/>
        <x:v>8.0499999999999999E-3</x:v>
      </x:c>
      <x:c r="M22" s="8"/>
      <x:c r="N22" s="8"/>
      <x:c r="O22" s="7">
        <x:v>9.3799999999999994E-3</x:v>
      </x:c>
      <x:c r="P22" s="9">
        <x:f t="shared" si="1"/>
        <x:v>9.3799999999999994E-3</x:v>
      </x:c>
      <x:c r="Q22" s="10" t="s">
        <x:v>355</x:v>
      </x:c>
      <x:c r="R22" s="5" t="s">
        <x:v>356</x:v>
      </x:c>
      <x:c r="S22" s="5" t="s">
        <x:v>357</x:v>
      </x:c>
      <x:c r="T22" s="5" t="s">
        <x:v>358</x:v>
      </x:c>
      <x:c r="U22" s="151"/>
      <x:c r="V22" s="151"/>
      <x:c r="W22" s="151"/>
      <x:c r="X22" s="151"/>
      <x:c r="Y22" s="151"/>
      <x:c r="Z22" s="151"/>
    </x:row>
    <x:row r="23" ht="22" customHeight="1">
      <x:c r="A23" s="5" t="s">
        <x:v>217</x:v>
      </x:c>
      <x:c r="B23" s="5" t="s">
        <x:v>218</x:v>
      </x:c>
      <x:c r="C23" s="6">
        <x:v>44196</x:v>
      </x:c>
      <x:c r="D23" s="5">
        <x:v>2020</x:v>
      </x:c>
      <x:c r="E23" s="5" t="s">
        <x:v>375</x:v>
      </x:c>
      <x:c r="F23" s="5" t="s">
        <x:v>0</x:v>
      </x:c>
      <x:c r="G23" s="5" t="s">
        <x:v>354</x:v>
      </x:c>
      <x:c r="H23" s="8"/>
      <x:c r="I23" s="8"/>
      <x:c r="J23" s="5"/>
      <x:c r="K23" s="7">
        <x:v>4.0000000000000003E-5</x:v>
      </x:c>
      <x:c r="L23" s="9">
        <x:f t="shared" si="0"/>
        <x:v>4.0000000000000003E-5</x:v>
      </x:c>
      <x:c r="M23" s="8"/>
      <x:c r="N23" s="8"/>
      <x:c r="O23" s="7">
        <x:v>2.97E-3</x:v>
      </x:c>
      <x:c r="P23" s="9">
        <x:f t="shared" si="1"/>
        <x:v>2.97E-3</x:v>
      </x:c>
      <x:c r="Q23" s="10" t="s">
        <x:v>355</x:v>
      </x:c>
      <x:c r="R23" s="5" t="s">
        <x:v>356</x:v>
      </x:c>
      <x:c r="S23" s="5" t="s">
        <x:v>357</x:v>
      </x:c>
      <x:c r="T23" s="5" t="s">
        <x:v>358</x:v>
      </x:c>
      <x:c r="U23" s="151"/>
      <x:c r="V23" s="151"/>
      <x:c r="W23" s="151"/>
      <x:c r="X23" s="151"/>
      <x:c r="Y23" s="151"/>
      <x:c r="Z23" s="151"/>
    </x:row>
    <x:row r="24" ht="22" customHeight="1">
      <x:c r="A24" s="5" t="s">
        <x:v>217</x:v>
      </x:c>
      <x:c r="B24" s="5" t="s">
        <x:v>218</x:v>
      </x:c>
      <x:c r="C24" s="6">
        <x:v>44196</x:v>
      </x:c>
      <x:c r="D24" s="5">
        <x:v>2020</x:v>
      </x:c>
      <x:c r="E24" s="5" t="s">
        <x:v>376</x:v>
      </x:c>
      <x:c r="F24" s="5" t="s">
        <x:v>0</x:v>
      </x:c>
      <x:c r="G24" s="5" t="s">
        <x:v>354</x:v>
      </x:c>
      <x:c r="H24" s="8"/>
      <x:c r="I24" s="8"/>
      <x:c r="J24" s="5"/>
      <x:c r="K24" s="7">
        <x:v>5.0259999999999999E-2</x:v>
      </x:c>
      <x:c r="L24" s="9">
        <x:f t="shared" si="0"/>
        <x:v>5.0259999999999999E-2</x:v>
      </x:c>
      <x:c r="M24" s="8"/>
      <x:c r="N24" s="8"/>
      <x:c r="O24" s="7">
        <x:v>4.3150000000000001E-2</x:v>
      </x:c>
      <x:c r="P24" s="9">
        <x:f t="shared" si="1"/>
        <x:v>4.3150000000000001E-2</x:v>
      </x:c>
      <x:c r="Q24" s="10" t="s">
        <x:v>355</x:v>
      </x:c>
      <x:c r="R24" s="5" t="s">
        <x:v>356</x:v>
      </x:c>
      <x:c r="S24" s="5" t="s">
        <x:v>357</x:v>
      </x:c>
      <x:c r="T24" s="5" t="s">
        <x:v>358</x:v>
      </x:c>
      <x:c r="U24" s="151"/>
      <x:c r="V24" s="151"/>
      <x:c r="W24" s="151"/>
      <x:c r="X24" s="151"/>
      <x:c r="Y24" s="151"/>
      <x:c r="Z24" s="151"/>
    </x:row>
    <x:row r="25" ht="22" customHeight="1">
      <x:c r="A25" s="5" t="s">
        <x:v>217</x:v>
      </x:c>
      <x:c r="B25" s="5" t="s">
        <x:v>218</x:v>
      </x:c>
      <x:c r="C25" s="6">
        <x:v>44196</x:v>
      </x:c>
      <x:c r="D25" s="5">
        <x:v>2020</x:v>
      </x:c>
      <x:c r="E25" s="5" t="s">
        <x:v>377</x:v>
      </x:c>
      <x:c r="F25" s="5" t="s">
        <x:v>0</x:v>
      </x:c>
      <x:c r="G25" s="5" t="s">
        <x:v>354</x:v>
      </x:c>
      <x:c r="H25" s="8"/>
      <x:c r="I25" s="8"/>
      <x:c r="J25" s="5"/>
      <x:c r="K25" s="7">
        <x:v>2.98E-3</x:v>
      </x:c>
      <x:c r="L25" s="9">
        <x:f t="shared" si="0"/>
        <x:v>2.98E-3</x:v>
      </x:c>
      <x:c r="M25" s="8"/>
      <x:c r="N25" s="8"/>
      <x:c r="O25" s="7">
        <x:v>5.3300000000000005E-3</x:v>
      </x:c>
      <x:c r="P25" s="9">
        <x:f t="shared" si="1"/>
        <x:v>5.3300000000000005E-3</x:v>
      </x:c>
      <x:c r="Q25" s="10" t="s">
        <x:v>355</x:v>
      </x:c>
      <x:c r="R25" s="5" t="s">
        <x:v>356</x:v>
      </x:c>
      <x:c r="S25" s="5" t="s">
        <x:v>357</x:v>
      </x:c>
      <x:c r="T25" s="5" t="s">
        <x:v>358</x:v>
      </x:c>
      <x:c r="U25" s="151"/>
      <x:c r="V25" s="151"/>
      <x:c r="W25" s="151"/>
      <x:c r="X25" s="151"/>
      <x:c r="Y25" s="151"/>
      <x:c r="Z25" s="151"/>
    </x:row>
    <x:row r="26" ht="22" customHeight="1">
      <x:c r="A26" s="5" t="s">
        <x:v>217</x:v>
      </x:c>
      <x:c r="B26" s="5" t="s">
        <x:v>218</x:v>
      </x:c>
      <x:c r="C26" s="6">
        <x:v>44196</x:v>
      </x:c>
      <x:c r="D26" s="5">
        <x:v>2020</x:v>
      </x:c>
      <x:c r="E26" s="5" t="s">
        <x:v>378</x:v>
      </x:c>
      <x:c r="F26" s="5" t="s">
        <x:v>0</x:v>
      </x:c>
      <x:c r="G26" s="5" t="s">
        <x:v>354</x:v>
      </x:c>
      <x:c r="H26" s="8"/>
      <x:c r="I26" s="8"/>
      <x:c r="J26" s="5"/>
      <x:c r="K26" s="7">
        <x:v>1.4000000000000001E-4</x:v>
      </x:c>
      <x:c r="L26" s="9">
        <x:f t="shared" si="0"/>
        <x:v>1.4000000000000001E-4</x:v>
      </x:c>
      <x:c r="M26" s="8"/>
      <x:c r="N26" s="8"/>
      <x:c r="O26" s="7">
        <x:v>3.0499999999999998E-3</x:v>
      </x:c>
      <x:c r="P26" s="9">
        <x:f t="shared" si="1"/>
        <x:v>3.0499999999999998E-3</x:v>
      </x:c>
      <x:c r="Q26" s="10" t="s">
        <x:v>355</x:v>
      </x:c>
      <x:c r="R26" s="5" t="s">
        <x:v>356</x:v>
      </x:c>
      <x:c r="S26" s="5" t="s">
        <x:v>357</x:v>
      </x:c>
      <x:c r="T26" s="5" t="s">
        <x:v>358</x:v>
      </x:c>
      <x:c r="U26" s="151"/>
      <x:c r="V26" s="151"/>
      <x:c r="W26" s="151"/>
      <x:c r="X26" s="151"/>
      <x:c r="Y26" s="151"/>
      <x:c r="Z26" s="151"/>
    </x:row>
    <x:row r="27" ht="22" customHeight="1">
      <x:c r="A27" s="5" t="s">
        <x:v>217</x:v>
      </x:c>
      <x:c r="B27" s="5" t="s">
        <x:v>218</x:v>
      </x:c>
      <x:c r="C27" s="6">
        <x:v>44196</x:v>
      </x:c>
      <x:c r="D27" s="5">
        <x:v>2020</x:v>
      </x:c>
      <x:c r="E27" s="5" t="s">
        <x:v>379</x:v>
      </x:c>
      <x:c r="F27" s="5" t="s">
        <x:v>0</x:v>
      </x:c>
      <x:c r="G27" s="5" t="s">
        <x:v>354</x:v>
      </x:c>
      <x:c r="H27" s="8"/>
      <x:c r="I27" s="8"/>
      <x:c r="J27" s="5"/>
      <x:c r="K27" s="7">
        <x:v>2.717E-2</x:v>
      </x:c>
      <x:c r="L27" s="9">
        <x:f t="shared" si="0"/>
        <x:v>2.717E-2</x:v>
      </x:c>
      <x:c r="M27" s="8"/>
      <x:c r="N27" s="8"/>
      <x:c r="O27" s="7">
        <x:v>2.4680000000000001E-2</x:v>
      </x:c>
      <x:c r="P27" s="9">
        <x:f t="shared" si="1"/>
        <x:v>2.4680000000000001E-2</x:v>
      </x:c>
      <x:c r="Q27" s="10" t="s">
        <x:v>355</x:v>
      </x:c>
      <x:c r="R27" s="5" t="s">
        <x:v>356</x:v>
      </x:c>
      <x:c r="S27" s="5" t="s">
        <x:v>357</x:v>
      </x:c>
      <x:c r="T27" s="5" t="s">
        <x:v>358</x:v>
      </x:c>
      <x:c r="U27" s="151"/>
      <x:c r="V27" s="151"/>
      <x:c r="W27" s="151"/>
      <x:c r="X27" s="151"/>
      <x:c r="Y27" s="151"/>
      <x:c r="Z27" s="151"/>
    </x:row>
    <x:row r="28" ht="22" customHeight="1">
      <x:c r="A28" s="5" t="s">
        <x:v>217</x:v>
      </x:c>
      <x:c r="B28" s="5" t="s">
        <x:v>218</x:v>
      </x:c>
      <x:c r="C28" s="6">
        <x:v>44196</x:v>
      </x:c>
      <x:c r="D28" s="5">
        <x:v>2020</x:v>
      </x:c>
      <x:c r="E28" s="5" t="s">
        <x:v>380</x:v>
      </x:c>
      <x:c r="F28" s="5" t="s">
        <x:v>0</x:v>
      </x:c>
      <x:c r="G28" s="5" t="s">
        <x:v>354</x:v>
      </x:c>
      <x:c r="H28" s="8"/>
      <x:c r="I28" s="8"/>
      <x:c r="J28" s="5"/>
      <x:c r="K28" s="7">
        <x:v>4.0000000000000003E-5</x:v>
      </x:c>
      <x:c r="L28" s="9">
        <x:f t="shared" si="0"/>
        <x:v>4.0000000000000003E-5</x:v>
      </x:c>
      <x:c r="M28" s="8"/>
      <x:c r="N28" s="8"/>
      <x:c r="O28" s="7">
        <x:v>2.97E-3</x:v>
      </x:c>
      <x:c r="P28" s="9">
        <x:f t="shared" si="1"/>
        <x:v>2.97E-3</x:v>
      </x:c>
      <x:c r="Q28" s="10" t="s">
        <x:v>355</x:v>
      </x:c>
      <x:c r="R28" s="5" t="s">
        <x:v>356</x:v>
      </x:c>
      <x:c r="S28" s="5" t="s">
        <x:v>357</x:v>
      </x:c>
      <x:c r="T28" s="5" t="s">
        <x:v>358</x:v>
      </x:c>
      <x:c r="U28" s="151"/>
      <x:c r="V28" s="151"/>
      <x:c r="W28" s="151"/>
      <x:c r="X28" s="151"/>
      <x:c r="Y28" s="151"/>
      <x:c r="Z28" s="151"/>
    </x:row>
    <x:row r="29" ht="22" customHeight="1">
      <x:c r="A29" s="5" t="s">
        <x:v>217</x:v>
      </x:c>
      <x:c r="B29" s="5" t="s">
        <x:v>218</x:v>
      </x:c>
      <x:c r="C29" s="6">
        <x:v>44196</x:v>
      </x:c>
      <x:c r="D29" s="5">
        <x:v>2020</x:v>
      </x:c>
      <x:c r="E29" s="5" t="s">
        <x:v>381</x:v>
      </x:c>
      <x:c r="F29" s="5" t="s">
        <x:v>0</x:v>
      </x:c>
      <x:c r="G29" s="5" t="s">
        <x:v>354</x:v>
      </x:c>
      <x:c r="H29" s="8"/>
      <x:c r="I29" s="8"/>
      <x:c r="J29" s="5"/>
      <x:c r="K29" s="7">
        <x:v>3.0000000000000001E-5</x:v>
      </x:c>
      <x:c r="L29" s="9">
        <x:f t="shared" si="0"/>
        <x:v>3.0000000000000001E-5</x:v>
      </x:c>
      <x:c r="M29" s="8"/>
      <x:c r="N29" s="8"/>
      <x:c r="O29" s="7">
        <x:v>2.96E-3</x:v>
      </x:c>
      <x:c r="P29" s="9">
        <x:f t="shared" si="1"/>
        <x:v>2.96E-3</x:v>
      </x:c>
      <x:c r="Q29" s="10" t="s">
        <x:v>355</x:v>
      </x:c>
      <x:c r="R29" s="5" t="s">
        <x:v>356</x:v>
      </x:c>
      <x:c r="S29" s="5" t="s">
        <x:v>357</x:v>
      </x:c>
      <x:c r="T29" s="5" t="s">
        <x:v>358</x:v>
      </x:c>
      <x:c r="U29" s="151"/>
      <x:c r="V29" s="151"/>
      <x:c r="W29" s="151"/>
      <x:c r="X29" s="151"/>
      <x:c r="Y29" s="151"/>
      <x:c r="Z29" s="151"/>
    </x:row>
    <x:row r="30" ht="22" customHeight="1">
      <x:c r="A30" s="5" t="s">
        <x:v>217</x:v>
      </x:c>
      <x:c r="B30" s="5" t="s">
        <x:v>218</x:v>
      </x:c>
      <x:c r="C30" s="6">
        <x:v>44196</x:v>
      </x:c>
      <x:c r="D30" s="5">
        <x:v>2020</x:v>
      </x:c>
      <x:c r="E30" s="5" t="s">
        <x:v>382</x:v>
      </x:c>
      <x:c r="F30" s="5" t="s">
        <x:v>0</x:v>
      </x:c>
      <x:c r="G30" s="5" t="s">
        <x:v>354</x:v>
      </x:c>
      <x:c r="H30" s="8"/>
      <x:c r="I30" s="8"/>
      <x:c r="J30" s="5"/>
      <x:c r="K30" s="7">
        <x:v>4.0000000000000003E-5</x:v>
      </x:c>
      <x:c r="L30" s="9">
        <x:f t="shared" si="0"/>
        <x:v>4.0000000000000003E-5</x:v>
      </x:c>
      <x:c r="M30" s="8"/>
      <x:c r="N30" s="8"/>
      <x:c r="O30" s="7">
        <x:v>2.97E-3</x:v>
      </x:c>
      <x:c r="P30" s="9">
        <x:f t="shared" si="1"/>
        <x:v>2.97E-3</x:v>
      </x:c>
      <x:c r="Q30" s="10" t="s">
        <x:v>355</x:v>
      </x:c>
      <x:c r="R30" s="5" t="s">
        <x:v>356</x:v>
      </x:c>
      <x:c r="S30" s="5" t="s">
        <x:v>357</x:v>
      </x:c>
      <x:c r="T30" s="5" t="s">
        <x:v>358</x:v>
      </x:c>
      <x:c r="U30" s="151"/>
      <x:c r="V30" s="151"/>
      <x:c r="W30" s="151"/>
      <x:c r="X30" s="151"/>
      <x:c r="Y30" s="151"/>
      <x:c r="Z30" s="151"/>
    </x:row>
    <x:row r="31" ht="22" customHeight="1">
      <x:c r="A31" s="5" t="s">
        <x:v>217</x:v>
      </x:c>
      <x:c r="B31" s="5" t="s">
        <x:v>218</x:v>
      </x:c>
      <x:c r="C31" s="6">
        <x:v>44196</x:v>
      </x:c>
      <x:c r="D31" s="5">
        <x:v>2020</x:v>
      </x:c>
      <x:c r="E31" s="5" t="s">
        <x:v>383</x:v>
      </x:c>
      <x:c r="F31" s="5" t="s">
        <x:v>0</x:v>
      </x:c>
      <x:c r="G31" s="5" t="s">
        <x:v>354</x:v>
      </x:c>
      <x:c r="H31" s="8"/>
      <x:c r="I31" s="8"/>
      <x:c r="J31" s="5"/>
      <x:c r="K31" s="7">
        <x:v>1.4999999999999999E-4</x:v>
      </x:c>
      <x:c r="L31" s="9">
        <x:f t="shared" si="0"/>
        <x:v>1.4999999999999999E-4</x:v>
      </x:c>
      <x:c r="M31" s="8"/>
      <x:c r="N31" s="8"/>
      <x:c r="O31" s="7">
        <x:v>3.0599999999999998E-3</x:v>
      </x:c>
      <x:c r="P31" s="9">
        <x:f t="shared" si="1"/>
        <x:v>3.0599999999999998E-3</x:v>
      </x:c>
      <x:c r="Q31" s="10" t="s">
        <x:v>355</x:v>
      </x:c>
      <x:c r="R31" s="5" t="s">
        <x:v>356</x:v>
      </x:c>
      <x:c r="S31" s="5" t="s">
        <x:v>357</x:v>
      </x:c>
      <x:c r="T31" s="5" t="s">
        <x:v>358</x:v>
      </x:c>
      <x:c r="U31" s="151"/>
      <x:c r="V31" s="151"/>
      <x:c r="W31" s="151"/>
      <x:c r="X31" s="151"/>
      <x:c r="Y31" s="151"/>
      <x:c r="Z31" s="151"/>
    </x:row>
    <x:row r="32" ht="22" customHeight="1">
      <x:c r="A32" s="5" t="s">
        <x:v>217</x:v>
      </x:c>
      <x:c r="B32" s="5" t="s">
        <x:v>218</x:v>
      </x:c>
      <x:c r="C32" s="6">
        <x:v>44196</x:v>
      </x:c>
      <x:c r="D32" s="5">
        <x:v>2020</x:v>
      </x:c>
      <x:c r="E32" s="5" t="s">
        <x:v>384</x:v>
      </x:c>
      <x:c r="F32" s="5" t="s">
        <x:v>0</x:v>
      </x:c>
      <x:c r="G32" s="5" t="s">
        <x:v>354</x:v>
      </x:c>
      <x:c r="H32" s="8"/>
      <x:c r="I32" s="8"/>
      <x:c r="J32" s="5"/>
      <x:c r="K32" s="7">
        <x:v>5.4300000000000008E-3</x:v>
      </x:c>
      <x:c r="L32" s="9">
        <x:f t="shared" si="0"/>
        <x:v>5.4300000000000008E-3</x:v>
      </x:c>
      <x:c r="M32" s="8"/>
      <x:c r="N32" s="8"/>
      <x:c r="O32" s="7">
        <x:v>7.2899999999999996E-3</x:v>
      </x:c>
      <x:c r="P32" s="9">
        <x:f t="shared" si="1"/>
        <x:v>7.2899999999999996E-3</x:v>
      </x:c>
      <x:c r="Q32" s="10" t="s">
        <x:v>355</x:v>
      </x:c>
      <x:c r="R32" s="5" t="s">
        <x:v>356</x:v>
      </x:c>
      <x:c r="S32" s="5" t="s">
        <x:v>357</x:v>
      </x:c>
      <x:c r="T32" s="5" t="s">
        <x:v>358</x:v>
      </x:c>
      <x:c r="U32" s="151"/>
      <x:c r="V32" s="151"/>
      <x:c r="W32" s="151"/>
      <x:c r="X32" s="151"/>
      <x:c r="Y32" s="151"/>
      <x:c r="Z32" s="151"/>
    </x:row>
    <x:row r="33" ht="22" customHeight="1">
      <x:c r="A33" s="5" t="s">
        <x:v>217</x:v>
      </x:c>
      <x:c r="B33" s="5" t="s">
        <x:v>218</x:v>
      </x:c>
      <x:c r="C33" s="6">
        <x:v>44196</x:v>
      </x:c>
      <x:c r="D33" s="5">
        <x:v>2020</x:v>
      </x:c>
      <x:c r="E33" s="5" t="s">
        <x:v>385</x:v>
      </x:c>
      <x:c r="F33" s="5" t="s">
        <x:v>0</x:v>
      </x:c>
      <x:c r="G33" s="5" t="s">
        <x:v>354</x:v>
      </x:c>
      <x:c r="H33" s="8"/>
      <x:c r="I33" s="8"/>
      <x:c r="J33" s="5"/>
      <x:c r="K33" s="7">
        <x:v>4.0000000000000003E-5</x:v>
      </x:c>
      <x:c r="L33" s="9">
        <x:f t="shared" si="0"/>
        <x:v>4.0000000000000003E-5</x:v>
      </x:c>
      <x:c r="M33" s="8"/>
      <x:c r="N33" s="8"/>
      <x:c r="O33" s="7">
        <x:v>2.97E-3</x:v>
      </x:c>
      <x:c r="P33" s="9">
        <x:f t="shared" si="1"/>
        <x:v>2.97E-3</x:v>
      </x:c>
      <x:c r="Q33" s="10" t="s">
        <x:v>355</x:v>
      </x:c>
      <x:c r="R33" s="5" t="s">
        <x:v>356</x:v>
      </x:c>
      <x:c r="S33" s="5" t="s">
        <x:v>357</x:v>
      </x:c>
      <x:c r="T33" s="5" t="s">
        <x:v>358</x:v>
      </x:c>
      <x:c r="U33" s="151"/>
      <x:c r="V33" s="151"/>
      <x:c r="W33" s="151"/>
      <x:c r="X33" s="151"/>
      <x:c r="Y33" s="151"/>
      <x:c r="Z33" s="151"/>
    </x:row>
    <x:row r="34" ht="22" customHeight="1">
      <x:c r="A34" s="5" t="s">
        <x:v>217</x:v>
      </x:c>
      <x:c r="B34" s="5" t="s">
        <x:v>218</x:v>
      </x:c>
      <x:c r="C34" s="6">
        <x:v>44196</x:v>
      </x:c>
      <x:c r="D34" s="5">
        <x:v>2020</x:v>
      </x:c>
      <x:c r="E34" s="5" t="s">
        <x:v>386</x:v>
      </x:c>
      <x:c r="F34" s="5" t="s">
        <x:v>0</x:v>
      </x:c>
      <x:c r="G34" s="5" t="s">
        <x:v>354</x:v>
      </x:c>
      <x:c r="H34" s="8"/>
      <x:c r="I34" s="8"/>
      <x:c r="J34" s="5"/>
      <x:c r="K34" s="7">
        <x:v>1.47E-3</x:v>
      </x:c>
      <x:c r="L34" s="9">
        <x:f t="shared" si="0"/>
        <x:v>1.47E-3</x:v>
      </x:c>
      <x:c r="M34" s="8"/>
      <x:c r="N34" s="8"/>
      <x:c r="O34" s="7">
        <x:v>4.1099999999999999E-3</x:v>
      </x:c>
      <x:c r="P34" s="9">
        <x:f t="shared" si="1"/>
        <x:v>4.1099999999999999E-3</x:v>
      </x:c>
      <x:c r="Q34" s="10" t="s">
        <x:v>355</x:v>
      </x:c>
      <x:c r="R34" s="5" t="s">
        <x:v>356</x:v>
      </x:c>
      <x:c r="S34" s="5" t="s">
        <x:v>357</x:v>
      </x:c>
      <x:c r="T34" s="5" t="s">
        <x:v>358</x:v>
      </x:c>
      <x:c r="U34" s="151"/>
      <x:c r="V34" s="151"/>
      <x:c r="W34" s="151"/>
      <x:c r="X34" s="151"/>
      <x:c r="Y34" s="151"/>
      <x:c r="Z34" s="151"/>
    </x:row>
    <x:row r="35" ht="22" customHeight="1">
      <x:c r="A35" s="5" t="s">
        <x:v>217</x:v>
      </x:c>
      <x:c r="B35" s="5" t="s">
        <x:v>218</x:v>
      </x:c>
      <x:c r="C35" s="6">
        <x:v>44196</x:v>
      </x:c>
      <x:c r="D35" s="5">
        <x:v>2020</x:v>
      </x:c>
      <x:c r="E35" s="5" t="s">
        <x:v>387</x:v>
      </x:c>
      <x:c r="F35" s="5" t="s">
        <x:v>0</x:v>
      </x:c>
      <x:c r="G35" s="5" t="s">
        <x:v>354</x:v>
      </x:c>
      <x:c r="H35" s="8"/>
      <x:c r="I35" s="8"/>
      <x:c r="J35" s="5"/>
      <x:c r="K35" s="7">
        <x:v>1.532E-2</x:v>
      </x:c>
      <x:c r="L35" s="9">
        <x:f t="shared" si="0"/>
        <x:v>1.532E-2</x:v>
      </x:c>
      <x:c r="M35" s="8"/>
      <x:c r="N35" s="8"/>
      <x:c r="O35" s="7">
        <x:v>1.52E-2</x:v>
      </x:c>
      <x:c r="P35" s="9">
        <x:f t="shared" si="1"/>
        <x:v>1.52E-2</x:v>
      </x:c>
      <x:c r="Q35" s="10" t="s">
        <x:v>355</x:v>
      </x:c>
      <x:c r="R35" s="5" t="s">
        <x:v>356</x:v>
      </x:c>
      <x:c r="S35" s="5" t="s">
        <x:v>357</x:v>
      </x:c>
      <x:c r="T35" s="5" t="s">
        <x:v>358</x:v>
      </x:c>
      <x:c r="U35" s="151"/>
      <x:c r="V35" s="151"/>
      <x:c r="W35" s="151"/>
      <x:c r="X35" s="151"/>
      <x:c r="Y35" s="151"/>
      <x:c r="Z35" s="151"/>
    </x:row>
    <x:row r="36" ht="22" customHeight="1">
      <x:c r="A36" s="5" t="s">
        <x:v>217</x:v>
      </x:c>
      <x:c r="B36" s="5" t="s">
        <x:v>218</x:v>
      </x:c>
      <x:c r="C36" s="6">
        <x:v>44196</x:v>
      </x:c>
      <x:c r="D36" s="5">
        <x:v>2020</x:v>
      </x:c>
      <x:c r="E36" s="5" t="s">
        <x:v>388</x:v>
      </x:c>
      <x:c r="F36" s="5" t="s">
        <x:v>0</x:v>
      </x:c>
      <x:c r="G36" s="5" t="s">
        <x:v>354</x:v>
      </x:c>
      <x:c r="H36" s="8"/>
      <x:c r="I36" s="8"/>
      <x:c r="J36" s="5"/>
      <x:c r="K36" s="7">
        <x:v>1.0000000000000001E-5</x:v>
      </x:c>
      <x:c r="L36" s="9">
        <x:f t="shared" si="0"/>
        <x:v>1.0000000000000001E-5</x:v>
      </x:c>
      <x:c r="M36" s="8"/>
      <x:c r="N36" s="8"/>
      <x:c r="O36" s="7">
        <x:v>2.9499999999999999E-3</x:v>
      </x:c>
      <x:c r="P36" s="9">
        <x:f t="shared" si="1"/>
        <x:v>2.9499999999999999E-3</x:v>
      </x:c>
      <x:c r="Q36" s="10" t="s">
        <x:v>355</x:v>
      </x:c>
      <x:c r="R36" s="5" t="s">
        <x:v>356</x:v>
      </x:c>
      <x:c r="S36" s="5" t="s">
        <x:v>357</x:v>
      </x:c>
      <x:c r="T36" s="5" t="s">
        <x:v>358</x:v>
      </x:c>
      <x:c r="U36" s="151"/>
      <x:c r="V36" s="151"/>
      <x:c r="W36" s="151"/>
      <x:c r="X36" s="151"/>
      <x:c r="Y36" s="151"/>
      <x:c r="Z36" s="151"/>
    </x:row>
    <x:row r="37" ht="22" customHeight="1">
      <x:c r="A37" s="5" t="s">
        <x:v>217</x:v>
      </x:c>
      <x:c r="B37" s="5" t="s">
        <x:v>218</x:v>
      </x:c>
      <x:c r="C37" s="6">
        <x:v>44196</x:v>
      </x:c>
      <x:c r="D37" s="5">
        <x:v>2020</x:v>
      </x:c>
      <x:c r="E37" s="5" t="s">
        <x:v>389</x:v>
      </x:c>
      <x:c r="F37" s="5" t="s">
        <x:v>0</x:v>
      </x:c>
      <x:c r="G37" s="5" t="s">
        <x:v>354</x:v>
      </x:c>
      <x:c r="H37" s="8"/>
      <x:c r="I37" s="8"/>
      <x:c r="J37" s="5"/>
      <x:c r="K37" s="7">
        <x:v>2.1739999999999999E-2</x:v>
      </x:c>
      <x:c r="L37" s="9">
        <x:f t="shared" si="0"/>
        <x:v>2.1739999999999999E-2</x:v>
      </x:c>
      <x:c r="M37" s="8"/>
      <x:c r="N37" s="8"/>
      <x:c r="O37" s="7">
        <x:v>2.0330000000000001E-2</x:v>
      </x:c>
      <x:c r="P37" s="9">
        <x:f t="shared" si="1"/>
        <x:v>2.0330000000000001E-2</x:v>
      </x:c>
      <x:c r="Q37" s="10" t="s">
        <x:v>355</x:v>
      </x:c>
      <x:c r="R37" s="5" t="s">
        <x:v>356</x:v>
      </x:c>
      <x:c r="S37" s="5" t="s">
        <x:v>357</x:v>
      </x:c>
      <x:c r="T37" s="5" t="s">
        <x:v>358</x:v>
      </x:c>
      <x:c r="U37" s="151"/>
      <x:c r="V37" s="151"/>
      <x:c r="W37" s="151"/>
      <x:c r="X37" s="151"/>
      <x:c r="Y37" s="151"/>
      <x:c r="Z37" s="151"/>
    </x:row>
    <x:row r="38" ht="22" customHeight="1">
      <x:c r="A38" s="5" t="s">
        <x:v>217</x:v>
      </x:c>
      <x:c r="B38" s="5" t="s">
        <x:v>218</x:v>
      </x:c>
      <x:c r="C38" s="6">
        <x:v>44196</x:v>
      </x:c>
      <x:c r="D38" s="5">
        <x:v>2020</x:v>
      </x:c>
      <x:c r="E38" s="5" t="s">
        <x:v>390</x:v>
      </x:c>
      <x:c r="F38" s="5" t="s">
        <x:v>0</x:v>
      </x:c>
      <x:c r="G38" s="5" t="s">
        <x:v>354</x:v>
      </x:c>
      <x:c r="H38" s="8"/>
      <x:c r="I38" s="8"/>
      <x:c r="J38" s="5"/>
      <x:c r="K38" s="7">
        <x:v>3.0000000000000001E-5</x:v>
      </x:c>
      <x:c r="L38" s="9">
        <x:f t="shared" si="0"/>
        <x:v>3.0000000000000001E-5</x:v>
      </x:c>
      <x:c r="M38" s="8"/>
      <x:c r="N38" s="8"/>
      <x:c r="O38" s="7">
        <x:v>2.97E-3</x:v>
      </x:c>
      <x:c r="P38" s="9">
        <x:f t="shared" si="1"/>
        <x:v>2.97E-3</x:v>
      </x:c>
      <x:c r="Q38" s="10" t="s">
        <x:v>355</x:v>
      </x:c>
      <x:c r="R38" s="5" t="s">
        <x:v>356</x:v>
      </x:c>
      <x:c r="S38" s="5" t="s">
        <x:v>357</x:v>
      </x:c>
      <x:c r="T38" s="5" t="s">
        <x:v>358</x:v>
      </x:c>
      <x:c r="U38" s="151"/>
      <x:c r="V38" s="151"/>
      <x:c r="W38" s="151"/>
      <x:c r="X38" s="151"/>
      <x:c r="Y38" s="151"/>
      <x:c r="Z38" s="151"/>
    </x:row>
    <x:row r="39" ht="22" customHeight="1">
      <x:c r="A39" s="5" t="s">
        <x:v>217</x:v>
      </x:c>
      <x:c r="B39" s="5" t="s">
        <x:v>218</x:v>
      </x:c>
      <x:c r="C39" s="6">
        <x:v>44196</x:v>
      </x:c>
      <x:c r="D39" s="5">
        <x:v>2020</x:v>
      </x:c>
      <x:c r="E39" s="5" t="s">
        <x:v>391</x:v>
      </x:c>
      <x:c r="F39" s="5" t="s">
        <x:v>0</x:v>
      </x:c>
      <x:c r="G39" s="5" t="s">
        <x:v>354</x:v>
      </x:c>
      <x:c r="H39" s="8"/>
      <x:c r="I39" s="8"/>
      <x:c r="J39" s="5"/>
      <x:c r="K39" s="7">
        <x:v>9.3999999999999997E-4</x:v>
      </x:c>
      <x:c r="L39" s="9">
        <x:f t="shared" si="0"/>
        <x:v>9.3999999999999997E-4</x:v>
      </x:c>
      <x:c r="M39" s="8"/>
      <x:c r="N39" s="8"/>
      <x:c r="O39" s="7">
        <x:v>3.6900000000000001E-3</x:v>
      </x:c>
      <x:c r="P39" s="9">
        <x:f t="shared" si="1"/>
        <x:v>3.6900000000000001E-3</x:v>
      </x:c>
      <x:c r="Q39" s="10" t="s">
        <x:v>355</x:v>
      </x:c>
      <x:c r="R39" s="5" t="s">
        <x:v>356</x:v>
      </x:c>
      <x:c r="S39" s="5" t="s">
        <x:v>357</x:v>
      </x:c>
      <x:c r="T39" s="5" t="s">
        <x:v>358</x:v>
      </x:c>
      <x:c r="U39" s="151"/>
      <x:c r="V39" s="151"/>
      <x:c r="W39" s="151"/>
      <x:c r="X39" s="151"/>
      <x:c r="Y39" s="151"/>
      <x:c r="Z39" s="151"/>
    </x:row>
    <x:row r="40" ht="22" customHeight="1">
      <x:c r="A40" s="5" t="s">
        <x:v>217</x:v>
      </x:c>
      <x:c r="B40" s="5" t="s">
        <x:v>218</x:v>
      </x:c>
      <x:c r="C40" s="6">
        <x:v>44196</x:v>
      </x:c>
      <x:c r="D40" s="5">
        <x:v>2020</x:v>
      </x:c>
      <x:c r="E40" s="5" t="s">
        <x:v>392</x:v>
      </x:c>
      <x:c r="F40" s="5" t="s">
        <x:v>0</x:v>
      </x:c>
      <x:c r="G40" s="5" t="s">
        <x:v>354</x:v>
      </x:c>
      <x:c r="H40" s="8"/>
      <x:c r="I40" s="8"/>
      <x:c r="J40" s="5"/>
      <x:c r="K40" s="7">
        <x:v>2.3769999999999999E-2</x:v>
      </x:c>
      <x:c r="L40" s="9">
        <x:f t="shared" si="0"/>
        <x:v>2.3769999999999999E-2</x:v>
      </x:c>
      <x:c r="M40" s="8"/>
      <x:c r="N40" s="8"/>
      <x:c r="O40" s="7">
        <x:v>2.196E-2</x:v>
      </x:c>
      <x:c r="P40" s="9">
        <x:f t="shared" si="1"/>
        <x:v>2.196E-2</x:v>
      </x:c>
      <x:c r="Q40" s="10" t="s">
        <x:v>355</x:v>
      </x:c>
      <x:c r="R40" s="5" t="s">
        <x:v>356</x:v>
      </x:c>
      <x:c r="S40" s="5" t="s">
        <x:v>357</x:v>
      </x:c>
      <x:c r="T40" s="5" t="s">
        <x:v>358</x:v>
      </x:c>
      <x:c r="U40" s="151"/>
      <x:c r="V40" s="151"/>
      <x:c r="W40" s="151"/>
      <x:c r="X40" s="151"/>
      <x:c r="Y40" s="151"/>
      <x:c r="Z40" s="151"/>
    </x:row>
    <x:row r="41" ht="22" customHeight="1">
      <x:c r="A41" s="5" t="s">
        <x:v>217</x:v>
      </x:c>
      <x:c r="B41" s="5" t="s">
        <x:v>218</x:v>
      </x:c>
      <x:c r="C41" s="6">
        <x:v>44196</x:v>
      </x:c>
      <x:c r="D41" s="5">
        <x:v>2020</x:v>
      </x:c>
      <x:c r="E41" s="5" t="s">
        <x:v>393</x:v>
      </x:c>
      <x:c r="F41" s="5" t="s">
        <x:v>0</x:v>
      </x:c>
      <x:c r="G41" s="5" t="s">
        <x:v>354</x:v>
      </x:c>
      <x:c r="H41" s="8"/>
      <x:c r="I41" s="8"/>
      <x:c r="J41" s="5"/>
      <x:c r="K41" s="7">
        <x:v>3.0000000000000001E-5</x:v>
      </x:c>
      <x:c r="L41" s="9">
        <x:f t="shared" si="0"/>
        <x:v>3.0000000000000001E-5</x:v>
      </x:c>
      <x:c r="M41" s="8"/>
      <x:c r="N41" s="8"/>
      <x:c r="O41" s="7">
        <x:v>2.97E-3</x:v>
      </x:c>
      <x:c r="P41" s="9">
        <x:f t="shared" si="1"/>
        <x:v>2.97E-3</x:v>
      </x:c>
      <x:c r="Q41" s="10" t="s">
        <x:v>355</x:v>
      </x:c>
      <x:c r="R41" s="5" t="s">
        <x:v>356</x:v>
      </x:c>
      <x:c r="S41" s="5" t="s">
        <x:v>357</x:v>
      </x:c>
      <x:c r="T41" s="5" t="s">
        <x:v>358</x:v>
      </x:c>
      <x:c r="U41" s="151"/>
      <x:c r="V41" s="151"/>
      <x:c r="W41" s="151"/>
      <x:c r="X41" s="151"/>
      <x:c r="Y41" s="151"/>
      <x:c r="Z41" s="151"/>
    </x:row>
    <x:row r="42" ht="22" customHeight="1">
      <x:c r="A42" s="5" t="s">
        <x:v>217</x:v>
      </x:c>
      <x:c r="B42" s="5" t="s">
        <x:v>218</x:v>
      </x:c>
      <x:c r="C42" s="6">
        <x:v>44196</x:v>
      </x:c>
      <x:c r="D42" s="5">
        <x:v>2020</x:v>
      </x:c>
      <x:c r="E42" s="5" t="s">
        <x:v>394</x:v>
      </x:c>
      <x:c r="F42" s="5" t="s">
        <x:v>0</x:v>
      </x:c>
      <x:c r="G42" s="5" t="s">
        <x:v>354</x:v>
      </x:c>
      <x:c r="H42" s="8"/>
      <x:c r="I42" s="8"/>
      <x:c r="J42" s="5"/>
      <x:c r="K42" s="7">
        <x:v>3.4000000000000002E-3</x:v>
      </x:c>
      <x:c r="L42" s="9">
        <x:f t="shared" si="0"/>
        <x:v>3.4000000000000002E-3</x:v>
      </x:c>
      <x:c r="M42" s="8"/>
      <x:c r="N42" s="8"/>
      <x:c r="O42" s="7">
        <x:v>5.6599999999999992E-3</x:v>
      </x:c>
      <x:c r="P42" s="9">
        <x:f t="shared" si="1"/>
        <x:v>5.6599999999999992E-3</x:v>
      </x:c>
      <x:c r="Q42" s="10" t="s">
        <x:v>355</x:v>
      </x:c>
      <x:c r="R42" s="5" t="s">
        <x:v>356</x:v>
      </x:c>
      <x:c r="S42" s="5" t="s">
        <x:v>357</x:v>
      </x:c>
      <x:c r="T42" s="5" t="s">
        <x:v>358</x:v>
      </x:c>
      <x:c r="U42" s="151"/>
      <x:c r="V42" s="151"/>
      <x:c r="W42" s="151"/>
      <x:c r="X42" s="151"/>
      <x:c r="Y42" s="151"/>
      <x:c r="Z42" s="151"/>
    </x:row>
    <x:row r="43" ht="22" customHeight="1">
      <x:c r="A43" s="5" t="s">
        <x:v>217</x:v>
      </x:c>
      <x:c r="B43" s="5" t="s">
        <x:v>218</x:v>
      </x:c>
      <x:c r="C43" s="6">
        <x:v>44196</x:v>
      </x:c>
      <x:c r="D43" s="5">
        <x:v>2020</x:v>
      </x:c>
      <x:c r="E43" s="5" t="s">
        <x:v>395</x:v>
      </x:c>
      <x:c r="F43" s="5" t="s">
        <x:v>0</x:v>
      </x:c>
      <x:c r="G43" s="5" t="s">
        <x:v>354</x:v>
      </x:c>
      <x:c r="H43" s="8"/>
      <x:c r="I43" s="8"/>
      <x:c r="J43" s="5"/>
      <x:c r="K43" s="7">
        <x:v>7.0000000000000007E-5</x:v>
      </x:c>
      <x:c r="L43" s="9">
        <x:f t="shared" si="0"/>
        <x:v>7.0000000000000007E-5</x:v>
      </x:c>
      <x:c r="M43" s="8"/>
      <x:c r="N43" s="8"/>
      <x:c r="O43" s="7">
        <x:v>2.99E-3</x:v>
      </x:c>
      <x:c r="P43" s="9">
        <x:f t="shared" si="1"/>
        <x:v>2.99E-3</x:v>
      </x:c>
      <x:c r="Q43" s="10" t="s">
        <x:v>355</x:v>
      </x:c>
      <x:c r="R43" s="5" t="s">
        <x:v>356</x:v>
      </x:c>
      <x:c r="S43" s="5" t="s">
        <x:v>357</x:v>
      </x:c>
      <x:c r="T43" s="5" t="s">
        <x:v>358</x:v>
      </x:c>
      <x:c r="U43" s="151"/>
      <x:c r="V43" s="151"/>
      <x:c r="W43" s="151"/>
      <x:c r="X43" s="151"/>
      <x:c r="Y43" s="151"/>
      <x:c r="Z43" s="151"/>
    </x:row>
    <x:row r="44" ht="22" customHeight="1">
      <x:c r="A44" s="5" t="s">
        <x:v>217</x:v>
      </x:c>
      <x:c r="B44" s="5" t="s">
        <x:v>218</x:v>
      </x:c>
      <x:c r="C44" s="6">
        <x:v>44196</x:v>
      </x:c>
      <x:c r="D44" s="5">
        <x:v>2020</x:v>
      </x:c>
      <x:c r="E44" s="5" t="s">
        <x:v>396</x:v>
      </x:c>
      <x:c r="F44" s="5" t="s">
        <x:v>0</x:v>
      </x:c>
      <x:c r="G44" s="5" t="s">
        <x:v>354</x:v>
      </x:c>
      <x:c r="H44" s="8"/>
      <x:c r="I44" s="8"/>
      <x:c r="J44" s="5"/>
      <x:c r="K44" s="7">
        <x:v>5.79E-3</x:v>
      </x:c>
      <x:c r="L44" s="9">
        <x:f t="shared" si="0"/>
        <x:v>5.79E-3</x:v>
      </x:c>
      <x:c r="M44" s="8"/>
      <x:c r="N44" s="8"/>
      <x:c r="O44" s="7">
        <x:v>7.5700000000000003E-3</x:v>
      </x:c>
      <x:c r="P44" s="9">
        <x:f t="shared" si="1"/>
        <x:v>7.5700000000000003E-3</x:v>
      </x:c>
      <x:c r="Q44" s="10" t="s">
        <x:v>355</x:v>
      </x:c>
      <x:c r="R44" s="5" t="s">
        <x:v>356</x:v>
      </x:c>
      <x:c r="S44" s="5" t="s">
        <x:v>357</x:v>
      </x:c>
      <x:c r="T44" s="5" t="s">
        <x:v>358</x:v>
      </x:c>
      <x:c r="U44" s="151"/>
      <x:c r="V44" s="151"/>
      <x:c r="W44" s="151"/>
      <x:c r="X44" s="151"/>
      <x:c r="Y44" s="151"/>
      <x:c r="Z44" s="151"/>
    </x:row>
    <x:row r="45" ht="22" customHeight="1">
      <x:c r="A45" s="5" t="s">
        <x:v>217</x:v>
      </x:c>
      <x:c r="B45" s="5" t="s">
        <x:v>218</x:v>
      </x:c>
      <x:c r="C45" s="6">
        <x:v>44196</x:v>
      </x:c>
      <x:c r="D45" s="5">
        <x:v>2020</x:v>
      </x:c>
      <x:c r="E45" s="5" t="s">
        <x:v>397</x:v>
      </x:c>
      <x:c r="F45" s="5" t="s">
        <x:v>0</x:v>
      </x:c>
      <x:c r="G45" s="5" t="s">
        <x:v>354</x:v>
      </x:c>
      <x:c r="H45" s="8"/>
      <x:c r="I45" s="8"/>
      <x:c r="J45" s="5"/>
      <x:c r="K45" s="7">
        <x:v>1.0869999999999999E-2</x:v>
      </x:c>
      <x:c r="L45" s="9">
        <x:f t="shared" si="0"/>
        <x:v>1.0869999999999999E-2</x:v>
      </x:c>
      <x:c r="M45" s="8"/>
      <x:c r="N45" s="8"/>
      <x:c r="O45" s="7">
        <x:v>1.1639999999999999E-2</x:v>
      </x:c>
      <x:c r="P45" s="9">
        <x:f t="shared" si="1"/>
        <x:v>1.1639999999999999E-2</x:v>
      </x:c>
      <x:c r="Q45" s="10" t="s">
        <x:v>355</x:v>
      </x:c>
      <x:c r="R45" s="5" t="s">
        <x:v>356</x:v>
      </x:c>
      <x:c r="S45" s="5" t="s">
        <x:v>357</x:v>
      </x:c>
      <x:c r="T45" s="5" t="s">
        <x:v>358</x:v>
      </x:c>
      <x:c r="U45" s="151"/>
      <x:c r="V45" s="151"/>
      <x:c r="W45" s="151"/>
      <x:c r="X45" s="151"/>
      <x:c r="Y45" s="151"/>
      <x:c r="Z45" s="151"/>
    </x:row>
    <x:row r="46" ht="22" customHeight="1">
      <x:c r="A46" s="5" t="s">
        <x:v>217</x:v>
      </x:c>
      <x:c r="B46" s="5" t="s">
        <x:v>218</x:v>
      </x:c>
      <x:c r="C46" s="6">
        <x:v>44196</x:v>
      </x:c>
      <x:c r="D46" s="5">
        <x:v>2020</x:v>
      </x:c>
      <x:c r="E46" s="5" t="s">
        <x:v>398</x:v>
      </x:c>
      <x:c r="F46" s="5" t="s">
        <x:v>0</x:v>
      </x:c>
      <x:c r="G46" s="5" t="s">
        <x:v>354</x:v>
      </x:c>
      <x:c r="H46" s="8"/>
      <x:c r="I46" s="8"/>
      <x:c r="J46" s="5"/>
      <x:c r="K46" s="7">
        <x:v>2.8599999999999997E-3</x:v>
      </x:c>
      <x:c r="L46" s="9">
        <x:f t="shared" si="0"/>
        <x:v>2.8599999999999997E-3</x:v>
      </x:c>
      <x:c r="M46" s="8"/>
      <x:c r="N46" s="8"/>
      <x:c r="O46" s="7">
        <x:v>5.2300000000000003E-3</x:v>
      </x:c>
      <x:c r="P46" s="9">
        <x:f t="shared" si="1"/>
        <x:v>5.2300000000000003E-3</x:v>
      </x:c>
      <x:c r="Q46" s="10" t="s">
        <x:v>355</x:v>
      </x:c>
      <x:c r="R46" s="5" t="s">
        <x:v>356</x:v>
      </x:c>
      <x:c r="S46" s="5" t="s">
        <x:v>357</x:v>
      </x:c>
      <x:c r="T46" s="5" t="s">
        <x:v>358</x:v>
      </x:c>
      <x:c r="U46" s="151"/>
      <x:c r="V46" s="151"/>
      <x:c r="W46" s="151"/>
      <x:c r="X46" s="151"/>
      <x:c r="Y46" s="151"/>
      <x:c r="Z46" s="151"/>
    </x:row>
    <x:row r="47" ht="22" customHeight="1">
      <x:c r="A47" s="5" t="s">
        <x:v>217</x:v>
      </x:c>
      <x:c r="B47" s="5" t="s">
        <x:v>218</x:v>
      </x:c>
      <x:c r="C47" s="6">
        <x:v>44196</x:v>
      </x:c>
      <x:c r="D47" s="5">
        <x:v>2020</x:v>
      </x:c>
      <x:c r="E47" s="5" t="s">
        <x:v>399</x:v>
      </x:c>
      <x:c r="F47" s="5" t="s">
        <x:v>0</x:v>
      </x:c>
      <x:c r="G47" s="5" t="s">
        <x:v>354</x:v>
      </x:c>
      <x:c r="H47" s="8"/>
      <x:c r="I47" s="8"/>
      <x:c r="J47" s="5"/>
      <x:c r="K47" s="7">
        <x:v>1.3580000000000002E-2</x:v>
      </x:c>
      <x:c r="L47" s="9">
        <x:f t="shared" si="0"/>
        <x:v>1.3580000000000002E-2</x:v>
      </x:c>
      <x:c r="M47" s="8"/>
      <x:c r="N47" s="8"/>
      <x:c r="O47" s="7">
        <x:v>1.3809999999999999E-2</x:v>
      </x:c>
      <x:c r="P47" s="9">
        <x:f t="shared" si="1"/>
        <x:v>1.3809999999999999E-2</x:v>
      </x:c>
      <x:c r="Q47" s="10" t="s">
        <x:v>355</x:v>
      </x:c>
      <x:c r="R47" s="5" t="s">
        <x:v>356</x:v>
      </x:c>
      <x:c r="S47" s="5" t="s">
        <x:v>357</x:v>
      </x:c>
      <x:c r="T47" s="5" t="s">
        <x:v>358</x:v>
      </x:c>
      <x:c r="U47" s="151"/>
      <x:c r="V47" s="151"/>
      <x:c r="W47" s="151"/>
      <x:c r="X47" s="151"/>
      <x:c r="Y47" s="151"/>
      <x:c r="Z47" s="151"/>
    </x:row>
    <x:row r="48" ht="22" customHeight="1">
      <x:c r="A48" s="5" t="s">
        <x:v>217</x:v>
      </x:c>
      <x:c r="B48" s="5" t="s">
        <x:v>218</x:v>
      </x:c>
      <x:c r="C48" s="6">
        <x:v>44196</x:v>
      </x:c>
      <x:c r="D48" s="5">
        <x:v>2020</x:v>
      </x:c>
      <x:c r="E48" s="5" t="s">
        <x:v>400</x:v>
      </x:c>
      <x:c r="F48" s="5" t="s">
        <x:v>0</x:v>
      </x:c>
      <x:c r="G48" s="5" t="s">
        <x:v>354</x:v>
      </x:c>
      <x:c r="H48" s="8"/>
      <x:c r="I48" s="8"/>
      <x:c r="J48" s="5"/>
      <x:c r="K48" s="7">
        <x:v>1E-4</x:v>
      </x:c>
      <x:c r="L48" s="9">
        <x:f t="shared" si="0"/>
        <x:v>1E-4</x:v>
      </x:c>
      <x:c r="M48" s="8"/>
      <x:c r="N48" s="8"/>
      <x:c r="O48" s="7">
        <x:v>3.0200000000000001E-3</x:v>
      </x:c>
      <x:c r="P48" s="9">
        <x:f t="shared" si="1"/>
        <x:v>3.0200000000000001E-3</x:v>
      </x:c>
      <x:c r="Q48" s="10" t="s">
        <x:v>355</x:v>
      </x:c>
      <x:c r="R48" s="5" t="s">
        <x:v>356</x:v>
      </x:c>
      <x:c r="S48" s="5" t="s">
        <x:v>357</x:v>
      </x:c>
      <x:c r="T48" s="5" t="s">
        <x:v>358</x:v>
      </x:c>
      <x:c r="U48" s="151"/>
      <x:c r="V48" s="151"/>
      <x:c r="W48" s="151"/>
      <x:c r="X48" s="151"/>
      <x:c r="Y48" s="151"/>
      <x:c r="Z48" s="151"/>
    </x:row>
    <x:row r="49" ht="22" customHeight="1">
      <x:c r="A49" s="5" t="s">
        <x:v>217</x:v>
      </x:c>
      <x:c r="B49" s="5" t="s">
        <x:v>218</x:v>
      </x:c>
      <x:c r="C49" s="6">
        <x:v>44196</x:v>
      </x:c>
      <x:c r="D49" s="5">
        <x:v>2020</x:v>
      </x:c>
      <x:c r="E49" s="5" t="s">
        <x:v>401</x:v>
      </x:c>
      <x:c r="F49" s="5" t="s">
        <x:v>0</x:v>
      </x:c>
      <x:c r="G49" s="5" t="s">
        <x:v>354</x:v>
      </x:c>
      <x:c r="H49" s="8"/>
      <x:c r="I49" s="8"/>
      <x:c r="J49" s="5"/>
      <x:c r="K49" s="7">
        <x:v>4.0000000000000003E-5</x:v>
      </x:c>
      <x:c r="L49" s="9">
        <x:f t="shared" si="0"/>
        <x:v>4.0000000000000003E-5</x:v>
      </x:c>
      <x:c r="M49" s="8"/>
      <x:c r="N49" s="8"/>
      <x:c r="O49" s="7">
        <x:v>2.97E-3</x:v>
      </x:c>
      <x:c r="P49" s="9">
        <x:f t="shared" si="1"/>
        <x:v>2.97E-3</x:v>
      </x:c>
      <x:c r="Q49" s="10" t="s">
        <x:v>355</x:v>
      </x:c>
      <x:c r="R49" s="5" t="s">
        <x:v>356</x:v>
      </x:c>
      <x:c r="S49" s="5" t="s">
        <x:v>357</x:v>
      </x:c>
      <x:c r="T49" s="5" t="s">
        <x:v>358</x:v>
      </x:c>
      <x:c r="U49" s="151"/>
      <x:c r="V49" s="151"/>
      <x:c r="W49" s="151"/>
      <x:c r="X49" s="151"/>
      <x:c r="Y49" s="151"/>
      <x:c r="Z49" s="151"/>
    </x:row>
    <x:row r="50" ht="22" customHeight="1">
      <x:c r="A50" s="5" t="s">
        <x:v>217</x:v>
      </x:c>
      <x:c r="B50" s="5" t="s">
        <x:v>218</x:v>
      </x:c>
      <x:c r="C50" s="6">
        <x:v>44196</x:v>
      </x:c>
      <x:c r="D50" s="5">
        <x:v>2020</x:v>
      </x:c>
      <x:c r="E50" s="5" t="s">
        <x:v>402</x:v>
      </x:c>
      <x:c r="F50" s="5" t="s">
        <x:v>0</x:v>
      </x:c>
      <x:c r="G50" s="5" t="s">
        <x:v>354</x:v>
      </x:c>
      <x:c r="H50" s="8"/>
      <x:c r="I50" s="8"/>
      <x:c r="J50" s="5"/>
      <x:c r="K50" s="7">
        <x:v>2.5300000000000001E-3</x:v>
      </x:c>
      <x:c r="L50" s="9">
        <x:f t="shared" si="0"/>
        <x:v>2.5300000000000001E-3</x:v>
      </x:c>
      <x:c r="M50" s="8"/>
      <x:c r="N50" s="8"/>
      <x:c r="O50" s="7">
        <x:v>4.96E-3</x:v>
      </x:c>
      <x:c r="P50" s="9">
        <x:f t="shared" si="1"/>
        <x:v>4.96E-3</x:v>
      </x:c>
      <x:c r="Q50" s="10" t="s">
        <x:v>355</x:v>
      </x:c>
      <x:c r="R50" s="5" t="s">
        <x:v>356</x:v>
      </x:c>
      <x:c r="S50" s="5" t="s">
        <x:v>357</x:v>
      </x:c>
      <x:c r="T50" s="5" t="s">
        <x:v>358</x:v>
      </x:c>
      <x:c r="U50" s="151"/>
      <x:c r="V50" s="151"/>
      <x:c r="W50" s="151"/>
      <x:c r="X50" s="151"/>
      <x:c r="Y50" s="151"/>
      <x:c r="Z50" s="151"/>
    </x:row>
    <x:row r="51" ht="22" customHeight="1">
      <x:c r="A51" s="5" t="s">
        <x:v>217</x:v>
      </x:c>
      <x:c r="B51" s="5" t="s">
        <x:v>218</x:v>
      </x:c>
      <x:c r="C51" s="6">
        <x:v>44196</x:v>
      </x:c>
      <x:c r="D51" s="5">
        <x:v>2020</x:v>
      </x:c>
      <x:c r="E51" s="5" t="s">
        <x:v>403</x:v>
      </x:c>
      <x:c r="F51" s="5" t="s">
        <x:v>0</x:v>
      </x:c>
      <x:c r="G51" s="5" t="s">
        <x:v>354</x:v>
      </x:c>
      <x:c r="H51" s="8"/>
      <x:c r="I51" s="8"/>
      <x:c r="J51" s="5"/>
      <x:c r="K51" s="7">
        <x:v>1.0000000000000001E-5</x:v>
      </x:c>
      <x:c r="L51" s="9">
        <x:f t="shared" si="0"/>
        <x:v>1.0000000000000001E-5</x:v>
      </x:c>
      <x:c r="M51" s="8"/>
      <x:c r="N51" s="8"/>
      <x:c r="O51" s="7">
        <x:v>2.9499999999999999E-3</x:v>
      </x:c>
      <x:c r="P51" s="9">
        <x:f t="shared" si="1"/>
        <x:v>2.9499999999999999E-3</x:v>
      </x:c>
      <x:c r="Q51" s="10" t="s">
        <x:v>355</x:v>
      </x:c>
      <x:c r="R51" s="5" t="s">
        <x:v>356</x:v>
      </x:c>
      <x:c r="S51" s="5" t="s">
        <x:v>357</x:v>
      </x:c>
      <x:c r="T51" s="5" t="s">
        <x:v>358</x:v>
      </x:c>
      <x:c r="U51" s="151"/>
      <x:c r="V51" s="151"/>
      <x:c r="W51" s="151"/>
      <x:c r="X51" s="151"/>
      <x:c r="Y51" s="151"/>
      <x:c r="Z51" s="151"/>
    </x:row>
    <x:row r="52" ht="22" customHeight="1">
      <x:c r="A52" s="5" t="s">
        <x:v>217</x:v>
      </x:c>
      <x:c r="B52" s="5" t="s">
        <x:v>218</x:v>
      </x:c>
      <x:c r="C52" s="6">
        <x:v>44196</x:v>
      </x:c>
      <x:c r="D52" s="5">
        <x:v>2020</x:v>
      </x:c>
      <x:c r="E52" s="5" t="s">
        <x:v>404</x:v>
      </x:c>
      <x:c r="F52" s="5" t="s">
        <x:v>0</x:v>
      </x:c>
      <x:c r="G52" s="5" t="s">
        <x:v>354</x:v>
      </x:c>
      <x:c r="H52" s="8"/>
      <x:c r="I52" s="8"/>
      <x:c r="J52" s="5"/>
      <x:c r="K52" s="7">
        <x:v>6.7200000000000003E-3</x:v>
      </x:c>
      <x:c r="L52" s="9">
        <x:f t="shared" si="0"/>
        <x:v>6.7200000000000003E-3</x:v>
      </x:c>
      <x:c r="M52" s="8"/>
      <x:c r="N52" s="8"/>
      <x:c r="O52" s="7">
        <x:v>8.3199999999999993E-3</x:v>
      </x:c>
      <x:c r="P52" s="9">
        <x:f t="shared" si="1"/>
        <x:v>8.3199999999999993E-3</x:v>
      </x:c>
      <x:c r="Q52" s="10" t="s">
        <x:v>355</x:v>
      </x:c>
      <x:c r="R52" s="5" t="s">
        <x:v>356</x:v>
      </x:c>
      <x:c r="S52" s="5" t="s">
        <x:v>357</x:v>
      </x:c>
      <x:c r="T52" s="5" t="s">
        <x:v>358</x:v>
      </x:c>
      <x:c r="U52" s="151"/>
      <x:c r="V52" s="151"/>
      <x:c r="W52" s="151"/>
      <x:c r="X52" s="151"/>
      <x:c r="Y52" s="151"/>
      <x:c r="Z52" s="151"/>
    </x:row>
    <x:row r="53" ht="22" customHeight="1">
      <x:c r="A53" s="5" t="s">
        <x:v>217</x:v>
      </x:c>
      <x:c r="B53" s="5" t="s">
        <x:v>218</x:v>
      </x:c>
      <x:c r="C53" s="6">
        <x:v>44196</x:v>
      </x:c>
      <x:c r="D53" s="5">
        <x:v>2020</x:v>
      </x:c>
      <x:c r="E53" s="5" t="s">
        <x:v>405</x:v>
      </x:c>
      <x:c r="F53" s="5" t="s">
        <x:v>0</x:v>
      </x:c>
      <x:c r="G53" s="5" t="s">
        <x:v>354</x:v>
      </x:c>
      <x:c r="H53" s="8"/>
      <x:c r="I53" s="8"/>
      <x:c r="J53" s="5"/>
      <x:c r="K53" s="7">
        <x:v>7.0000000000000007E-5</x:v>
      </x:c>
      <x:c r="L53" s="9">
        <x:f t="shared" si="0"/>
        <x:v>7.0000000000000007E-5</x:v>
      </x:c>
      <x:c r="M53" s="8"/>
      <x:c r="N53" s="8"/>
      <x:c r="O53" s="7">
        <x:v>2.99E-3</x:v>
      </x:c>
      <x:c r="P53" s="9">
        <x:f t="shared" si="1"/>
        <x:v>2.99E-3</x:v>
      </x:c>
      <x:c r="Q53" s="10" t="s">
        <x:v>355</x:v>
      </x:c>
      <x:c r="R53" s="5" t="s">
        <x:v>356</x:v>
      </x:c>
      <x:c r="S53" s="5" t="s">
        <x:v>357</x:v>
      </x:c>
      <x:c r="T53" s="5" t="s">
        <x:v>358</x:v>
      </x:c>
      <x:c r="U53" s="151"/>
      <x:c r="V53" s="151"/>
      <x:c r="W53" s="151"/>
      <x:c r="X53" s="151"/>
      <x:c r="Y53" s="151"/>
      <x:c r="Z53" s="151"/>
    </x:row>
    <x:row r="54" ht="22" customHeight="1">
      <x:c r="A54" s="5" t="s">
        <x:v>217</x:v>
      </x:c>
      <x:c r="B54" s="5" t="s">
        <x:v>218</x:v>
      </x:c>
      <x:c r="C54" s="6">
        <x:v>44196</x:v>
      </x:c>
      <x:c r="D54" s="5">
        <x:v>2020</x:v>
      </x:c>
      <x:c r="E54" s="5" t="s">
        <x:v>406</x:v>
      </x:c>
      <x:c r="F54" s="5" t="s">
        <x:v>0</x:v>
      </x:c>
      <x:c r="G54" s="5" t="s">
        <x:v>354</x:v>
      </x:c>
      <x:c r="H54" s="8"/>
      <x:c r="I54" s="8"/>
      <x:c r="J54" s="5"/>
      <x:c r="K54" s="7">
        <x:v>3.4100000000000003E-3</x:v>
      </x:c>
      <x:c r="L54" s="9">
        <x:f t="shared" si="0"/>
        <x:v>3.4100000000000003E-3</x:v>
      </x:c>
      <x:c r="M54" s="8"/>
      <x:c r="N54" s="8"/>
      <x:c r="O54" s="7">
        <x:v>5.6699999999999997E-3</x:v>
      </x:c>
      <x:c r="P54" s="9">
        <x:f t="shared" si="1"/>
        <x:v>5.6699999999999997E-3</x:v>
      </x:c>
      <x:c r="Q54" s="10" t="s">
        <x:v>355</x:v>
      </x:c>
      <x:c r="R54" s="5" t="s">
        <x:v>356</x:v>
      </x:c>
      <x:c r="S54" s="5" t="s">
        <x:v>357</x:v>
      </x:c>
      <x:c r="T54" s="5" t="s">
        <x:v>358</x:v>
      </x:c>
      <x:c r="U54" s="151"/>
      <x:c r="V54" s="151"/>
      <x:c r="W54" s="151"/>
      <x:c r="X54" s="151"/>
      <x:c r="Y54" s="151"/>
      <x:c r="Z54" s="151"/>
    </x:row>
    <x:row r="55" ht="22" customHeight="1">
      <x:c r="A55" s="5" t="s">
        <x:v>217</x:v>
      </x:c>
      <x:c r="B55" s="5" t="s">
        <x:v>218</x:v>
      </x:c>
      <x:c r="C55" s="6">
        <x:v>44196</x:v>
      </x:c>
      <x:c r="D55" s="5">
        <x:v>2020</x:v>
      </x:c>
      <x:c r="E55" s="5" t="s">
        <x:v>407</x:v>
      </x:c>
      <x:c r="F55" s="5" t="s">
        <x:v>0</x:v>
      </x:c>
      <x:c r="G55" s="5" t="s">
        <x:v>408</x:v>
      </x:c>
      <x:c r="H55" s="8"/>
      <x:c r="I55" s="8"/>
      <x:c r="J55" s="5"/>
      <x:c r="K55" s="7">
        <x:v>3.4000000000000002E-3</x:v>
      </x:c>
      <x:c r="L55" s="9">
        <x:f t="shared" si="0"/>
        <x:v>3.4000000000000002E-3</x:v>
      </x:c>
      <x:c r="M55" s="8"/>
      <x:c r="N55" s="8"/>
      <x:c r="O55" s="7">
        <x:v>5.6599999999999992E-3</x:v>
      </x:c>
      <x:c r="P55" s="9">
        <x:f t="shared" si="1"/>
        <x:v>5.6599999999999992E-3</x:v>
      </x:c>
      <x:c r="Q55" s="10" t="s">
        <x:v>355</x:v>
      </x:c>
      <x:c r="R55" s="5" t="s">
        <x:v>356</x:v>
      </x:c>
      <x:c r="S55" s="5" t="s">
        <x:v>357</x:v>
      </x:c>
      <x:c r="T55" s="5" t="s">
        <x:v>358</x:v>
      </x:c>
      <x:c r="U55" s="151"/>
      <x:c r="V55" s="151"/>
      <x:c r="W55" s="151"/>
      <x:c r="X55" s="151"/>
      <x:c r="Y55" s="151"/>
      <x:c r="Z55" s="151"/>
    </x:row>
    <x:row r="56" ht="22" customHeight="1">
      <x:c r="A56" s="5" t="s">
        <x:v>217</x:v>
      </x:c>
      <x:c r="B56" s="5" t="s">
        <x:v>218</x:v>
      </x:c>
      <x:c r="C56" s="6">
        <x:v>44196</x:v>
      </x:c>
      <x:c r="D56" s="5">
        <x:v>2020</x:v>
      </x:c>
      <x:c r="E56" s="5" t="s">
        <x:v>409</x:v>
      </x:c>
      <x:c r="F56" s="5" t="s">
        <x:v>0</x:v>
      </x:c>
      <x:c r="G56" s="5" t="s">
        <x:v>408</x:v>
      </x:c>
      <x:c r="H56" s="8"/>
      <x:c r="I56" s="8"/>
      <x:c r="J56" s="5"/>
      <x:c r="K56" s="7">
        <x:v>3.4000000000000002E-3</x:v>
      </x:c>
      <x:c r="L56" s="9">
        <x:f t="shared" si="0"/>
        <x:v>3.4000000000000002E-3</x:v>
      </x:c>
      <x:c r="M56" s="8"/>
      <x:c r="N56" s="8"/>
      <x:c r="O56" s="7">
        <x:v>5.6599999999999992E-3</x:v>
      </x:c>
      <x:c r="P56" s="9">
        <x:f t="shared" si="1"/>
        <x:v>5.6599999999999992E-3</x:v>
      </x:c>
      <x:c r="Q56" s="10" t="s">
        <x:v>355</x:v>
      </x:c>
      <x:c r="R56" s="5" t="s">
        <x:v>356</x:v>
      </x:c>
      <x:c r="S56" s="5" t="s">
        <x:v>357</x:v>
      </x:c>
      <x:c r="T56" s="5" t="s">
        <x:v>358</x:v>
      </x:c>
      <x:c r="U56" s="151"/>
      <x:c r="V56" s="151"/>
      <x:c r="W56" s="151"/>
      <x:c r="X56" s="151"/>
      <x:c r="Y56" s="151"/>
      <x:c r="Z56" s="151"/>
    </x:row>
    <x:row r="57" ht="22" customHeight="1">
      <x:c r="A57" s="5" t="s">
        <x:v>217</x:v>
      </x:c>
      <x:c r="B57" s="5" t="s">
        <x:v>218</x:v>
      </x:c>
      <x:c r="C57" s="6">
        <x:v>44196</x:v>
      </x:c>
      <x:c r="D57" s="5">
        <x:v>2020</x:v>
      </x:c>
      <x:c r="E57" s="5" t="s">
        <x:v>410</x:v>
      </x:c>
      <x:c r="F57" s="5" t="s">
        <x:v>0</x:v>
      </x:c>
      <x:c r="G57" s="5" t="s">
        <x:v>408</x:v>
      </x:c>
      <x:c r="H57" s="8"/>
      <x:c r="I57" s="8"/>
      <x:c r="J57" s="5"/>
      <x:c r="K57" s="7">
        <x:v>5.219E-2</x:v>
      </x:c>
      <x:c r="L57" s="9">
        <x:f t="shared" si="0"/>
        <x:v>5.219E-2</x:v>
      </x:c>
      <x:c r="M57" s="8"/>
      <x:c r="N57" s="8"/>
      <x:c r="O57" s="7">
        <x:v>4.4690000000000001E-2</x:v>
      </x:c>
      <x:c r="P57" s="9">
        <x:f t="shared" si="1"/>
        <x:v>4.4690000000000001E-2</x:v>
      </x:c>
      <x:c r="Q57" s="10" t="s">
        <x:v>355</x:v>
      </x:c>
      <x:c r="R57" s="5" t="s">
        <x:v>356</x:v>
      </x:c>
      <x:c r="S57" s="5" t="s">
        <x:v>357</x:v>
      </x:c>
      <x:c r="T57" s="5" t="s">
        <x:v>358</x:v>
      </x:c>
      <x:c r="U57" s="151"/>
      <x:c r="V57" s="151"/>
      <x:c r="W57" s="151"/>
      <x:c r="X57" s="151"/>
      <x:c r="Y57" s="151"/>
      <x:c r="Z57" s="151"/>
    </x:row>
    <x:row r="58" ht="22" customHeight="1">
      <x:c r="A58" s="5" t="s">
        <x:v>217</x:v>
      </x:c>
      <x:c r="B58" s="5" t="s">
        <x:v>218</x:v>
      </x:c>
      <x:c r="C58" s="6">
        <x:v>44196</x:v>
      </x:c>
      <x:c r="D58" s="5">
        <x:v>2020</x:v>
      </x:c>
      <x:c r="E58" s="5" t="s">
        <x:v>411</x:v>
      </x:c>
      <x:c r="F58" s="5" t="s">
        <x:v>0</x:v>
      </x:c>
      <x:c r="G58" s="5" t="s">
        <x:v>408</x:v>
      </x:c>
      <x:c r="H58" s="8"/>
      <x:c r="I58" s="8"/>
      <x:c r="J58" s="5"/>
      <x:c r="K58" s="7">
        <x:v>3.4000000000000002E-3</x:v>
      </x:c>
      <x:c r="L58" s="9">
        <x:f t="shared" si="0"/>
        <x:v>3.4000000000000002E-3</x:v>
      </x:c>
      <x:c r="M58" s="8"/>
      <x:c r="N58" s="8"/>
      <x:c r="O58" s="7">
        <x:v>5.6599999999999992E-3</x:v>
      </x:c>
      <x:c r="P58" s="9">
        <x:f t="shared" si="1"/>
        <x:v>5.6599999999999992E-3</x:v>
      </x:c>
      <x:c r="Q58" s="10" t="s">
        <x:v>355</x:v>
      </x:c>
      <x:c r="R58" s="5" t="s">
        <x:v>356</x:v>
      </x:c>
      <x:c r="S58" s="5" t="s">
        <x:v>357</x:v>
      </x:c>
      <x:c r="T58" s="5" t="s">
        <x:v>358</x:v>
      </x:c>
      <x:c r="U58" s="151"/>
      <x:c r="V58" s="151"/>
      <x:c r="W58" s="151"/>
      <x:c r="X58" s="151"/>
      <x:c r="Y58" s="151"/>
      <x:c r="Z58" s="151"/>
    </x:row>
    <x:row r="59" ht="22" customHeight="1">
      <x:c r="A59" s="5" t="s">
        <x:v>217</x:v>
      </x:c>
      <x:c r="B59" s="5" t="s">
        <x:v>218</x:v>
      </x:c>
      <x:c r="C59" s="6">
        <x:v>44196</x:v>
      </x:c>
      <x:c r="D59" s="5">
        <x:v>2020</x:v>
      </x:c>
      <x:c r="E59" s="5" t="s">
        <x:v>412</x:v>
      </x:c>
      <x:c r="F59" s="5" t="s">
        <x:v>0</x:v>
      </x:c>
      <x:c r="G59" s="5" t="s">
        <x:v>408</x:v>
      </x:c>
      <x:c r="H59" s="8"/>
      <x:c r="I59" s="8"/>
      <x:c r="J59" s="5"/>
      <x:c r="K59" s="7">
        <x:v>3.4000000000000002E-3</x:v>
      </x:c>
      <x:c r="L59" s="9">
        <x:f t="shared" si="0"/>
        <x:v>3.4000000000000002E-3</x:v>
      </x:c>
      <x:c r="M59" s="8"/>
      <x:c r="N59" s="8"/>
      <x:c r="O59" s="7">
        <x:v>5.6599999999999992E-3</x:v>
      </x:c>
      <x:c r="P59" s="9">
        <x:f t="shared" si="1"/>
        <x:v>5.6599999999999992E-3</x:v>
      </x:c>
      <x:c r="Q59" s="10" t="s">
        <x:v>355</x:v>
      </x:c>
      <x:c r="R59" s="5" t="s">
        <x:v>356</x:v>
      </x:c>
      <x:c r="S59" s="5" t="s">
        <x:v>357</x:v>
      </x:c>
      <x:c r="T59" s="5" t="s">
        <x:v>358</x:v>
      </x:c>
      <x:c r="U59" s="151"/>
      <x:c r="V59" s="151"/>
      <x:c r="W59" s="151"/>
      <x:c r="X59" s="151"/>
      <x:c r="Y59" s="151"/>
      <x:c r="Z59" s="151"/>
    </x:row>
    <x:row r="60" ht="22" customHeight="1">
      <x:c r="A60" s="5" t="s">
        <x:v>217</x:v>
      </x:c>
      <x:c r="B60" s="5" t="s">
        <x:v>218</x:v>
      </x:c>
      <x:c r="C60" s="6">
        <x:v>44196</x:v>
      </x:c>
      <x:c r="D60" s="5">
        <x:v>2020</x:v>
      </x:c>
      <x:c r="E60" s="5" t="s">
        <x:v>413</x:v>
      </x:c>
      <x:c r="F60" s="5" t="s">
        <x:v>0</x:v>
      </x:c>
      <x:c r="G60" s="5" t="s">
        <x:v>408</x:v>
      </x:c>
      <x:c r="H60" s="8"/>
      <x:c r="I60" s="8"/>
      <x:c r="J60" s="5"/>
      <x:c r="K60" s="7">
        <x:v>2.3220000000000001E-2</x:v>
      </x:c>
      <x:c r="L60" s="9">
        <x:f t="shared" si="0"/>
        <x:v>2.3220000000000001E-2</x:v>
      </x:c>
      <x:c r="M60" s="8"/>
      <x:c r="N60" s="8"/>
      <x:c r="O60" s="7">
        <x:v>2.1520000000000001E-2</x:v>
      </x:c>
      <x:c r="P60" s="9">
        <x:f t="shared" si="1"/>
        <x:v>2.1520000000000001E-2</x:v>
      </x:c>
      <x:c r="Q60" s="10" t="s">
        <x:v>355</x:v>
      </x:c>
      <x:c r="R60" s="5" t="s">
        <x:v>356</x:v>
      </x:c>
      <x:c r="S60" s="5" t="s">
        <x:v>357</x:v>
      </x:c>
      <x:c r="T60" s="5" t="s">
        <x:v>358</x:v>
      </x:c>
      <x:c r="U60" s="151"/>
      <x:c r="V60" s="151"/>
      <x:c r="W60" s="151"/>
      <x:c r="X60" s="151"/>
      <x:c r="Y60" s="151"/>
      <x:c r="Z60" s="151"/>
    </x:row>
    <x:row r="61" ht="22" customHeight="1">
      <x:c r="A61" s="5" t="s">
        <x:v>217</x:v>
      </x:c>
      <x:c r="B61" s="5" t="s">
        <x:v>218</x:v>
      </x:c>
      <x:c r="C61" s="6">
        <x:v>44196</x:v>
      </x:c>
      <x:c r="D61" s="5">
        <x:v>2020</x:v>
      </x:c>
      <x:c r="E61" s="5" t="s">
        <x:v>414</x:v>
      </x:c>
      <x:c r="F61" s="5" t="s">
        <x:v>0</x:v>
      </x:c>
      <x:c r="G61" s="5" t="s">
        <x:v>408</x:v>
      </x:c>
      <x:c r="H61" s="8"/>
      <x:c r="I61" s="8"/>
      <x:c r="J61" s="5"/>
      <x:c r="K61" s="7">
        <x:v>4.3159999999999997E-2</x:v>
      </x:c>
      <x:c r="L61" s="9">
        <x:f t="shared" si="0"/>
        <x:v>4.3159999999999997E-2</x:v>
      </x:c>
      <x:c r="M61" s="8"/>
      <x:c r="N61" s="8"/>
      <x:c r="O61" s="7">
        <x:v>3.7469999999999996E-2</x:v>
      </x:c>
      <x:c r="P61" s="9">
        <x:f t="shared" si="1"/>
        <x:v>3.7469999999999996E-2</x:v>
      </x:c>
      <x:c r="Q61" s="10" t="s">
        <x:v>355</x:v>
      </x:c>
      <x:c r="R61" s="5" t="s">
        <x:v>356</x:v>
      </x:c>
      <x:c r="S61" s="5" t="s">
        <x:v>357</x:v>
      </x:c>
      <x:c r="T61" s="5" t="s">
        <x:v>358</x:v>
      </x:c>
      <x:c r="U61" s="151"/>
      <x:c r="V61" s="151"/>
      <x:c r="W61" s="151"/>
      <x:c r="X61" s="151"/>
      <x:c r="Y61" s="151"/>
      <x:c r="Z61" s="151"/>
    </x:row>
    <x:row r="62" ht="22" customHeight="1">
      <x:c r="A62" s="5" t="s">
        <x:v>217</x:v>
      </x:c>
      <x:c r="B62" s="5" t="s">
        <x:v>218</x:v>
      </x:c>
      <x:c r="C62" s="6">
        <x:v>44196</x:v>
      </x:c>
      <x:c r="D62" s="5">
        <x:v>2020</x:v>
      </x:c>
      <x:c r="E62" s="5" t="s">
        <x:v>415</x:v>
      </x:c>
      <x:c r="F62" s="5" t="s">
        <x:v>0</x:v>
      </x:c>
      <x:c r="G62" s="5" t="s">
        <x:v>408</x:v>
      </x:c>
      <x:c r="H62" s="8"/>
      <x:c r="I62" s="8"/>
      <x:c r="J62" s="5"/>
      <x:c r="K62" s="7">
        <x:v>3.4000000000000002E-3</x:v>
      </x:c>
      <x:c r="L62" s="9">
        <x:f t="shared" si="0"/>
        <x:v>3.4000000000000002E-3</x:v>
      </x:c>
      <x:c r="M62" s="8"/>
      <x:c r="N62" s="8"/>
      <x:c r="O62" s="7">
        <x:v>5.6599999999999992E-3</x:v>
      </x:c>
      <x:c r="P62" s="9">
        <x:f t="shared" si="1"/>
        <x:v>5.6599999999999992E-3</x:v>
      </x:c>
      <x:c r="Q62" s="10" t="s">
        <x:v>355</x:v>
      </x:c>
      <x:c r="R62" s="5" t="s">
        <x:v>356</x:v>
      </x:c>
      <x:c r="S62" s="5" t="s">
        <x:v>357</x:v>
      </x:c>
      <x:c r="T62" s="5" t="s">
        <x:v>358</x:v>
      </x:c>
      <x:c r="U62" s="151"/>
      <x:c r="V62" s="151"/>
      <x:c r="W62" s="151"/>
      <x:c r="X62" s="151"/>
      <x:c r="Y62" s="151"/>
      <x:c r="Z62" s="151"/>
    </x:row>
    <x:row r="63" ht="22" customHeight="1">
      <x:c r="A63" s="5" t="s">
        <x:v>217</x:v>
      </x:c>
      <x:c r="B63" s="5" t="s">
        <x:v>218</x:v>
      </x:c>
      <x:c r="C63" s="6">
        <x:v>44196</x:v>
      </x:c>
      <x:c r="D63" s="5">
        <x:v>2020</x:v>
      </x:c>
      <x:c r="E63" s="5" t="s">
        <x:v>416</x:v>
      </x:c>
      <x:c r="F63" s="5" t="s">
        <x:v>0</x:v>
      </x:c>
      <x:c r="G63" s="5" t="s">
        <x:v>408</x:v>
      </x:c>
      <x:c r="H63" s="8"/>
      <x:c r="I63" s="8"/>
      <x:c r="J63" s="5"/>
      <x:c r="K63" s="7">
        <x:v>1.8030000000000001E-2</x:v>
      </x:c>
      <x:c r="L63" s="9">
        <x:f t="shared" si="0"/>
        <x:v>1.8030000000000001E-2</x:v>
      </x:c>
      <x:c r="M63" s="8"/>
      <x:c r="N63" s="8"/>
      <x:c r="O63" s="7">
        <x:v>1.737E-2</x:v>
      </x:c>
      <x:c r="P63" s="9">
        <x:f t="shared" si="1"/>
        <x:v>1.737E-2</x:v>
      </x:c>
      <x:c r="Q63" s="10" t="s">
        <x:v>355</x:v>
      </x:c>
      <x:c r="R63" s="5" t="s">
        <x:v>356</x:v>
      </x:c>
      <x:c r="S63" s="5" t="s">
        <x:v>357</x:v>
      </x:c>
      <x:c r="T63" s="5" t="s">
        <x:v>358</x:v>
      </x:c>
      <x:c r="U63" s="151"/>
      <x:c r="V63" s="151"/>
      <x:c r="W63" s="151"/>
      <x:c r="X63" s="151"/>
      <x:c r="Y63" s="151"/>
      <x:c r="Z63" s="151"/>
    </x:row>
    <x:row r="64" ht="22" customHeight="1">
      <x:c r="A64" s="5" t="s">
        <x:v>217</x:v>
      </x:c>
      <x:c r="B64" s="5" t="s">
        <x:v>218</x:v>
      </x:c>
      <x:c r="C64" s="6">
        <x:v>44196</x:v>
      </x:c>
      <x:c r="D64" s="5">
        <x:v>2020</x:v>
      </x:c>
      <x:c r="E64" s="5" t="s">
        <x:v>417</x:v>
      </x:c>
      <x:c r="F64" s="5" t="s">
        <x:v>0</x:v>
      </x:c>
      <x:c r="G64" s="5" t="s">
        <x:v>408</x:v>
      </x:c>
      <x:c r="H64" s="8"/>
      <x:c r="I64" s="8"/>
      <x:c r="J64" s="5"/>
      <x:c r="K64" s="7">
        <x:v>3.4000000000000002E-3</x:v>
      </x:c>
      <x:c r="L64" s="9">
        <x:f t="shared" si="0"/>
        <x:v>3.4000000000000002E-3</x:v>
      </x:c>
      <x:c r="M64" s="8"/>
      <x:c r="N64" s="8"/>
      <x:c r="O64" s="7">
        <x:v>5.6599999999999992E-3</x:v>
      </x:c>
      <x:c r="P64" s="9">
        <x:f t="shared" si="1"/>
        <x:v>5.6599999999999992E-3</x:v>
      </x:c>
      <x:c r="Q64" s="10" t="s">
        <x:v>355</x:v>
      </x:c>
      <x:c r="R64" s="5" t="s">
        <x:v>356</x:v>
      </x:c>
      <x:c r="S64" s="5" t="s">
        <x:v>357</x:v>
      </x:c>
      <x:c r="T64" s="5" t="s">
        <x:v>358</x:v>
      </x:c>
      <x:c r="U64" s="151"/>
      <x:c r="V64" s="151"/>
      <x:c r="W64" s="151"/>
      <x:c r="X64" s="151"/>
      <x:c r="Y64" s="151"/>
      <x:c r="Z64" s="151"/>
    </x:row>
    <x:row r="65" ht="22" customHeight="1">
      <x:c r="A65" s="5" t="s">
        <x:v>217</x:v>
      </x:c>
      <x:c r="B65" s="5" t="s">
        <x:v>218</x:v>
      </x:c>
      <x:c r="C65" s="6">
        <x:v>44196</x:v>
      </x:c>
      <x:c r="D65" s="5">
        <x:v>2020</x:v>
      </x:c>
      <x:c r="E65" s="5" t="s">
        <x:v>418</x:v>
      </x:c>
      <x:c r="F65" s="5" t="s">
        <x:v>0</x:v>
      </x:c>
      <x:c r="G65" s="5" t="s">
        <x:v>408</x:v>
      </x:c>
      <x:c r="H65" s="8"/>
      <x:c r="I65" s="8"/>
      <x:c r="J65" s="5"/>
      <x:c r="K65" s="7">
        <x:v>1.023E-2</x:v>
      </x:c>
      <x:c r="L65" s="9">
        <x:f t="shared" si="0"/>
        <x:v>1.023E-2</x:v>
      </x:c>
      <x:c r="M65" s="8"/>
      <x:c r="N65" s="8"/>
      <x:c r="O65" s="7">
        <x:v>1.1129999999999999E-2</x:v>
      </x:c>
      <x:c r="P65" s="9">
        <x:f t="shared" si="1"/>
        <x:v>1.1129999999999999E-2</x:v>
      </x:c>
      <x:c r="Q65" s="10" t="s">
        <x:v>355</x:v>
      </x:c>
      <x:c r="R65" s="5" t="s">
        <x:v>356</x:v>
      </x:c>
      <x:c r="S65" s="5" t="s">
        <x:v>357</x:v>
      </x:c>
      <x:c r="T65" s="5" t="s">
        <x:v>358</x:v>
      </x:c>
      <x:c r="U65" s="151"/>
      <x:c r="V65" s="151"/>
      <x:c r="W65" s="151"/>
      <x:c r="X65" s="151"/>
      <x:c r="Y65" s="151"/>
      <x:c r="Z65" s="151"/>
    </x:row>
    <x:row r="66" ht="22" customHeight="1">
      <x:c r="A66" s="5" t="s">
        <x:v>217</x:v>
      </x:c>
      <x:c r="B66" s="5" t="s">
        <x:v>218</x:v>
      </x:c>
      <x:c r="C66" s="6">
        <x:v>44196</x:v>
      </x:c>
      <x:c r="D66" s="5">
        <x:v>2020</x:v>
      </x:c>
      <x:c r="E66" s="5" t="s">
        <x:v>419</x:v>
      </x:c>
      <x:c r="F66" s="5" t="s">
        <x:v>0</x:v>
      </x:c>
      <x:c r="G66" s="5" t="s">
        <x:v>408</x:v>
      </x:c>
      <x:c r="H66" s="8"/>
      <x:c r="I66" s="8"/>
      <x:c r="J66" s="5"/>
      <x:c r="K66" s="7">
        <x:v>3.4000000000000002E-3</x:v>
      </x:c>
      <x:c r="L66" s="9">
        <x:f t="shared" si="0"/>
        <x:v>3.4000000000000002E-3</x:v>
      </x:c>
      <x:c r="M66" s="8"/>
      <x:c r="N66" s="8"/>
      <x:c r="O66" s="7">
        <x:v>5.6599999999999992E-3</x:v>
      </x:c>
      <x:c r="P66" s="9">
        <x:f t="shared" si="1"/>
        <x:v>5.6599999999999992E-3</x:v>
      </x:c>
      <x:c r="Q66" s="10" t="s">
        <x:v>355</x:v>
      </x:c>
      <x:c r="R66" s="5" t="s">
        <x:v>356</x:v>
      </x:c>
      <x:c r="S66" s="5" t="s">
        <x:v>357</x:v>
      </x:c>
      <x:c r="T66" s="5" t="s">
        <x:v>358</x:v>
      </x:c>
      <x:c r="U66" s="151"/>
      <x:c r="V66" s="151"/>
      <x:c r="W66" s="151"/>
      <x:c r="X66" s="151"/>
      <x:c r="Y66" s="151"/>
      <x:c r="Z66" s="151"/>
    </x:row>
    <x:row r="67" ht="22" customHeight="1">
      <x:c r="A67" s="5" t="s">
        <x:v>217</x:v>
      </x:c>
      <x:c r="B67" s="5" t="s">
        <x:v>218</x:v>
      </x:c>
      <x:c r="C67" s="6">
        <x:v>44196</x:v>
      </x:c>
      <x:c r="D67" s="5">
        <x:v>2020</x:v>
      </x:c>
      <x:c r="E67" s="5" t="s">
        <x:v>420</x:v>
      </x:c>
      <x:c r="F67" s="5" t="s">
        <x:v>0</x:v>
      </x:c>
      <x:c r="G67" s="5" t="s">
        <x:v>408</x:v>
      </x:c>
      <x:c r="H67" s="8"/>
      <x:c r="I67" s="8"/>
      <x:c r="J67" s="5"/>
      <x:c r="K67" s="7">
        <x:v>3.4000000000000002E-3</x:v>
      </x:c>
      <x:c r="L67" s="9">
        <x:f t="shared" si="0"/>
        <x:v>3.4000000000000002E-3</x:v>
      </x:c>
      <x:c r="M67" s="8"/>
      <x:c r="N67" s="8"/>
      <x:c r="O67" s="7">
        <x:v>5.6599999999999992E-3</x:v>
      </x:c>
      <x:c r="P67" s="9">
        <x:f t="shared" si="1"/>
        <x:v>5.6599999999999992E-3</x:v>
      </x:c>
      <x:c r="Q67" s="10" t="s">
        <x:v>355</x:v>
      </x:c>
      <x:c r="R67" s="5" t="s">
        <x:v>356</x:v>
      </x:c>
      <x:c r="S67" s="5" t="s">
        <x:v>357</x:v>
      </x:c>
      <x:c r="T67" s="5" t="s">
        <x:v>358</x:v>
      </x:c>
      <x:c r="U67" s="151"/>
      <x:c r="V67" s="151"/>
      <x:c r="W67" s="151"/>
      <x:c r="X67" s="151"/>
      <x:c r="Y67" s="151"/>
      <x:c r="Z67" s="151"/>
    </x:row>
    <x:row r="68" ht="22" customHeight="1">
      <x:c r="A68" s="5" t="s">
        <x:v>217</x:v>
      </x:c>
      <x:c r="B68" s="5" t="s">
        <x:v>218</x:v>
      </x:c>
      <x:c r="C68" s="6">
        <x:v>44196</x:v>
      </x:c>
      <x:c r="D68" s="5">
        <x:v>2020</x:v>
      </x:c>
      <x:c r="E68" s="5" t="s">
        <x:v>421</x:v>
      </x:c>
      <x:c r="F68" s="5" t="s">
        <x:v>0</x:v>
      </x:c>
      <x:c r="G68" s="5" t="s">
        <x:v>408</x:v>
      </x:c>
      <x:c r="H68" s="8"/>
      <x:c r="I68" s="8"/>
      <x:c r="J68" s="5"/>
      <x:c r="K68" s="7">
        <x:v>3.4000000000000002E-3</x:v>
      </x:c>
      <x:c r="L68" s="9">
        <x:f t="shared" si="0"/>
        <x:v>3.4000000000000002E-3</x:v>
      </x:c>
      <x:c r="M68" s="8"/>
      <x:c r="N68" s="8"/>
      <x:c r="O68" s="7">
        <x:v>5.6599999999999992E-3</x:v>
      </x:c>
      <x:c r="P68" s="9">
        <x:f t="shared" si="1"/>
        <x:v>5.6599999999999992E-3</x:v>
      </x:c>
      <x:c r="Q68" s="10" t="s">
        <x:v>355</x:v>
      </x:c>
      <x:c r="R68" s="5" t="s">
        <x:v>356</x:v>
      </x:c>
      <x:c r="S68" s="5" t="s">
        <x:v>357</x:v>
      </x:c>
      <x:c r="T68" s="5" t="s">
        <x:v>358</x:v>
      </x:c>
      <x:c r="U68" s="151"/>
      <x:c r="V68" s="151"/>
      <x:c r="W68" s="151"/>
      <x:c r="X68" s="151"/>
      <x:c r="Y68" s="151"/>
      <x:c r="Z68" s="151"/>
    </x:row>
    <x:row r="69" ht="22" customHeight="1">
      <x:c r="A69" s="5" t="s">
        <x:v>217</x:v>
      </x:c>
      <x:c r="B69" s="5" t="s">
        <x:v>218</x:v>
      </x:c>
      <x:c r="C69" s="6">
        <x:v>44196</x:v>
      </x:c>
      <x:c r="D69" s="5">
        <x:v>2020</x:v>
      </x:c>
      <x:c r="E69" s="5" t="s">
        <x:v>422</x:v>
      </x:c>
      <x:c r="F69" s="5" t="s">
        <x:v>0</x:v>
      </x:c>
      <x:c r="G69" s="5" t="s">
        <x:v>408</x:v>
      </x:c>
      <x:c r="H69" s="8"/>
      <x:c r="I69" s="8"/>
      <x:c r="J69" s="5"/>
      <x:c r="K69" s="7">
        <x:v>3.4000000000000002E-3</x:v>
      </x:c>
      <x:c r="L69" s="9">
        <x:f t="shared" si="0"/>
        <x:v>3.4000000000000002E-3</x:v>
      </x:c>
      <x:c r="M69" s="8"/>
      <x:c r="N69" s="8"/>
      <x:c r="O69" s="7">
        <x:v>5.6599999999999992E-3</x:v>
      </x:c>
      <x:c r="P69" s="9">
        <x:f t="shared" si="1"/>
        <x:v>5.6599999999999992E-3</x:v>
      </x:c>
      <x:c r="Q69" s="10" t="s">
        <x:v>355</x:v>
      </x:c>
      <x:c r="R69" s="5" t="s">
        <x:v>356</x:v>
      </x:c>
      <x:c r="S69" s="5" t="s">
        <x:v>357</x:v>
      </x:c>
      <x:c r="T69" s="5" t="s">
        <x:v>358</x:v>
      </x:c>
      <x:c r="U69" s="151"/>
      <x:c r="V69" s="151"/>
      <x:c r="W69" s="151"/>
      <x:c r="X69" s="151"/>
      <x:c r="Y69" s="151"/>
      <x:c r="Z69" s="151"/>
    </x:row>
    <x:row r="70" ht="22" customHeight="1">
      <x:c r="A70" s="5" t="s">
        <x:v>217</x:v>
      </x:c>
      <x:c r="B70" s="5" t="s">
        <x:v>218</x:v>
      </x:c>
      <x:c r="C70" s="6">
        <x:v>44196</x:v>
      </x:c>
      <x:c r="D70" s="5">
        <x:v>2020</x:v>
      </x:c>
      <x:c r="E70" s="5" t="s">
        <x:v>423</x:v>
      </x:c>
      <x:c r="F70" s="5" t="s">
        <x:v>0</x:v>
      </x:c>
      <x:c r="G70" s="5" t="s">
        <x:v>408</x:v>
      </x:c>
      <x:c r="H70" s="8"/>
      <x:c r="I70" s="8"/>
      <x:c r="J70" s="5"/>
      <x:c r="K70" s="7">
        <x:v>5.8199999999999997E-3</x:v>
      </x:c>
      <x:c r="L70" s="9" t="n">
        <x:f t="shared" ref="L70:L133" si="2">IF(AND(H70&lt;&gt;"",I70&lt;&gt;""),H70/I70,IF(K70&lt;&gt;"",K70,""))</x:f>
        <x:v>0.00582</x:v>
      </x:c>
      <x:c r="M70" s="8"/>
      <x:c r="N70" s="8"/>
      <x:c r="O70" s="7">
        <x:v>7.6E-3</x:v>
      </x:c>
      <x:c r="P70" s="9" t="n">
        <x:f t="shared" ref="P70:P133" si="3">IF(AND(M70&lt;&gt;"",N70&lt;&gt;""),M70/N70,IF(O70&lt;&gt;"",O70,""))</x:f>
        <x:v>0.0076</x:v>
      </x:c>
      <x:c r="Q70" s="10" t="s">
        <x:v>355</x:v>
      </x:c>
      <x:c r="R70" s="5" t="s">
        <x:v>356</x:v>
      </x:c>
      <x:c r="S70" s="5" t="s">
        <x:v>357</x:v>
      </x:c>
      <x:c r="T70" s="5" t="s">
        <x:v>358</x:v>
      </x:c>
      <x:c r="U70" s="151"/>
      <x:c r="V70" s="151"/>
      <x:c r="W70" s="151"/>
      <x:c r="X70" s="151"/>
      <x:c r="Y70" s="151"/>
      <x:c r="Z70" s="151"/>
    </x:row>
    <x:row r="71" ht="22" customHeight="1">
      <x:c r="A71" s="5" t="s">
        <x:v>217</x:v>
      </x:c>
      <x:c r="B71" s="5" t="s">
        <x:v>218</x:v>
      </x:c>
      <x:c r="C71" s="6">
        <x:v>44196</x:v>
      </x:c>
      <x:c r="D71" s="5">
        <x:v>2020</x:v>
      </x:c>
      <x:c r="E71" s="5" t="s">
        <x:v>424</x:v>
      </x:c>
      <x:c r="F71" s="5" t="s">
        <x:v>0</x:v>
      </x:c>
      <x:c r="G71" s="5" t="s">
        <x:v>408</x:v>
      </x:c>
      <x:c r="H71" s="8"/>
      <x:c r="I71" s="8"/>
      <x:c r="J71" s="5"/>
      <x:c r="K71" s="7">
        <x:v>3.4000000000000002E-3</x:v>
      </x:c>
      <x:c r="L71" s="9">
        <x:f t="shared" si="2"/>
        <x:v>3.4000000000000002E-3</x:v>
      </x:c>
      <x:c r="M71" s="8"/>
      <x:c r="N71" s="8"/>
      <x:c r="O71" s="7">
        <x:v>5.6599999999999992E-3</x:v>
      </x:c>
      <x:c r="P71" s="9">
        <x:f t="shared" si="3"/>
        <x:v>5.6599999999999992E-3</x:v>
      </x:c>
      <x:c r="Q71" s="10" t="s">
        <x:v>355</x:v>
      </x:c>
      <x:c r="R71" s="5" t="s">
        <x:v>356</x:v>
      </x:c>
      <x:c r="S71" s="5" t="s">
        <x:v>357</x:v>
      </x:c>
      <x:c r="T71" s="5" t="s">
        <x:v>358</x:v>
      </x:c>
      <x:c r="U71" s="151"/>
      <x:c r="V71" s="151"/>
      <x:c r="W71" s="151"/>
      <x:c r="X71" s="151"/>
      <x:c r="Y71" s="151"/>
      <x:c r="Z71" s="151"/>
    </x:row>
    <x:row r="72" ht="22" customHeight="1">
      <x:c r="A72" s="5" t="s">
        <x:v>217</x:v>
      </x:c>
      <x:c r="B72" s="5" t="s">
        <x:v>218</x:v>
      </x:c>
      <x:c r="C72" s="6">
        <x:v>44196</x:v>
      </x:c>
      <x:c r="D72" s="5">
        <x:v>2020</x:v>
      </x:c>
      <x:c r="E72" s="5" t="s">
        <x:v>425</x:v>
      </x:c>
      <x:c r="F72" s="5" t="s">
        <x:v>0</x:v>
      </x:c>
      <x:c r="G72" s="5" t="s">
        <x:v>408</x:v>
      </x:c>
      <x:c r="H72" s="8"/>
      <x:c r="I72" s="8"/>
      <x:c r="J72" s="5"/>
      <x:c r="K72" s="7">
        <x:v>2.0379999999999999E-2</x:v>
      </x:c>
      <x:c r="L72" s="9">
        <x:f t="shared" si="2"/>
        <x:v>2.0379999999999999E-2</x:v>
      </x:c>
      <x:c r="M72" s="8"/>
      <x:c r="N72" s="8"/>
      <x:c r="O72" s="7">
        <x:v>1.924E-2</x:v>
      </x:c>
      <x:c r="P72" s="9">
        <x:f t="shared" si="3"/>
        <x:v>1.924E-2</x:v>
      </x:c>
      <x:c r="Q72" s="10" t="s">
        <x:v>355</x:v>
      </x:c>
      <x:c r="R72" s="5" t="s">
        <x:v>356</x:v>
      </x:c>
      <x:c r="S72" s="5" t="s">
        <x:v>357</x:v>
      </x:c>
      <x:c r="T72" s="5" t="s">
        <x:v>358</x:v>
      </x:c>
      <x:c r="U72" s="151"/>
      <x:c r="V72" s="151"/>
      <x:c r="W72" s="151"/>
      <x:c r="X72" s="151"/>
      <x:c r="Y72" s="151"/>
      <x:c r="Z72" s="151"/>
    </x:row>
    <x:row r="73" ht="22" customHeight="1">
      <x:c r="A73" s="5" t="s">
        <x:v>217</x:v>
      </x:c>
      <x:c r="B73" s="5" t="s">
        <x:v>218</x:v>
      </x:c>
      <x:c r="C73" s="6">
        <x:v>44196</x:v>
      </x:c>
      <x:c r="D73" s="5">
        <x:v>2020</x:v>
      </x:c>
      <x:c r="E73" s="5" t="s">
        <x:v>426</x:v>
      </x:c>
      <x:c r="F73" s="5" t="s">
        <x:v>0</x:v>
      </x:c>
      <x:c r="G73" s="5" t="s">
        <x:v>408</x:v>
      </x:c>
      <x:c r="H73" s="8"/>
      <x:c r="I73" s="8"/>
      <x:c r="J73" s="5"/>
      <x:c r="K73" s="7">
        <x:v>0.15570999999999999</x:v>
      </x:c>
      <x:c r="L73" s="9">
        <x:f t="shared" si="2"/>
        <x:v>0.15570999999999999</x:v>
      </x:c>
      <x:c r="M73" s="8"/>
      <x:c r="N73" s="8"/>
      <x:c r="O73" s="7">
        <x:v>0.12750999999999998</x:v>
      </x:c>
      <x:c r="P73" s="9">
        <x:f t="shared" si="3"/>
        <x:v>0.12750999999999998</x:v>
      </x:c>
      <x:c r="Q73" s="10" t="s">
        <x:v>355</x:v>
      </x:c>
      <x:c r="R73" s="5" t="s">
        <x:v>356</x:v>
      </x:c>
      <x:c r="S73" s="5" t="s">
        <x:v>357</x:v>
      </x:c>
      <x:c r="T73" s="5" t="s">
        <x:v>358</x:v>
      </x:c>
      <x:c r="U73" s="151"/>
      <x:c r="V73" s="151"/>
      <x:c r="W73" s="151"/>
      <x:c r="X73" s="151"/>
      <x:c r="Y73" s="151"/>
      <x:c r="Z73" s="151"/>
    </x:row>
    <x:row r="74" ht="22" customHeight="1">
      <x:c r="A74" s="5" t="s">
        <x:v>217</x:v>
      </x:c>
      <x:c r="B74" s="5" t="s">
        <x:v>218</x:v>
      </x:c>
      <x:c r="C74" s="6">
        <x:v>44561</x:v>
      </x:c>
      <x:c r="D74" s="5">
        <x:v>2021</x:v>
      </x:c>
      <x:c r="E74" s="5" t="s">
        <x:v>353</x:v>
      </x:c>
      <x:c r="F74" s="5" t="s">
        <x:v>0</x:v>
      </x:c>
      <x:c r="G74" s="5" t="s">
        <x:v>354</x:v>
      </x:c>
      <x:c r="H74" s="8"/>
      <x:c r="I74" s="8"/>
      <x:c r="J74" s="5"/>
      <x:c r="K74" s="7">
        <x:v>3.4000000000000002E-4</x:v>
      </x:c>
      <x:c r="L74" s="9">
        <x:f t="shared" si="2"/>
        <x:v>3.4000000000000002E-4</x:v>
      </x:c>
      <x:c r="M74" s="8"/>
      <x:c r="N74" s="8"/>
      <x:c r="O74" s="7">
        <x:v>3.2100000000000002E-3</x:v>
      </x:c>
      <x:c r="P74" s="9">
        <x:f t="shared" si="3"/>
        <x:v>3.2100000000000002E-3</x:v>
      </x:c>
      <x:c r="Q74" s="10" t="s">
        <x:v>427</x:v>
      </x:c>
      <x:c r="R74" s="5" t="s">
        <x:v>356</x:v>
      </x:c>
      <x:c r="S74" s="5" t="s">
        <x:v>357</x:v>
      </x:c>
      <x:c r="T74" s="5" t="s">
        <x:v>358</x:v>
      </x:c>
      <x:c r="U74" s="151"/>
      <x:c r="V74" s="151"/>
      <x:c r="W74" s="151"/>
      <x:c r="X74" s="151"/>
      <x:c r="Y74" s="151"/>
      <x:c r="Z74" s="151"/>
    </x:row>
    <x:row r="75" ht="22" customHeight="1">
      <x:c r="A75" s="5" t="s">
        <x:v>217</x:v>
      </x:c>
      <x:c r="B75" s="5" t="s">
        <x:v>218</x:v>
      </x:c>
      <x:c r="C75" s="6">
        <x:v>44561</x:v>
      </x:c>
      <x:c r="D75" s="5">
        <x:v>2021</x:v>
      </x:c>
      <x:c r="E75" s="5" t="s">
        <x:v>359</x:v>
      </x:c>
      <x:c r="F75" s="5" t="s">
        <x:v>0</x:v>
      </x:c>
      <x:c r="G75" s="5" t="s">
        <x:v>354</x:v>
      </x:c>
      <x:c r="H75" s="8"/>
      <x:c r="I75" s="8"/>
      <x:c r="J75" s="5"/>
      <x:c r="K75" s="7">
        <x:v>2.98E-3</x:v>
      </x:c>
      <x:c r="L75" s="9">
        <x:f t="shared" si="2"/>
        <x:v>2.98E-3</x:v>
      </x:c>
      <x:c r="M75" s="8"/>
      <x:c r="N75" s="8"/>
      <x:c r="O75" s="7">
        <x:v>5.3200000000000001E-3</x:v>
      </x:c>
      <x:c r="P75" s="9">
        <x:f t="shared" si="3"/>
        <x:v>5.3200000000000001E-3</x:v>
      </x:c>
      <x:c r="Q75" s="10" t="s">
        <x:v>427</x:v>
      </x:c>
      <x:c r="R75" s="5" t="s">
        <x:v>356</x:v>
      </x:c>
      <x:c r="S75" s="5" t="s">
        <x:v>357</x:v>
      </x:c>
      <x:c r="T75" s="5" t="s">
        <x:v>358</x:v>
      </x:c>
      <x:c r="U75" s="151"/>
      <x:c r="V75" s="151"/>
      <x:c r="W75" s="151"/>
      <x:c r="X75" s="151"/>
      <x:c r="Y75" s="151"/>
      <x:c r="Z75" s="151"/>
    </x:row>
    <x:row r="76" ht="22" customHeight="1">
      <x:c r="A76" s="5" t="s">
        <x:v>217</x:v>
      </x:c>
      <x:c r="B76" s="5" t="s">
        <x:v>218</x:v>
      </x:c>
      <x:c r="C76" s="6">
        <x:v>44561</x:v>
      </x:c>
      <x:c r="D76" s="5">
        <x:v>2021</x:v>
      </x:c>
      <x:c r="E76" s="5" t="s">
        <x:v>360</x:v>
      </x:c>
      <x:c r="F76" s="5" t="s">
        <x:v>0</x:v>
      </x:c>
      <x:c r="G76" s="5" t="s">
        <x:v>354</x:v>
      </x:c>
      <x:c r="H76" s="8"/>
      <x:c r="I76" s="8"/>
      <x:c r="J76" s="5"/>
      <x:c r="K76" s="7">
        <x:v>5.7729999999999997E-2</x:v>
      </x:c>
      <x:c r="L76" s="9">
        <x:f t="shared" si="2"/>
        <x:v>5.7729999999999997E-2</x:v>
      </x:c>
      <x:c r="M76" s="8"/>
      <x:c r="N76" s="8"/>
      <x:c r="O76" s="7">
        <x:v>4.913E-2</x:v>
      </x:c>
      <x:c r="P76" s="9">
        <x:f t="shared" si="3"/>
        <x:v>4.913E-2</x:v>
      </x:c>
      <x:c r="Q76" s="10" t="s">
        <x:v>427</x:v>
      </x:c>
      <x:c r="R76" s="5" t="s">
        <x:v>356</x:v>
      </x:c>
      <x:c r="S76" s="5" t="s">
        <x:v>357</x:v>
      </x:c>
      <x:c r="T76" s="5" t="s">
        <x:v>358</x:v>
      </x:c>
      <x:c r="U76" s="151"/>
      <x:c r="V76" s="151"/>
      <x:c r="W76" s="151"/>
      <x:c r="X76" s="151"/>
      <x:c r="Y76" s="151"/>
      <x:c r="Z76" s="151"/>
    </x:row>
    <x:row r="77" ht="22" customHeight="1">
      <x:c r="A77" s="5" t="s">
        <x:v>217</x:v>
      </x:c>
      <x:c r="B77" s="5" t="s">
        <x:v>218</x:v>
      </x:c>
      <x:c r="C77" s="6">
        <x:v>44561</x:v>
      </x:c>
      <x:c r="D77" s="5">
        <x:v>2021</x:v>
      </x:c>
      <x:c r="E77" s="5" t="s">
        <x:v>361</x:v>
      </x:c>
      <x:c r="F77" s="5" t="s">
        <x:v>0</x:v>
      </x:c>
      <x:c r="G77" s="5" t="s">
        <x:v>354</x:v>
      </x:c>
      <x:c r="H77" s="8"/>
      <x:c r="I77" s="8"/>
      <x:c r="J77" s="5"/>
      <x:c r="K77" s="7">
        <x:v>4.4400000000000004E-3</x:v>
      </x:c>
      <x:c r="L77" s="9">
        <x:f t="shared" si="2"/>
        <x:v>4.4400000000000004E-3</x:v>
      </x:c>
      <x:c r="M77" s="8"/>
      <x:c r="N77" s="8"/>
      <x:c r="O77" s="7">
        <x:v>6.4900000000000001E-3</x:v>
      </x:c>
      <x:c r="P77" s="9">
        <x:f t="shared" si="3"/>
        <x:v>6.4900000000000001E-3</x:v>
      </x:c>
      <x:c r="Q77" s="10" t="s">
        <x:v>427</x:v>
      </x:c>
      <x:c r="R77" s="5" t="s">
        <x:v>356</x:v>
      </x:c>
      <x:c r="S77" s="5" t="s">
        <x:v>357</x:v>
      </x:c>
      <x:c r="T77" s="5" t="s">
        <x:v>358</x:v>
      </x:c>
      <x:c r="U77" s="151"/>
      <x:c r="V77" s="151"/>
      <x:c r="W77" s="151"/>
      <x:c r="X77" s="151"/>
      <x:c r="Y77" s="151"/>
      <x:c r="Z77" s="151"/>
    </x:row>
    <x:row r="78" ht="22" customHeight="1">
      <x:c r="A78" s="5" t="s">
        <x:v>217</x:v>
      </x:c>
      <x:c r="B78" s="5" t="s">
        <x:v>218</x:v>
      </x:c>
      <x:c r="C78" s="6">
        <x:v>44561</x:v>
      </x:c>
      <x:c r="D78" s="5">
        <x:v>2021</x:v>
      </x:c>
      <x:c r="E78" s="5" t="s">
        <x:v>362</x:v>
      </x:c>
      <x:c r="F78" s="5" t="s">
        <x:v>0</x:v>
      </x:c>
      <x:c r="G78" s="5" t="s">
        <x:v>354</x:v>
      </x:c>
      <x:c r="H78" s="8"/>
      <x:c r="I78" s="8"/>
      <x:c r="J78" s="5"/>
      <x:c r="K78" s="7">
        <x:v>1.0189999999999999E-2</x:v>
      </x:c>
      <x:c r="L78" s="9">
        <x:f t="shared" si="2"/>
        <x:v>1.0189999999999999E-2</x:v>
      </x:c>
      <x:c r="M78" s="8"/>
      <x:c r="N78" s="8"/>
      <x:c r="O78" s="7">
        <x:v>1.1089999999999999E-2</x:v>
      </x:c>
      <x:c r="P78" s="9">
        <x:f t="shared" si="3"/>
        <x:v>1.1089999999999999E-2</x:v>
      </x:c>
      <x:c r="Q78" s="10" t="s">
        <x:v>427</x:v>
      </x:c>
      <x:c r="R78" s="5" t="s">
        <x:v>356</x:v>
      </x:c>
      <x:c r="S78" s="5" t="s">
        <x:v>357</x:v>
      </x:c>
      <x:c r="T78" s="5" t="s">
        <x:v>358</x:v>
      </x:c>
      <x:c r="U78" s="151"/>
      <x:c r="V78" s="151"/>
      <x:c r="W78" s="151"/>
      <x:c r="X78" s="151"/>
      <x:c r="Y78" s="151"/>
      <x:c r="Z78" s="151"/>
    </x:row>
    <x:row r="79" ht="22" customHeight="1">
      <x:c r="A79" s="5" t="s">
        <x:v>217</x:v>
      </x:c>
      <x:c r="B79" s="5" t="s">
        <x:v>218</x:v>
      </x:c>
      <x:c r="C79" s="6">
        <x:v>44561</x:v>
      </x:c>
      <x:c r="D79" s="5">
        <x:v>2021</x:v>
      </x:c>
      <x:c r="E79" s="5" t="s">
        <x:v>363</x:v>
      </x:c>
      <x:c r="F79" s="5" t="s">
        <x:v>0</x:v>
      </x:c>
      <x:c r="G79" s="5" t="s">
        <x:v>354</x:v>
      </x:c>
      <x:c r="H79" s="8"/>
      <x:c r="I79" s="8"/>
      <x:c r="J79" s="5"/>
      <x:c r="K79" s="7">
        <x:v>6.0000000000000002E-5</x:v>
      </x:c>
      <x:c r="L79" s="9">
        <x:f t="shared" si="2"/>
        <x:v>6.0000000000000002E-5</x:v>
      </x:c>
      <x:c r="M79" s="8"/>
      <x:c r="N79" s="8"/>
      <x:c r="O79" s="7">
        <x:v>2.99E-3</x:v>
      </x:c>
      <x:c r="P79" s="9">
        <x:f t="shared" si="3"/>
        <x:v>2.99E-3</x:v>
      </x:c>
      <x:c r="Q79" s="10" t="s">
        <x:v>427</x:v>
      </x:c>
      <x:c r="R79" s="5" t="s">
        <x:v>356</x:v>
      </x:c>
      <x:c r="S79" s="5" t="s">
        <x:v>357</x:v>
      </x:c>
      <x:c r="T79" s="5" t="s">
        <x:v>358</x:v>
      </x:c>
      <x:c r="U79" s="151"/>
      <x:c r="V79" s="151"/>
      <x:c r="W79" s="151"/>
      <x:c r="X79" s="151"/>
      <x:c r="Y79" s="151"/>
      <x:c r="Z79" s="151"/>
    </x:row>
    <x:row r="80" ht="22" customHeight="1">
      <x:c r="A80" s="5" t="s">
        <x:v>217</x:v>
      </x:c>
      <x:c r="B80" s="5" t="s">
        <x:v>218</x:v>
      </x:c>
      <x:c r="C80" s="6">
        <x:v>44561</x:v>
      </x:c>
      <x:c r="D80" s="5">
        <x:v>2021</x:v>
      </x:c>
      <x:c r="E80" s="5" t="s">
        <x:v>364</x:v>
      </x:c>
      <x:c r="F80" s="5" t="s">
        <x:v>0</x:v>
      </x:c>
      <x:c r="G80" s="5" t="s">
        <x:v>354</x:v>
      </x:c>
      <x:c r="H80" s="8"/>
      <x:c r="I80" s="8"/>
      <x:c r="J80" s="5"/>
      <x:c r="K80" s="7">
        <x:v>3.5099999999999997E-3</x:v>
      </x:c>
      <x:c r="L80" s="9">
        <x:f t="shared" si="2"/>
        <x:v>3.5099999999999997E-3</x:v>
      </x:c>
      <x:c r="M80" s="8"/>
      <x:c r="N80" s="8"/>
      <x:c r="O80" s="7">
        <x:v>5.7499999999999999E-3</x:v>
      </x:c>
      <x:c r="P80" s="9">
        <x:f t="shared" si="3"/>
        <x:v>5.7499999999999999E-3</x:v>
      </x:c>
      <x:c r="Q80" s="10" t="s">
        <x:v>427</x:v>
      </x:c>
      <x:c r="R80" s="5" t="s">
        <x:v>356</x:v>
      </x:c>
      <x:c r="S80" s="5" t="s">
        <x:v>357</x:v>
      </x:c>
      <x:c r="T80" s="5" t="s">
        <x:v>358</x:v>
      </x:c>
      <x:c r="U80" s="151"/>
      <x:c r="V80" s="151"/>
      <x:c r="W80" s="151"/>
      <x:c r="X80" s="151"/>
      <x:c r="Y80" s="151"/>
      <x:c r="Z80" s="151"/>
    </x:row>
    <x:row r="81" ht="22" customHeight="1">
      <x:c r="A81" s="5" t="s">
        <x:v>217</x:v>
      </x:c>
      <x:c r="B81" s="5" t="s">
        <x:v>218</x:v>
      </x:c>
      <x:c r="C81" s="6">
        <x:v>44561</x:v>
      </x:c>
      <x:c r="D81" s="5">
        <x:v>2021</x:v>
      </x:c>
      <x:c r="E81" s="5" t="s">
        <x:v>365</x:v>
      </x:c>
      <x:c r="F81" s="5" t="s">
        <x:v>0</x:v>
      </x:c>
      <x:c r="G81" s="5" t="s">
        <x:v>354</x:v>
      </x:c>
      <x:c r="H81" s="8"/>
      <x:c r="I81" s="8"/>
      <x:c r="J81" s="5"/>
      <x:c r="K81" s="7">
        <x:v>4.8999999999999998E-4</x:v>
      </x:c>
      <x:c r="L81" s="9">
        <x:f t="shared" si="2"/>
        <x:v>4.8999999999999998E-4</x:v>
      </x:c>
      <x:c r="M81" s="8"/>
      <x:c r="N81" s="8"/>
      <x:c r="O81" s="7">
        <x:v>3.3400000000000001E-3</x:v>
      </x:c>
      <x:c r="P81" s="9">
        <x:f t="shared" si="3"/>
        <x:v>3.3400000000000001E-3</x:v>
      </x:c>
      <x:c r="Q81" s="10" t="s">
        <x:v>427</x:v>
      </x:c>
      <x:c r="R81" s="5" t="s">
        <x:v>356</x:v>
      </x:c>
      <x:c r="S81" s="5" t="s">
        <x:v>357</x:v>
      </x:c>
      <x:c r="T81" s="5" t="s">
        <x:v>358</x:v>
      </x:c>
      <x:c r="U81" s="151"/>
      <x:c r="V81" s="151"/>
      <x:c r="W81" s="151"/>
      <x:c r="X81" s="151"/>
      <x:c r="Y81" s="151"/>
      <x:c r="Z81" s="151"/>
    </x:row>
    <x:row r="82" ht="22" customHeight="1">
      <x:c r="A82" s="5" t="s">
        <x:v>217</x:v>
      </x:c>
      <x:c r="B82" s="5" t="s">
        <x:v>218</x:v>
      </x:c>
      <x:c r="C82" s="6">
        <x:v>44561</x:v>
      </x:c>
      <x:c r="D82" s="5">
        <x:v>2021</x:v>
      </x:c>
      <x:c r="E82" s="5" t="s">
        <x:v>366</x:v>
      </x:c>
      <x:c r="F82" s="5" t="s">
        <x:v>0</x:v>
      </x:c>
      <x:c r="G82" s="5" t="s">
        <x:v>354</x:v>
      </x:c>
      <x:c r="H82" s="8"/>
      <x:c r="I82" s="8"/>
      <x:c r="J82" s="5"/>
      <x:c r="K82" s="7">
        <x:v>6.429E-2</x:v>
      </x:c>
      <x:c r="L82" s="9">
        <x:f t="shared" si="2"/>
        <x:v>6.429E-2</x:v>
      </x:c>
      <x:c r="M82" s="8"/>
      <x:c r="N82" s="8"/>
      <x:c r="O82" s="7">
        <x:v>5.4370000000000002E-2</x:v>
      </x:c>
      <x:c r="P82" s="9">
        <x:f t="shared" si="3"/>
        <x:v>5.4370000000000002E-2</x:v>
      </x:c>
      <x:c r="Q82" s="10" t="s">
        <x:v>427</x:v>
      </x:c>
      <x:c r="R82" s="5" t="s">
        <x:v>356</x:v>
      </x:c>
      <x:c r="S82" s="5" t="s">
        <x:v>357</x:v>
      </x:c>
      <x:c r="T82" s="5" t="s">
        <x:v>358</x:v>
      </x:c>
      <x:c r="U82" s="151"/>
      <x:c r="V82" s="151"/>
      <x:c r="W82" s="151"/>
      <x:c r="X82" s="151"/>
      <x:c r="Y82" s="151"/>
      <x:c r="Z82" s="151"/>
    </x:row>
    <x:row r="83" ht="22" customHeight="1">
      <x:c r="A83" s="5" t="s">
        <x:v>217</x:v>
      </x:c>
      <x:c r="B83" s="5" t="s">
        <x:v>218</x:v>
      </x:c>
      <x:c r="C83" s="6">
        <x:v>44561</x:v>
      </x:c>
      <x:c r="D83" s="5">
        <x:v>2021</x:v>
      </x:c>
      <x:c r="E83" s="5" t="s">
        <x:v>367</x:v>
      </x:c>
      <x:c r="F83" s="5" t="s">
        <x:v>0</x:v>
      </x:c>
      <x:c r="G83" s="5" t="s">
        <x:v>354</x:v>
      </x:c>
      <x:c r="H83" s="8"/>
      <x:c r="I83" s="8"/>
      <x:c r="J83" s="5"/>
      <x:c r="K83" s="7">
        <x:v>3.0000000000000001E-5</x:v>
      </x:c>
      <x:c r="L83" s="9">
        <x:f t="shared" si="2"/>
        <x:v>3.0000000000000001E-5</x:v>
      </x:c>
      <x:c r="M83" s="8"/>
      <x:c r="N83" s="8"/>
      <x:c r="O83" s="7">
        <x:v>2.96E-3</x:v>
      </x:c>
      <x:c r="P83" s="9">
        <x:f t="shared" si="3"/>
        <x:v>2.96E-3</x:v>
      </x:c>
      <x:c r="Q83" s="10" t="s">
        <x:v>427</x:v>
      </x:c>
      <x:c r="R83" s="5" t="s">
        <x:v>356</x:v>
      </x:c>
      <x:c r="S83" s="5" t="s">
        <x:v>357</x:v>
      </x:c>
      <x:c r="T83" s="5" t="s">
        <x:v>358</x:v>
      </x:c>
      <x:c r="U83" s="151"/>
      <x:c r="V83" s="151"/>
      <x:c r="W83" s="151"/>
      <x:c r="X83" s="151"/>
      <x:c r="Y83" s="151"/>
      <x:c r="Z83" s="151"/>
    </x:row>
    <x:row r="84" ht="22" customHeight="1">
      <x:c r="A84" s="5" t="s">
        <x:v>217</x:v>
      </x:c>
      <x:c r="B84" s="5" t="s">
        <x:v>218</x:v>
      </x:c>
      <x:c r="C84" s="6">
        <x:v>44561</x:v>
      </x:c>
      <x:c r="D84" s="5">
        <x:v>2021</x:v>
      </x:c>
      <x:c r="E84" s="5" t="s">
        <x:v>368</x:v>
      </x:c>
      <x:c r="F84" s="5" t="s">
        <x:v>0</x:v>
      </x:c>
      <x:c r="G84" s="5" t="s">
        <x:v>354</x:v>
      </x:c>
      <x:c r="H84" s="8"/>
      <x:c r="I84" s="8"/>
      <x:c r="J84" s="5"/>
      <x:c r="K84" s="7">
        <x:v>6.8000000000000005E-4</x:v>
      </x:c>
      <x:c r="L84" s="9">
        <x:f t="shared" si="2"/>
        <x:v>6.8000000000000005E-4</x:v>
      </x:c>
      <x:c r="M84" s="8"/>
      <x:c r="N84" s="8"/>
      <x:c r="O84" s="7">
        <x:v>3.4799999999999996E-3</x:v>
      </x:c>
      <x:c r="P84" s="9">
        <x:f t="shared" si="3"/>
        <x:v>3.4799999999999996E-3</x:v>
      </x:c>
      <x:c r="Q84" s="10" t="s">
        <x:v>427</x:v>
      </x:c>
      <x:c r="R84" s="5" t="s">
        <x:v>356</x:v>
      </x:c>
      <x:c r="S84" s="5" t="s">
        <x:v>357</x:v>
      </x:c>
      <x:c r="T84" s="5" t="s">
        <x:v>358</x:v>
      </x:c>
      <x:c r="U84" s="151"/>
      <x:c r="V84" s="151"/>
      <x:c r="W84" s="151"/>
      <x:c r="X84" s="151"/>
      <x:c r="Y84" s="151"/>
      <x:c r="Z84" s="151"/>
    </x:row>
    <x:row r="85" ht="22" customHeight="1">
      <x:c r="A85" s="5" t="s">
        <x:v>217</x:v>
      </x:c>
      <x:c r="B85" s="5" t="s">
        <x:v>218</x:v>
      </x:c>
      <x:c r="C85" s="6">
        <x:v>44561</x:v>
      </x:c>
      <x:c r="D85" s="5">
        <x:v>2021</x:v>
      </x:c>
      <x:c r="E85" s="5" t="s">
        <x:v>369</x:v>
      </x:c>
      <x:c r="F85" s="5" t="s">
        <x:v>0</x:v>
      </x:c>
      <x:c r="G85" s="5" t="s">
        <x:v>354</x:v>
      </x:c>
      <x:c r="H85" s="8"/>
      <x:c r="I85" s="8"/>
      <x:c r="J85" s="5"/>
      <x:c r="K85" s="7">
        <x:v>3.4100000000000003E-3</x:v>
      </x:c>
      <x:c r="L85" s="9">
        <x:f t="shared" si="2"/>
        <x:v>3.4100000000000003E-3</x:v>
      </x:c>
      <x:c r="M85" s="8"/>
      <x:c r="N85" s="8"/>
      <x:c r="O85" s="7">
        <x:v>5.6699999999999997E-3</x:v>
      </x:c>
      <x:c r="P85" s="9">
        <x:f t="shared" si="3"/>
        <x:v>5.6699999999999997E-3</x:v>
      </x:c>
      <x:c r="Q85" s="10" t="s">
        <x:v>427</x:v>
      </x:c>
      <x:c r="R85" s="5" t="s">
        <x:v>356</x:v>
      </x:c>
      <x:c r="S85" s="5" t="s">
        <x:v>357</x:v>
      </x:c>
      <x:c r="T85" s="5" t="s">
        <x:v>358</x:v>
      </x:c>
      <x:c r="U85" s="151"/>
      <x:c r="V85" s="151"/>
      <x:c r="W85" s="151"/>
      <x:c r="X85" s="151"/>
      <x:c r="Y85" s="151"/>
      <x:c r="Z85" s="151"/>
    </x:row>
    <x:row r="86" ht="22" customHeight="1">
      <x:c r="A86" s="5" t="s">
        <x:v>217</x:v>
      </x:c>
      <x:c r="B86" s="5" t="s">
        <x:v>218</x:v>
      </x:c>
      <x:c r="C86" s="6">
        <x:v>44561</x:v>
      </x:c>
      <x:c r="D86" s="5">
        <x:v>2021</x:v>
      </x:c>
      <x:c r="E86" s="5" t="s">
        <x:v>370</x:v>
      </x:c>
      <x:c r="F86" s="5" t="s">
        <x:v>0</x:v>
      </x:c>
      <x:c r="G86" s="5" t="s">
        <x:v>354</x:v>
      </x:c>
      <x:c r="H86" s="8"/>
      <x:c r="I86" s="8"/>
      <x:c r="J86" s="5"/>
      <x:c r="K86" s="7">
        <x:v>5.4300000000000008E-3</x:v>
      </x:c>
      <x:c r="L86" s="9">
        <x:f t="shared" si="2"/>
        <x:v>5.4300000000000008E-3</x:v>
      </x:c>
      <x:c r="M86" s="8"/>
      <x:c r="N86" s="8"/>
      <x:c r="O86" s="7">
        <x:v>7.2899999999999996E-3</x:v>
      </x:c>
      <x:c r="P86" s="9">
        <x:f t="shared" si="3"/>
        <x:v>7.2899999999999996E-3</x:v>
      </x:c>
      <x:c r="Q86" s="10" t="s">
        <x:v>427</x:v>
      </x:c>
      <x:c r="R86" s="5" t="s">
        <x:v>356</x:v>
      </x:c>
      <x:c r="S86" s="5" t="s">
        <x:v>357</x:v>
      </x:c>
      <x:c r="T86" s="5" t="s">
        <x:v>358</x:v>
      </x:c>
      <x:c r="U86" s="151"/>
      <x:c r="V86" s="151"/>
      <x:c r="W86" s="151"/>
      <x:c r="X86" s="151"/>
      <x:c r="Y86" s="151"/>
      <x:c r="Z86" s="151"/>
    </x:row>
    <x:row r="87" ht="22" customHeight="1">
      <x:c r="A87" s="5" t="s">
        <x:v>217</x:v>
      </x:c>
      <x:c r="B87" s="5" t="s">
        <x:v>218</x:v>
      </x:c>
      <x:c r="C87" s="6">
        <x:v>44561</x:v>
      </x:c>
      <x:c r="D87" s="5">
        <x:v>2021</x:v>
      </x:c>
      <x:c r="E87" s="5" t="s">
        <x:v>371</x:v>
      </x:c>
      <x:c r="F87" s="5" t="s">
        <x:v>0</x:v>
      </x:c>
      <x:c r="G87" s="5" t="s">
        <x:v>354</x:v>
      </x:c>
      <x:c r="H87" s="8"/>
      <x:c r="I87" s="8"/>
      <x:c r="J87" s="5"/>
      <x:c r="K87" s="7">
        <x:v>6.3170000000000004E-2</x:v>
      </x:c>
      <x:c r="L87" s="9">
        <x:f t="shared" si="2"/>
        <x:v>6.3170000000000004E-2</x:v>
      </x:c>
      <x:c r="M87" s="8"/>
      <x:c r="N87" s="8"/>
      <x:c r="O87" s="7">
        <x:v>5.3470000000000004E-2</x:v>
      </x:c>
      <x:c r="P87" s="9">
        <x:f t="shared" si="3"/>
        <x:v>5.3470000000000004E-2</x:v>
      </x:c>
      <x:c r="Q87" s="10" t="s">
        <x:v>427</x:v>
      </x:c>
      <x:c r="R87" s="5" t="s">
        <x:v>356</x:v>
      </x:c>
      <x:c r="S87" s="5" t="s">
        <x:v>357</x:v>
      </x:c>
      <x:c r="T87" s="5" t="s">
        <x:v>358</x:v>
      </x:c>
      <x:c r="U87" s="151"/>
      <x:c r="V87" s="151"/>
      <x:c r="W87" s="151"/>
      <x:c r="X87" s="151"/>
      <x:c r="Y87" s="151"/>
      <x:c r="Z87" s="151"/>
    </x:row>
    <x:row r="88" ht="22" customHeight="1">
      <x:c r="A88" s="5" t="s">
        <x:v>217</x:v>
      </x:c>
      <x:c r="B88" s="5" t="s">
        <x:v>218</x:v>
      </x:c>
      <x:c r="C88" s="6">
        <x:v>44561</x:v>
      </x:c>
      <x:c r="D88" s="5">
        <x:v>2021</x:v>
      </x:c>
      <x:c r="E88" s="5" t="s">
        <x:v>372</x:v>
      </x:c>
      <x:c r="F88" s="5" t="s">
        <x:v>0</x:v>
      </x:c>
      <x:c r="G88" s="5" t="s">
        <x:v>354</x:v>
      </x:c>
      <x:c r="H88" s="8"/>
      <x:c r="I88" s="8"/>
      <x:c r="J88" s="5"/>
      <x:c r="K88" s="7">
        <x:v>5.4339999999999999E-2</x:v>
      </x:c>
      <x:c r="L88" s="9">
        <x:f t="shared" si="2"/>
        <x:v>5.4339999999999999E-2</x:v>
      </x:c>
      <x:c r="M88" s="8"/>
      <x:c r="N88" s="8"/>
      <x:c r="O88" s="7">
        <x:v>4.641E-2</x:v>
      </x:c>
      <x:c r="P88" s="9">
        <x:f t="shared" si="3"/>
        <x:v>4.641E-2</x:v>
      </x:c>
      <x:c r="Q88" s="10" t="s">
        <x:v>427</x:v>
      </x:c>
      <x:c r="R88" s="5" t="s">
        <x:v>356</x:v>
      </x:c>
      <x:c r="S88" s="5" t="s">
        <x:v>357</x:v>
      </x:c>
      <x:c r="T88" s="5" t="s">
        <x:v>358</x:v>
      </x:c>
      <x:c r="U88" s="151"/>
      <x:c r="V88" s="151"/>
      <x:c r="W88" s="151"/>
      <x:c r="X88" s="151"/>
      <x:c r="Y88" s="151"/>
      <x:c r="Z88" s="151"/>
    </x:row>
    <x:row r="89" ht="22" customHeight="1">
      <x:c r="A89" s="5" t="s">
        <x:v>217</x:v>
      </x:c>
      <x:c r="B89" s="5" t="s">
        <x:v>218</x:v>
      </x:c>
      <x:c r="C89" s="6">
        <x:v>44561</x:v>
      </x:c>
      <x:c r="D89" s="5">
        <x:v>2021</x:v>
      </x:c>
      <x:c r="E89" s="5" t="s">
        <x:v>373</x:v>
      </x:c>
      <x:c r="F89" s="5" t="s">
        <x:v>0</x:v>
      </x:c>
      <x:c r="G89" s="5" t="s">
        <x:v>354</x:v>
      </x:c>
      <x:c r="H89" s="8"/>
      <x:c r="I89" s="8"/>
      <x:c r="J89" s="5"/>
      <x:c r="K89" s="7">
        <x:v>0.15570999999999999</x:v>
      </x:c>
      <x:c r="L89" s="9">
        <x:f t="shared" si="2"/>
        <x:v>0.15570999999999999</x:v>
      </x:c>
      <x:c r="M89" s="8"/>
      <x:c r="N89" s="8"/>
      <x:c r="O89" s="7">
        <x:v>0.12750999999999998</x:v>
      </x:c>
      <x:c r="P89" s="9">
        <x:f t="shared" si="3"/>
        <x:v>0.12750999999999998</x:v>
      </x:c>
      <x:c r="Q89" s="10" t="s">
        <x:v>427</x:v>
      </x:c>
      <x:c r="R89" s="5" t="s">
        <x:v>356</x:v>
      </x:c>
      <x:c r="S89" s="5" t="s">
        <x:v>357</x:v>
      </x:c>
      <x:c r="T89" s="5" t="s">
        <x:v>358</x:v>
      </x:c>
      <x:c r="U89" s="151"/>
      <x:c r="V89" s="151"/>
      <x:c r="W89" s="151"/>
      <x:c r="X89" s="151"/>
      <x:c r="Y89" s="151"/>
      <x:c r="Z89" s="151"/>
    </x:row>
    <x:row r="90" ht="22" customHeight="1">
      <x:c r="A90" s="5" t="s">
        <x:v>217</x:v>
      </x:c>
      <x:c r="B90" s="5" t="s">
        <x:v>218</x:v>
      </x:c>
      <x:c r="C90" s="6">
        <x:v>44561</x:v>
      </x:c>
      <x:c r="D90" s="5">
        <x:v>2021</x:v>
      </x:c>
      <x:c r="E90" s="5" t="s">
        <x:v>374</x:v>
      </x:c>
      <x:c r="F90" s="5" t="s">
        <x:v>0</x:v>
      </x:c>
      <x:c r="G90" s="5" t="s">
        <x:v>354</x:v>
      </x:c>
      <x:c r="H90" s="8"/>
      <x:c r="I90" s="8"/>
      <x:c r="J90" s="5"/>
      <x:c r="K90" s="7">
        <x:v>8.0499999999999999E-3</x:v>
      </x:c>
      <x:c r="L90" s="9">
        <x:f t="shared" si="2"/>
        <x:v>8.0499999999999999E-3</x:v>
      </x:c>
      <x:c r="M90" s="8"/>
      <x:c r="N90" s="8"/>
      <x:c r="O90" s="7">
        <x:v>9.3799999999999994E-3</x:v>
      </x:c>
      <x:c r="P90" s="9">
        <x:f t="shared" si="3"/>
        <x:v>9.3799999999999994E-3</x:v>
      </x:c>
      <x:c r="Q90" s="10" t="s">
        <x:v>427</x:v>
      </x:c>
      <x:c r="R90" s="5" t="s">
        <x:v>356</x:v>
      </x:c>
      <x:c r="S90" s="5" t="s">
        <x:v>357</x:v>
      </x:c>
      <x:c r="T90" s="5" t="s">
        <x:v>358</x:v>
      </x:c>
      <x:c r="U90" s="151"/>
      <x:c r="V90" s="151"/>
      <x:c r="W90" s="151"/>
      <x:c r="X90" s="151"/>
      <x:c r="Y90" s="151"/>
      <x:c r="Z90" s="151"/>
    </x:row>
    <x:row r="91" ht="22" customHeight="1">
      <x:c r="A91" s="5" t="s">
        <x:v>217</x:v>
      </x:c>
      <x:c r="B91" s="5" t="s">
        <x:v>218</x:v>
      </x:c>
      <x:c r="C91" s="6">
        <x:v>44561</x:v>
      </x:c>
      <x:c r="D91" s="5">
        <x:v>2021</x:v>
      </x:c>
      <x:c r="E91" s="5" t="s">
        <x:v>375</x:v>
      </x:c>
      <x:c r="F91" s="5" t="s">
        <x:v>0</x:v>
      </x:c>
      <x:c r="G91" s="5" t="s">
        <x:v>354</x:v>
      </x:c>
      <x:c r="H91" s="8"/>
      <x:c r="I91" s="8"/>
      <x:c r="J91" s="5"/>
      <x:c r="K91" s="7">
        <x:v>4.0000000000000003E-5</x:v>
      </x:c>
      <x:c r="L91" s="9">
        <x:f t="shared" si="2"/>
        <x:v>4.0000000000000003E-5</x:v>
      </x:c>
      <x:c r="M91" s="8"/>
      <x:c r="N91" s="8"/>
      <x:c r="O91" s="7">
        <x:v>2.97E-3</x:v>
      </x:c>
      <x:c r="P91" s="9">
        <x:f t="shared" si="3"/>
        <x:v>2.97E-3</x:v>
      </x:c>
      <x:c r="Q91" s="10" t="s">
        <x:v>427</x:v>
      </x:c>
      <x:c r="R91" s="5" t="s">
        <x:v>356</x:v>
      </x:c>
      <x:c r="S91" s="5" t="s">
        <x:v>357</x:v>
      </x:c>
      <x:c r="T91" s="5" t="s">
        <x:v>358</x:v>
      </x:c>
      <x:c r="U91" s="151"/>
      <x:c r="V91" s="151"/>
      <x:c r="W91" s="151"/>
      <x:c r="X91" s="151"/>
      <x:c r="Y91" s="151"/>
      <x:c r="Z91" s="151"/>
    </x:row>
    <x:row r="92" ht="22" customHeight="1">
      <x:c r="A92" s="5" t="s">
        <x:v>217</x:v>
      </x:c>
      <x:c r="B92" s="5" t="s">
        <x:v>218</x:v>
      </x:c>
      <x:c r="C92" s="6">
        <x:v>44561</x:v>
      </x:c>
      <x:c r="D92" s="5">
        <x:v>2021</x:v>
      </x:c>
      <x:c r="E92" s="5" t="s">
        <x:v>376</x:v>
      </x:c>
      <x:c r="F92" s="5" t="s">
        <x:v>0</x:v>
      </x:c>
      <x:c r="G92" s="5" t="s">
        <x:v>354</x:v>
      </x:c>
      <x:c r="H92" s="8"/>
      <x:c r="I92" s="8"/>
      <x:c r="J92" s="5"/>
      <x:c r="K92" s="7">
        <x:v>5.0259999999999999E-2</x:v>
      </x:c>
      <x:c r="L92" s="9">
        <x:f t="shared" si="2"/>
        <x:v>5.0259999999999999E-2</x:v>
      </x:c>
      <x:c r="M92" s="8"/>
      <x:c r="N92" s="8"/>
      <x:c r="O92" s="7">
        <x:v>4.3150000000000001E-2</x:v>
      </x:c>
      <x:c r="P92" s="9">
        <x:f t="shared" si="3"/>
        <x:v>4.3150000000000001E-2</x:v>
      </x:c>
      <x:c r="Q92" s="10" t="s">
        <x:v>427</x:v>
      </x:c>
      <x:c r="R92" s="5" t="s">
        <x:v>356</x:v>
      </x:c>
      <x:c r="S92" s="5" t="s">
        <x:v>357</x:v>
      </x:c>
      <x:c r="T92" s="5" t="s">
        <x:v>358</x:v>
      </x:c>
      <x:c r="U92" s="151"/>
      <x:c r="V92" s="151"/>
      <x:c r="W92" s="151"/>
      <x:c r="X92" s="151"/>
      <x:c r="Y92" s="151"/>
      <x:c r="Z92" s="151"/>
    </x:row>
    <x:row r="93" ht="22" customHeight="1">
      <x:c r="A93" s="5" t="s">
        <x:v>217</x:v>
      </x:c>
      <x:c r="B93" s="5" t="s">
        <x:v>218</x:v>
      </x:c>
      <x:c r="C93" s="6">
        <x:v>44561</x:v>
      </x:c>
      <x:c r="D93" s="5">
        <x:v>2021</x:v>
      </x:c>
      <x:c r="E93" s="5" t="s">
        <x:v>377</x:v>
      </x:c>
      <x:c r="F93" s="5" t="s">
        <x:v>0</x:v>
      </x:c>
      <x:c r="G93" s="5" t="s">
        <x:v>354</x:v>
      </x:c>
      <x:c r="H93" s="8"/>
      <x:c r="I93" s="8"/>
      <x:c r="J93" s="5"/>
      <x:c r="K93" s="7">
        <x:v>2.98E-3</x:v>
      </x:c>
      <x:c r="L93" s="9">
        <x:f t="shared" si="2"/>
        <x:v>2.98E-3</x:v>
      </x:c>
      <x:c r="M93" s="8"/>
      <x:c r="N93" s="8"/>
      <x:c r="O93" s="7">
        <x:v>5.3300000000000005E-3</x:v>
      </x:c>
      <x:c r="P93" s="9">
        <x:f t="shared" si="3"/>
        <x:v>5.3300000000000005E-3</x:v>
      </x:c>
      <x:c r="Q93" s="10" t="s">
        <x:v>427</x:v>
      </x:c>
      <x:c r="R93" s="5" t="s">
        <x:v>356</x:v>
      </x:c>
      <x:c r="S93" s="5" t="s">
        <x:v>357</x:v>
      </x:c>
      <x:c r="T93" s="5" t="s">
        <x:v>358</x:v>
      </x:c>
      <x:c r="U93" s="151"/>
      <x:c r="V93" s="151"/>
      <x:c r="W93" s="151"/>
      <x:c r="X93" s="151"/>
      <x:c r="Y93" s="151"/>
      <x:c r="Z93" s="151"/>
    </x:row>
    <x:row r="94" ht="22" customHeight="1">
      <x:c r="A94" s="5" t="s">
        <x:v>217</x:v>
      </x:c>
      <x:c r="B94" s="5" t="s">
        <x:v>218</x:v>
      </x:c>
      <x:c r="C94" s="6">
        <x:v>44561</x:v>
      </x:c>
      <x:c r="D94" s="5">
        <x:v>2021</x:v>
      </x:c>
      <x:c r="E94" s="5" t="s">
        <x:v>378</x:v>
      </x:c>
      <x:c r="F94" s="5" t="s">
        <x:v>0</x:v>
      </x:c>
      <x:c r="G94" s="5" t="s">
        <x:v>354</x:v>
      </x:c>
      <x:c r="H94" s="8"/>
      <x:c r="I94" s="8"/>
      <x:c r="J94" s="5"/>
      <x:c r="K94" s="7">
        <x:v>1.4000000000000001E-4</x:v>
      </x:c>
      <x:c r="L94" s="9">
        <x:f t="shared" si="2"/>
        <x:v>1.4000000000000001E-4</x:v>
      </x:c>
      <x:c r="M94" s="8"/>
      <x:c r="N94" s="8"/>
      <x:c r="O94" s="7">
        <x:v>3.0499999999999998E-3</x:v>
      </x:c>
      <x:c r="P94" s="9">
        <x:f t="shared" si="3"/>
        <x:v>3.0499999999999998E-3</x:v>
      </x:c>
      <x:c r="Q94" s="10" t="s">
        <x:v>427</x:v>
      </x:c>
      <x:c r="R94" s="5" t="s">
        <x:v>356</x:v>
      </x:c>
      <x:c r="S94" s="5" t="s">
        <x:v>357</x:v>
      </x:c>
      <x:c r="T94" s="5" t="s">
        <x:v>358</x:v>
      </x:c>
      <x:c r="U94" s="151"/>
      <x:c r="V94" s="151"/>
      <x:c r="W94" s="151"/>
      <x:c r="X94" s="151"/>
      <x:c r="Y94" s="151"/>
      <x:c r="Z94" s="151"/>
    </x:row>
    <x:row r="95" ht="22" customHeight="1">
      <x:c r="A95" s="5" t="s">
        <x:v>217</x:v>
      </x:c>
      <x:c r="B95" s="5" t="s">
        <x:v>218</x:v>
      </x:c>
      <x:c r="C95" s="6">
        <x:v>44561</x:v>
      </x:c>
      <x:c r="D95" s="5">
        <x:v>2021</x:v>
      </x:c>
      <x:c r="E95" s="5" t="s">
        <x:v>379</x:v>
      </x:c>
      <x:c r="F95" s="5" t="s">
        <x:v>0</x:v>
      </x:c>
      <x:c r="G95" s="5" t="s">
        <x:v>354</x:v>
      </x:c>
      <x:c r="H95" s="8"/>
      <x:c r="I95" s="8"/>
      <x:c r="J95" s="5"/>
      <x:c r="K95" s="7">
        <x:v>2.717E-2</x:v>
      </x:c>
      <x:c r="L95" s="9">
        <x:f t="shared" si="2"/>
        <x:v>2.717E-2</x:v>
      </x:c>
      <x:c r="M95" s="8"/>
      <x:c r="N95" s="8"/>
      <x:c r="O95" s="7">
        <x:v>2.4680000000000001E-2</x:v>
      </x:c>
      <x:c r="P95" s="9">
        <x:f t="shared" si="3"/>
        <x:v>2.4680000000000001E-2</x:v>
      </x:c>
      <x:c r="Q95" s="10" t="s">
        <x:v>427</x:v>
      </x:c>
      <x:c r="R95" s="5" t="s">
        <x:v>356</x:v>
      </x:c>
      <x:c r="S95" s="5" t="s">
        <x:v>357</x:v>
      </x:c>
      <x:c r="T95" s="5" t="s">
        <x:v>358</x:v>
      </x:c>
      <x:c r="U95" s="151"/>
      <x:c r="V95" s="151"/>
      <x:c r="W95" s="151"/>
      <x:c r="X95" s="151"/>
      <x:c r="Y95" s="151"/>
      <x:c r="Z95" s="151"/>
    </x:row>
    <x:row r="96" ht="22" customHeight="1">
      <x:c r="A96" s="5" t="s">
        <x:v>217</x:v>
      </x:c>
      <x:c r="B96" s="5" t="s">
        <x:v>218</x:v>
      </x:c>
      <x:c r="C96" s="6">
        <x:v>44561</x:v>
      </x:c>
      <x:c r="D96" s="5">
        <x:v>2021</x:v>
      </x:c>
      <x:c r="E96" s="5" t="s">
        <x:v>380</x:v>
      </x:c>
      <x:c r="F96" s="5" t="s">
        <x:v>0</x:v>
      </x:c>
      <x:c r="G96" s="5" t="s">
        <x:v>354</x:v>
      </x:c>
      <x:c r="H96" s="8"/>
      <x:c r="I96" s="8"/>
      <x:c r="J96" s="5"/>
      <x:c r="K96" s="7">
        <x:v>4.0000000000000003E-5</x:v>
      </x:c>
      <x:c r="L96" s="9">
        <x:f t="shared" si="2"/>
        <x:v>4.0000000000000003E-5</x:v>
      </x:c>
      <x:c r="M96" s="8"/>
      <x:c r="N96" s="8"/>
      <x:c r="O96" s="7">
        <x:v>2.97E-3</x:v>
      </x:c>
      <x:c r="P96" s="9">
        <x:f t="shared" si="3"/>
        <x:v>2.97E-3</x:v>
      </x:c>
      <x:c r="Q96" s="10" t="s">
        <x:v>427</x:v>
      </x:c>
      <x:c r="R96" s="5" t="s">
        <x:v>356</x:v>
      </x:c>
      <x:c r="S96" s="5" t="s">
        <x:v>357</x:v>
      </x:c>
      <x:c r="T96" s="5" t="s">
        <x:v>358</x:v>
      </x:c>
      <x:c r="U96" s="151"/>
      <x:c r="V96" s="151"/>
      <x:c r="W96" s="151"/>
      <x:c r="X96" s="151"/>
      <x:c r="Y96" s="151"/>
      <x:c r="Z96" s="151"/>
    </x:row>
    <x:row r="97" ht="22" customHeight="1">
      <x:c r="A97" s="5" t="s">
        <x:v>217</x:v>
      </x:c>
      <x:c r="B97" s="5" t="s">
        <x:v>218</x:v>
      </x:c>
      <x:c r="C97" s="6">
        <x:v>44561</x:v>
      </x:c>
      <x:c r="D97" s="5">
        <x:v>2021</x:v>
      </x:c>
      <x:c r="E97" s="5" t="s">
        <x:v>381</x:v>
      </x:c>
      <x:c r="F97" s="5" t="s">
        <x:v>0</x:v>
      </x:c>
      <x:c r="G97" s="5" t="s">
        <x:v>354</x:v>
      </x:c>
      <x:c r="H97" s="8"/>
      <x:c r="I97" s="8"/>
      <x:c r="J97" s="5"/>
      <x:c r="K97" s="7">
        <x:v>3.0000000000000001E-5</x:v>
      </x:c>
      <x:c r="L97" s="9">
        <x:f t="shared" si="2"/>
        <x:v>3.0000000000000001E-5</x:v>
      </x:c>
      <x:c r="M97" s="8"/>
      <x:c r="N97" s="8"/>
      <x:c r="O97" s="7">
        <x:v>2.96E-3</x:v>
      </x:c>
      <x:c r="P97" s="9">
        <x:f t="shared" si="3"/>
        <x:v>2.96E-3</x:v>
      </x:c>
      <x:c r="Q97" s="10" t="s">
        <x:v>427</x:v>
      </x:c>
      <x:c r="R97" s="5" t="s">
        <x:v>356</x:v>
      </x:c>
      <x:c r="S97" s="5" t="s">
        <x:v>357</x:v>
      </x:c>
      <x:c r="T97" s="5" t="s">
        <x:v>358</x:v>
      </x:c>
      <x:c r="U97" s="151"/>
      <x:c r="V97" s="151"/>
      <x:c r="W97" s="151"/>
      <x:c r="X97" s="151"/>
      <x:c r="Y97" s="151"/>
      <x:c r="Z97" s="151"/>
    </x:row>
    <x:row r="98" ht="22" customHeight="1">
      <x:c r="A98" s="5" t="s">
        <x:v>217</x:v>
      </x:c>
      <x:c r="B98" s="5" t="s">
        <x:v>218</x:v>
      </x:c>
      <x:c r="C98" s="6">
        <x:v>44561</x:v>
      </x:c>
      <x:c r="D98" s="5">
        <x:v>2021</x:v>
      </x:c>
      <x:c r="E98" s="5" t="s">
        <x:v>382</x:v>
      </x:c>
      <x:c r="F98" s="5" t="s">
        <x:v>0</x:v>
      </x:c>
      <x:c r="G98" s="5" t="s">
        <x:v>354</x:v>
      </x:c>
      <x:c r="H98" s="8"/>
      <x:c r="I98" s="8"/>
      <x:c r="J98" s="5"/>
      <x:c r="K98" s="7">
        <x:v>4.0000000000000003E-5</x:v>
      </x:c>
      <x:c r="L98" s="9">
        <x:f t="shared" si="2"/>
        <x:v>4.0000000000000003E-5</x:v>
      </x:c>
      <x:c r="M98" s="8"/>
      <x:c r="N98" s="8"/>
      <x:c r="O98" s="7">
        <x:v>2.97E-3</x:v>
      </x:c>
      <x:c r="P98" s="9">
        <x:f t="shared" si="3"/>
        <x:v>2.97E-3</x:v>
      </x:c>
      <x:c r="Q98" s="10" t="s">
        <x:v>427</x:v>
      </x:c>
      <x:c r="R98" s="5" t="s">
        <x:v>356</x:v>
      </x:c>
      <x:c r="S98" s="5" t="s">
        <x:v>357</x:v>
      </x:c>
      <x:c r="T98" s="5" t="s">
        <x:v>358</x:v>
      </x:c>
      <x:c r="U98" s="151"/>
      <x:c r="V98" s="151"/>
      <x:c r="W98" s="151"/>
      <x:c r="X98" s="151"/>
      <x:c r="Y98" s="151"/>
      <x:c r="Z98" s="151"/>
    </x:row>
    <x:row r="99" ht="22" customHeight="1">
      <x:c r="A99" s="5" t="s">
        <x:v>217</x:v>
      </x:c>
      <x:c r="B99" s="5" t="s">
        <x:v>218</x:v>
      </x:c>
      <x:c r="C99" s="6">
        <x:v>44561</x:v>
      </x:c>
      <x:c r="D99" s="5">
        <x:v>2021</x:v>
      </x:c>
      <x:c r="E99" s="5" t="s">
        <x:v>383</x:v>
      </x:c>
      <x:c r="F99" s="5" t="s">
        <x:v>0</x:v>
      </x:c>
      <x:c r="G99" s="5" t="s">
        <x:v>354</x:v>
      </x:c>
      <x:c r="H99" s="8"/>
      <x:c r="I99" s="8"/>
      <x:c r="J99" s="5"/>
      <x:c r="K99" s="7">
        <x:v>1.4999999999999999E-4</x:v>
      </x:c>
      <x:c r="L99" s="9">
        <x:f t="shared" si="2"/>
        <x:v>1.4999999999999999E-4</x:v>
      </x:c>
      <x:c r="M99" s="8"/>
      <x:c r="N99" s="8"/>
      <x:c r="O99" s="7">
        <x:v>3.0599999999999998E-3</x:v>
      </x:c>
      <x:c r="P99" s="9">
        <x:f t="shared" si="3"/>
        <x:v>3.0599999999999998E-3</x:v>
      </x:c>
      <x:c r="Q99" s="10" t="s">
        <x:v>427</x:v>
      </x:c>
      <x:c r="R99" s="5" t="s">
        <x:v>356</x:v>
      </x:c>
      <x:c r="S99" s="5" t="s">
        <x:v>357</x:v>
      </x:c>
      <x:c r="T99" s="5" t="s">
        <x:v>358</x:v>
      </x:c>
      <x:c r="U99" s="151"/>
      <x:c r="V99" s="151"/>
      <x:c r="W99" s="151"/>
      <x:c r="X99" s="151"/>
      <x:c r="Y99" s="151"/>
      <x:c r="Z99" s="151"/>
    </x:row>
    <x:row r="100" ht="22" customHeight="1">
      <x:c r="A100" s="5" t="s">
        <x:v>217</x:v>
      </x:c>
      <x:c r="B100" s="5" t="s">
        <x:v>218</x:v>
      </x:c>
      <x:c r="C100" s="6">
        <x:v>44561</x:v>
      </x:c>
      <x:c r="D100" s="5">
        <x:v>2021</x:v>
      </x:c>
      <x:c r="E100" s="5" t="s">
        <x:v>384</x:v>
      </x:c>
      <x:c r="F100" s="5" t="s">
        <x:v>0</x:v>
      </x:c>
      <x:c r="G100" s="5" t="s">
        <x:v>354</x:v>
      </x:c>
      <x:c r="H100" s="8"/>
      <x:c r="I100" s="8"/>
      <x:c r="J100" s="5"/>
      <x:c r="K100" s="7">
        <x:v>5.4300000000000008E-3</x:v>
      </x:c>
      <x:c r="L100" s="9">
        <x:f t="shared" si="2"/>
        <x:v>5.4300000000000008E-3</x:v>
      </x:c>
      <x:c r="M100" s="8"/>
      <x:c r="N100" s="8"/>
      <x:c r="O100" s="7">
        <x:v>7.2899999999999996E-3</x:v>
      </x:c>
      <x:c r="P100" s="9">
        <x:f t="shared" si="3"/>
        <x:v>7.2899999999999996E-3</x:v>
      </x:c>
      <x:c r="Q100" s="10" t="s">
        <x:v>427</x:v>
      </x:c>
      <x:c r="R100" s="5" t="s">
        <x:v>356</x:v>
      </x:c>
      <x:c r="S100" s="5" t="s">
        <x:v>357</x:v>
      </x:c>
      <x:c r="T100" s="5" t="s">
        <x:v>358</x:v>
      </x:c>
      <x:c r="U100" s="151"/>
      <x:c r="V100" s="151"/>
      <x:c r="W100" s="151"/>
      <x:c r="X100" s="151"/>
      <x:c r="Y100" s="151"/>
      <x:c r="Z100" s="151"/>
    </x:row>
    <x:row r="101" ht="22" customHeight="1">
      <x:c r="A101" s="5" t="s">
        <x:v>217</x:v>
      </x:c>
      <x:c r="B101" s="5" t="s">
        <x:v>218</x:v>
      </x:c>
      <x:c r="C101" s="6">
        <x:v>44561</x:v>
      </x:c>
      <x:c r="D101" s="5">
        <x:v>2021</x:v>
      </x:c>
      <x:c r="E101" s="5" t="s">
        <x:v>385</x:v>
      </x:c>
      <x:c r="F101" s="5" t="s">
        <x:v>0</x:v>
      </x:c>
      <x:c r="G101" s="5" t="s">
        <x:v>354</x:v>
      </x:c>
      <x:c r="H101" s="8"/>
      <x:c r="I101" s="8"/>
      <x:c r="J101" s="5"/>
      <x:c r="K101" s="7">
        <x:v>4.0000000000000003E-5</x:v>
      </x:c>
      <x:c r="L101" s="9">
        <x:f t="shared" si="2"/>
        <x:v>4.0000000000000003E-5</x:v>
      </x:c>
      <x:c r="M101" s="8"/>
      <x:c r="N101" s="8"/>
      <x:c r="O101" s="7">
        <x:v>2.97E-3</x:v>
      </x:c>
      <x:c r="P101" s="9">
        <x:f t="shared" si="3"/>
        <x:v>2.97E-3</x:v>
      </x:c>
      <x:c r="Q101" s="10" t="s">
        <x:v>427</x:v>
      </x:c>
      <x:c r="R101" s="5" t="s">
        <x:v>356</x:v>
      </x:c>
      <x:c r="S101" s="5" t="s">
        <x:v>357</x:v>
      </x:c>
      <x:c r="T101" s="5" t="s">
        <x:v>358</x:v>
      </x:c>
      <x:c r="U101" s="151"/>
      <x:c r="V101" s="151"/>
      <x:c r="W101" s="151"/>
      <x:c r="X101" s="151"/>
      <x:c r="Y101" s="151"/>
      <x:c r="Z101" s="151"/>
    </x:row>
    <x:row r="102" ht="22" customHeight="1">
      <x:c r="A102" s="5" t="s">
        <x:v>217</x:v>
      </x:c>
      <x:c r="B102" s="5" t="s">
        <x:v>218</x:v>
      </x:c>
      <x:c r="C102" s="6">
        <x:v>44561</x:v>
      </x:c>
      <x:c r="D102" s="5">
        <x:v>2021</x:v>
      </x:c>
      <x:c r="E102" s="5" t="s">
        <x:v>386</x:v>
      </x:c>
      <x:c r="F102" s="5" t="s">
        <x:v>0</x:v>
      </x:c>
      <x:c r="G102" s="5" t="s">
        <x:v>354</x:v>
      </x:c>
      <x:c r="H102" s="8"/>
      <x:c r="I102" s="8"/>
      <x:c r="J102" s="5"/>
      <x:c r="K102" s="7">
        <x:v>1.47E-3</x:v>
      </x:c>
      <x:c r="L102" s="9">
        <x:f t="shared" si="2"/>
        <x:v>1.47E-3</x:v>
      </x:c>
      <x:c r="M102" s="8"/>
      <x:c r="N102" s="8"/>
      <x:c r="O102" s="7">
        <x:v>4.1099999999999999E-3</x:v>
      </x:c>
      <x:c r="P102" s="9">
        <x:f t="shared" si="3"/>
        <x:v>4.1099999999999999E-3</x:v>
      </x:c>
      <x:c r="Q102" s="10" t="s">
        <x:v>427</x:v>
      </x:c>
      <x:c r="R102" s="5" t="s">
        <x:v>356</x:v>
      </x:c>
      <x:c r="S102" s="5" t="s">
        <x:v>357</x:v>
      </x:c>
      <x:c r="T102" s="5" t="s">
        <x:v>358</x:v>
      </x:c>
      <x:c r="U102" s="151"/>
      <x:c r="V102" s="151"/>
      <x:c r="W102" s="151"/>
      <x:c r="X102" s="151"/>
      <x:c r="Y102" s="151"/>
      <x:c r="Z102" s="151"/>
    </x:row>
    <x:row r="103" ht="22" customHeight="1">
      <x:c r="A103" s="5" t="s">
        <x:v>217</x:v>
      </x:c>
      <x:c r="B103" s="5" t="s">
        <x:v>218</x:v>
      </x:c>
      <x:c r="C103" s="6">
        <x:v>44561</x:v>
      </x:c>
      <x:c r="D103" s="5">
        <x:v>2021</x:v>
      </x:c>
      <x:c r="E103" s="5" t="s">
        <x:v>387</x:v>
      </x:c>
      <x:c r="F103" s="5" t="s">
        <x:v>0</x:v>
      </x:c>
      <x:c r="G103" s="5" t="s">
        <x:v>354</x:v>
      </x:c>
      <x:c r="H103" s="8"/>
      <x:c r="I103" s="8"/>
      <x:c r="J103" s="5"/>
      <x:c r="K103" s="7">
        <x:v>1.532E-2</x:v>
      </x:c>
      <x:c r="L103" s="9">
        <x:f t="shared" si="2"/>
        <x:v>1.532E-2</x:v>
      </x:c>
      <x:c r="M103" s="8"/>
      <x:c r="N103" s="8"/>
      <x:c r="O103" s="7">
        <x:v>1.52E-2</x:v>
      </x:c>
      <x:c r="P103" s="9">
        <x:f t="shared" si="3"/>
        <x:v>1.52E-2</x:v>
      </x:c>
      <x:c r="Q103" s="10" t="s">
        <x:v>427</x:v>
      </x:c>
      <x:c r="R103" s="5" t="s">
        <x:v>356</x:v>
      </x:c>
      <x:c r="S103" s="5" t="s">
        <x:v>357</x:v>
      </x:c>
      <x:c r="T103" s="5" t="s">
        <x:v>358</x:v>
      </x:c>
      <x:c r="U103" s="151"/>
      <x:c r="V103" s="151"/>
      <x:c r="W103" s="151"/>
      <x:c r="X103" s="151"/>
      <x:c r="Y103" s="151"/>
      <x:c r="Z103" s="151"/>
    </x:row>
    <x:row r="104" ht="22" customHeight="1">
      <x:c r="A104" s="5" t="s">
        <x:v>217</x:v>
      </x:c>
      <x:c r="B104" s="5" t="s">
        <x:v>218</x:v>
      </x:c>
      <x:c r="C104" s="6">
        <x:v>44561</x:v>
      </x:c>
      <x:c r="D104" s="5">
        <x:v>2021</x:v>
      </x:c>
      <x:c r="E104" s="5" t="s">
        <x:v>388</x:v>
      </x:c>
      <x:c r="F104" s="5" t="s">
        <x:v>0</x:v>
      </x:c>
      <x:c r="G104" s="5" t="s">
        <x:v>354</x:v>
      </x:c>
      <x:c r="H104" s="8"/>
      <x:c r="I104" s="8"/>
      <x:c r="J104" s="5"/>
      <x:c r="K104" s="7">
        <x:v>1.0000000000000001E-5</x:v>
      </x:c>
      <x:c r="L104" s="9">
        <x:f t="shared" si="2"/>
        <x:v>1.0000000000000001E-5</x:v>
      </x:c>
      <x:c r="M104" s="8"/>
      <x:c r="N104" s="8"/>
      <x:c r="O104" s="7">
        <x:v>2.9499999999999999E-3</x:v>
      </x:c>
      <x:c r="P104" s="9">
        <x:f t="shared" si="3"/>
        <x:v>2.9499999999999999E-3</x:v>
      </x:c>
      <x:c r="Q104" s="10" t="s">
        <x:v>427</x:v>
      </x:c>
      <x:c r="R104" s="5" t="s">
        <x:v>356</x:v>
      </x:c>
      <x:c r="S104" s="5" t="s">
        <x:v>357</x:v>
      </x:c>
      <x:c r="T104" s="5" t="s">
        <x:v>358</x:v>
      </x:c>
      <x:c r="U104" s="151"/>
      <x:c r="V104" s="151"/>
      <x:c r="W104" s="151"/>
      <x:c r="X104" s="151"/>
      <x:c r="Y104" s="151"/>
      <x:c r="Z104" s="151"/>
    </x:row>
    <x:row r="105" ht="22" customHeight="1">
      <x:c r="A105" s="5" t="s">
        <x:v>217</x:v>
      </x:c>
      <x:c r="B105" s="5" t="s">
        <x:v>218</x:v>
      </x:c>
      <x:c r="C105" s="6">
        <x:v>44561</x:v>
      </x:c>
      <x:c r="D105" s="5">
        <x:v>2021</x:v>
      </x:c>
      <x:c r="E105" s="5" t="s">
        <x:v>389</x:v>
      </x:c>
      <x:c r="F105" s="5" t="s">
        <x:v>0</x:v>
      </x:c>
      <x:c r="G105" s="5" t="s">
        <x:v>354</x:v>
      </x:c>
      <x:c r="H105" s="8"/>
      <x:c r="I105" s="8"/>
      <x:c r="J105" s="5"/>
      <x:c r="K105" s="7">
        <x:v>2.1739999999999999E-2</x:v>
      </x:c>
      <x:c r="L105" s="9">
        <x:f t="shared" si="2"/>
        <x:v>2.1739999999999999E-2</x:v>
      </x:c>
      <x:c r="M105" s="8"/>
      <x:c r="N105" s="8"/>
      <x:c r="O105" s="7">
        <x:v>2.0330000000000001E-2</x:v>
      </x:c>
      <x:c r="P105" s="9">
        <x:f t="shared" si="3"/>
        <x:v>2.0330000000000001E-2</x:v>
      </x:c>
      <x:c r="Q105" s="10" t="s">
        <x:v>427</x:v>
      </x:c>
      <x:c r="R105" s="5" t="s">
        <x:v>356</x:v>
      </x:c>
      <x:c r="S105" s="5" t="s">
        <x:v>357</x:v>
      </x:c>
      <x:c r="T105" s="5" t="s">
        <x:v>358</x:v>
      </x:c>
      <x:c r="U105" s="151"/>
      <x:c r="V105" s="151"/>
      <x:c r="W105" s="151"/>
      <x:c r="X105" s="151"/>
      <x:c r="Y105" s="151"/>
      <x:c r="Z105" s="151"/>
    </x:row>
    <x:row r="106" ht="22" customHeight="1">
      <x:c r="A106" s="5" t="s">
        <x:v>217</x:v>
      </x:c>
      <x:c r="B106" s="5" t="s">
        <x:v>218</x:v>
      </x:c>
      <x:c r="C106" s="6">
        <x:v>44561</x:v>
      </x:c>
      <x:c r="D106" s="5">
        <x:v>2021</x:v>
      </x:c>
      <x:c r="E106" s="5" t="s">
        <x:v>390</x:v>
      </x:c>
      <x:c r="F106" s="5" t="s">
        <x:v>0</x:v>
      </x:c>
      <x:c r="G106" s="5" t="s">
        <x:v>354</x:v>
      </x:c>
      <x:c r="H106" s="8"/>
      <x:c r="I106" s="8"/>
      <x:c r="J106" s="5"/>
      <x:c r="K106" s="7">
        <x:v>3.0000000000000001E-5</x:v>
      </x:c>
      <x:c r="L106" s="9">
        <x:f t="shared" si="2"/>
        <x:v>3.0000000000000001E-5</x:v>
      </x:c>
      <x:c r="M106" s="8"/>
      <x:c r="N106" s="8"/>
      <x:c r="O106" s="7">
        <x:v>2.97E-3</x:v>
      </x:c>
      <x:c r="P106" s="9">
        <x:f t="shared" si="3"/>
        <x:v>2.97E-3</x:v>
      </x:c>
      <x:c r="Q106" s="10" t="s">
        <x:v>427</x:v>
      </x:c>
      <x:c r="R106" s="5" t="s">
        <x:v>356</x:v>
      </x:c>
      <x:c r="S106" s="5" t="s">
        <x:v>357</x:v>
      </x:c>
      <x:c r="T106" s="5" t="s">
        <x:v>358</x:v>
      </x:c>
      <x:c r="U106" s="151"/>
      <x:c r="V106" s="151"/>
      <x:c r="W106" s="151"/>
      <x:c r="X106" s="151"/>
      <x:c r="Y106" s="151"/>
      <x:c r="Z106" s="151"/>
    </x:row>
    <x:row r="107" ht="22" customHeight="1">
      <x:c r="A107" s="5" t="s">
        <x:v>217</x:v>
      </x:c>
      <x:c r="B107" s="5" t="s">
        <x:v>218</x:v>
      </x:c>
      <x:c r="C107" s="6">
        <x:v>44561</x:v>
      </x:c>
      <x:c r="D107" s="5">
        <x:v>2021</x:v>
      </x:c>
      <x:c r="E107" s="5" t="s">
        <x:v>391</x:v>
      </x:c>
      <x:c r="F107" s="5" t="s">
        <x:v>0</x:v>
      </x:c>
      <x:c r="G107" s="5" t="s">
        <x:v>354</x:v>
      </x:c>
      <x:c r="H107" s="8"/>
      <x:c r="I107" s="8"/>
      <x:c r="J107" s="5"/>
      <x:c r="K107" s="7">
        <x:v>9.3999999999999997E-4</x:v>
      </x:c>
      <x:c r="L107" s="9">
        <x:f t="shared" si="2"/>
        <x:v>9.3999999999999997E-4</x:v>
      </x:c>
      <x:c r="M107" s="8"/>
      <x:c r="N107" s="8"/>
      <x:c r="O107" s="7">
        <x:v>3.6900000000000001E-3</x:v>
      </x:c>
      <x:c r="P107" s="9">
        <x:f t="shared" si="3"/>
        <x:v>3.6900000000000001E-3</x:v>
      </x:c>
      <x:c r="Q107" s="10" t="s">
        <x:v>427</x:v>
      </x:c>
      <x:c r="R107" s="5" t="s">
        <x:v>356</x:v>
      </x:c>
      <x:c r="S107" s="5" t="s">
        <x:v>357</x:v>
      </x:c>
      <x:c r="T107" s="5" t="s">
        <x:v>358</x:v>
      </x:c>
      <x:c r="U107" s="151"/>
      <x:c r="V107" s="151"/>
      <x:c r="W107" s="151"/>
      <x:c r="X107" s="151"/>
      <x:c r="Y107" s="151"/>
      <x:c r="Z107" s="151"/>
    </x:row>
    <x:row r="108" ht="22" customHeight="1">
      <x:c r="A108" s="5" t="s">
        <x:v>217</x:v>
      </x:c>
      <x:c r="B108" s="5" t="s">
        <x:v>218</x:v>
      </x:c>
      <x:c r="C108" s="6">
        <x:v>44561</x:v>
      </x:c>
      <x:c r="D108" s="5">
        <x:v>2021</x:v>
      </x:c>
      <x:c r="E108" s="5" t="s">
        <x:v>392</x:v>
      </x:c>
      <x:c r="F108" s="5" t="s">
        <x:v>0</x:v>
      </x:c>
      <x:c r="G108" s="5" t="s">
        <x:v>354</x:v>
      </x:c>
      <x:c r="H108" s="8"/>
      <x:c r="I108" s="8"/>
      <x:c r="J108" s="5"/>
      <x:c r="K108" s="7">
        <x:v>2.3769999999999999E-2</x:v>
      </x:c>
      <x:c r="L108" s="9">
        <x:f t="shared" si="2"/>
        <x:v>2.3769999999999999E-2</x:v>
      </x:c>
      <x:c r="M108" s="8"/>
      <x:c r="N108" s="8"/>
      <x:c r="O108" s="7">
        <x:v>2.196E-2</x:v>
      </x:c>
      <x:c r="P108" s="9">
        <x:f t="shared" si="3"/>
        <x:v>2.196E-2</x:v>
      </x:c>
      <x:c r="Q108" s="10" t="s">
        <x:v>427</x:v>
      </x:c>
      <x:c r="R108" s="5" t="s">
        <x:v>356</x:v>
      </x:c>
      <x:c r="S108" s="5" t="s">
        <x:v>357</x:v>
      </x:c>
      <x:c r="T108" s="5" t="s">
        <x:v>358</x:v>
      </x:c>
      <x:c r="U108" s="151"/>
      <x:c r="V108" s="151"/>
      <x:c r="W108" s="151"/>
      <x:c r="X108" s="151"/>
      <x:c r="Y108" s="151"/>
      <x:c r="Z108" s="151"/>
    </x:row>
    <x:row r="109" ht="22" customHeight="1">
      <x:c r="A109" s="5" t="s">
        <x:v>217</x:v>
      </x:c>
      <x:c r="B109" s="5" t="s">
        <x:v>218</x:v>
      </x:c>
      <x:c r="C109" s="6">
        <x:v>44561</x:v>
      </x:c>
      <x:c r="D109" s="5">
        <x:v>2021</x:v>
      </x:c>
      <x:c r="E109" s="5" t="s">
        <x:v>393</x:v>
      </x:c>
      <x:c r="F109" s="5" t="s">
        <x:v>0</x:v>
      </x:c>
      <x:c r="G109" s="5" t="s">
        <x:v>354</x:v>
      </x:c>
      <x:c r="H109" s="8"/>
      <x:c r="I109" s="8"/>
      <x:c r="J109" s="5"/>
      <x:c r="K109" s="7">
        <x:v>3.0000000000000001E-5</x:v>
      </x:c>
      <x:c r="L109" s="9">
        <x:f t="shared" si="2"/>
        <x:v>3.0000000000000001E-5</x:v>
      </x:c>
      <x:c r="M109" s="8"/>
      <x:c r="N109" s="8"/>
      <x:c r="O109" s="7">
        <x:v>2.97E-3</x:v>
      </x:c>
      <x:c r="P109" s="9">
        <x:f t="shared" si="3"/>
        <x:v>2.97E-3</x:v>
      </x:c>
      <x:c r="Q109" s="10" t="s">
        <x:v>427</x:v>
      </x:c>
      <x:c r="R109" s="5" t="s">
        <x:v>356</x:v>
      </x:c>
      <x:c r="S109" s="5" t="s">
        <x:v>357</x:v>
      </x:c>
      <x:c r="T109" s="5" t="s">
        <x:v>358</x:v>
      </x:c>
      <x:c r="U109" s="151"/>
      <x:c r="V109" s="151"/>
      <x:c r="W109" s="151"/>
      <x:c r="X109" s="151"/>
      <x:c r="Y109" s="151"/>
      <x:c r="Z109" s="151"/>
    </x:row>
    <x:row r="110" ht="22" customHeight="1">
      <x:c r="A110" s="5" t="s">
        <x:v>217</x:v>
      </x:c>
      <x:c r="B110" s="5" t="s">
        <x:v>218</x:v>
      </x:c>
      <x:c r="C110" s="6">
        <x:v>44561</x:v>
      </x:c>
      <x:c r="D110" s="5">
        <x:v>2021</x:v>
      </x:c>
      <x:c r="E110" s="5" t="s">
        <x:v>394</x:v>
      </x:c>
      <x:c r="F110" s="5" t="s">
        <x:v>0</x:v>
      </x:c>
      <x:c r="G110" s="5" t="s">
        <x:v>354</x:v>
      </x:c>
      <x:c r="H110" s="8"/>
      <x:c r="I110" s="8"/>
      <x:c r="J110" s="5"/>
      <x:c r="K110" s="7">
        <x:v>3.4000000000000002E-3</x:v>
      </x:c>
      <x:c r="L110" s="9">
        <x:f t="shared" si="2"/>
        <x:v>3.4000000000000002E-3</x:v>
      </x:c>
      <x:c r="M110" s="8"/>
      <x:c r="N110" s="8"/>
      <x:c r="O110" s="7">
        <x:v>5.6599999999999992E-3</x:v>
      </x:c>
      <x:c r="P110" s="9">
        <x:f t="shared" si="3"/>
        <x:v>5.6599999999999992E-3</x:v>
      </x:c>
      <x:c r="Q110" s="10" t="s">
        <x:v>427</x:v>
      </x:c>
      <x:c r="R110" s="5" t="s">
        <x:v>356</x:v>
      </x:c>
      <x:c r="S110" s="5" t="s">
        <x:v>357</x:v>
      </x:c>
      <x:c r="T110" s="5" t="s">
        <x:v>358</x:v>
      </x:c>
      <x:c r="U110" s="151"/>
      <x:c r="V110" s="151"/>
      <x:c r="W110" s="151"/>
      <x:c r="X110" s="151"/>
      <x:c r="Y110" s="151"/>
      <x:c r="Z110" s="151"/>
    </x:row>
    <x:row r="111" ht="22" customHeight="1">
      <x:c r="A111" s="5" t="s">
        <x:v>217</x:v>
      </x:c>
      <x:c r="B111" s="5" t="s">
        <x:v>218</x:v>
      </x:c>
      <x:c r="C111" s="6">
        <x:v>44561</x:v>
      </x:c>
      <x:c r="D111" s="5">
        <x:v>2021</x:v>
      </x:c>
      <x:c r="E111" s="5" t="s">
        <x:v>395</x:v>
      </x:c>
      <x:c r="F111" s="5" t="s">
        <x:v>0</x:v>
      </x:c>
      <x:c r="G111" s="5" t="s">
        <x:v>354</x:v>
      </x:c>
      <x:c r="H111" s="8"/>
      <x:c r="I111" s="8"/>
      <x:c r="J111" s="5"/>
      <x:c r="K111" s="7">
        <x:v>7.0000000000000007E-5</x:v>
      </x:c>
      <x:c r="L111" s="9">
        <x:f t="shared" si="2"/>
        <x:v>7.0000000000000007E-5</x:v>
      </x:c>
      <x:c r="M111" s="8"/>
      <x:c r="N111" s="8"/>
      <x:c r="O111" s="7">
        <x:v>2.99E-3</x:v>
      </x:c>
      <x:c r="P111" s="9">
        <x:f t="shared" si="3"/>
        <x:v>2.99E-3</x:v>
      </x:c>
      <x:c r="Q111" s="10" t="s">
        <x:v>427</x:v>
      </x:c>
      <x:c r="R111" s="5" t="s">
        <x:v>356</x:v>
      </x:c>
      <x:c r="S111" s="5" t="s">
        <x:v>357</x:v>
      </x:c>
      <x:c r="T111" s="5" t="s">
        <x:v>358</x:v>
      </x:c>
      <x:c r="U111" s="151"/>
      <x:c r="V111" s="151"/>
      <x:c r="W111" s="151"/>
      <x:c r="X111" s="151"/>
      <x:c r="Y111" s="151"/>
      <x:c r="Z111" s="151"/>
    </x:row>
    <x:row r="112" ht="22" customHeight="1">
      <x:c r="A112" s="5" t="s">
        <x:v>217</x:v>
      </x:c>
      <x:c r="B112" s="5" t="s">
        <x:v>218</x:v>
      </x:c>
      <x:c r="C112" s="6">
        <x:v>44561</x:v>
      </x:c>
      <x:c r="D112" s="5">
        <x:v>2021</x:v>
      </x:c>
      <x:c r="E112" s="5" t="s">
        <x:v>396</x:v>
      </x:c>
      <x:c r="F112" s="5" t="s">
        <x:v>0</x:v>
      </x:c>
      <x:c r="G112" s="5" t="s">
        <x:v>354</x:v>
      </x:c>
      <x:c r="H112" s="8"/>
      <x:c r="I112" s="8"/>
      <x:c r="J112" s="5"/>
      <x:c r="K112" s="7">
        <x:v>5.79E-3</x:v>
      </x:c>
      <x:c r="L112" s="9">
        <x:f t="shared" si="2"/>
        <x:v>5.79E-3</x:v>
      </x:c>
      <x:c r="M112" s="8"/>
      <x:c r="N112" s="8"/>
      <x:c r="O112" s="7">
        <x:v>7.5700000000000003E-3</x:v>
      </x:c>
      <x:c r="P112" s="9">
        <x:f t="shared" si="3"/>
        <x:v>7.5700000000000003E-3</x:v>
      </x:c>
      <x:c r="Q112" s="10" t="s">
        <x:v>427</x:v>
      </x:c>
      <x:c r="R112" s="5" t="s">
        <x:v>356</x:v>
      </x:c>
      <x:c r="S112" s="5" t="s">
        <x:v>357</x:v>
      </x:c>
      <x:c r="T112" s="5" t="s">
        <x:v>358</x:v>
      </x:c>
      <x:c r="U112" s="151"/>
      <x:c r="V112" s="151"/>
      <x:c r="W112" s="151"/>
      <x:c r="X112" s="151"/>
      <x:c r="Y112" s="151"/>
      <x:c r="Z112" s="151"/>
    </x:row>
    <x:row r="113" ht="22" customHeight="1">
      <x:c r="A113" s="5" t="s">
        <x:v>217</x:v>
      </x:c>
      <x:c r="B113" s="5" t="s">
        <x:v>218</x:v>
      </x:c>
      <x:c r="C113" s="6">
        <x:v>44561</x:v>
      </x:c>
      <x:c r="D113" s="5">
        <x:v>2021</x:v>
      </x:c>
      <x:c r="E113" s="5" t="s">
        <x:v>397</x:v>
      </x:c>
      <x:c r="F113" s="5" t="s">
        <x:v>0</x:v>
      </x:c>
      <x:c r="G113" s="5" t="s">
        <x:v>354</x:v>
      </x:c>
      <x:c r="H113" s="8"/>
      <x:c r="I113" s="8"/>
      <x:c r="J113" s="5"/>
      <x:c r="K113" s="7">
        <x:v>1.0869999999999999E-2</x:v>
      </x:c>
      <x:c r="L113" s="9">
        <x:f t="shared" si="2"/>
        <x:v>1.0869999999999999E-2</x:v>
      </x:c>
      <x:c r="M113" s="8"/>
      <x:c r="N113" s="8"/>
      <x:c r="O113" s="7">
        <x:v>1.1639999999999999E-2</x:v>
      </x:c>
      <x:c r="P113" s="9">
        <x:f t="shared" si="3"/>
        <x:v>1.1639999999999999E-2</x:v>
      </x:c>
      <x:c r="Q113" s="10" t="s">
        <x:v>427</x:v>
      </x:c>
      <x:c r="R113" s="5" t="s">
        <x:v>356</x:v>
      </x:c>
      <x:c r="S113" s="5" t="s">
        <x:v>357</x:v>
      </x:c>
      <x:c r="T113" s="5" t="s">
        <x:v>358</x:v>
      </x:c>
      <x:c r="U113" s="151"/>
      <x:c r="V113" s="151"/>
      <x:c r="W113" s="151"/>
      <x:c r="X113" s="151"/>
      <x:c r="Y113" s="151"/>
      <x:c r="Z113" s="151"/>
    </x:row>
    <x:row r="114" ht="22" customHeight="1">
      <x:c r="A114" s="5" t="s">
        <x:v>217</x:v>
      </x:c>
      <x:c r="B114" s="5" t="s">
        <x:v>218</x:v>
      </x:c>
      <x:c r="C114" s="6">
        <x:v>44561</x:v>
      </x:c>
      <x:c r="D114" s="5">
        <x:v>2021</x:v>
      </x:c>
      <x:c r="E114" s="5" t="s">
        <x:v>398</x:v>
      </x:c>
      <x:c r="F114" s="5" t="s">
        <x:v>0</x:v>
      </x:c>
      <x:c r="G114" s="5" t="s">
        <x:v>354</x:v>
      </x:c>
      <x:c r="H114" s="8"/>
      <x:c r="I114" s="8"/>
      <x:c r="J114" s="5"/>
      <x:c r="K114" s="7">
        <x:v>2.8599999999999997E-3</x:v>
      </x:c>
      <x:c r="L114" s="9">
        <x:f t="shared" si="2"/>
        <x:v>2.8599999999999997E-3</x:v>
      </x:c>
      <x:c r="M114" s="8"/>
      <x:c r="N114" s="8"/>
      <x:c r="O114" s="7">
        <x:v>5.2300000000000003E-3</x:v>
      </x:c>
      <x:c r="P114" s="9">
        <x:f t="shared" si="3"/>
        <x:v>5.2300000000000003E-3</x:v>
      </x:c>
      <x:c r="Q114" s="10" t="s">
        <x:v>427</x:v>
      </x:c>
      <x:c r="R114" s="5" t="s">
        <x:v>356</x:v>
      </x:c>
      <x:c r="S114" s="5" t="s">
        <x:v>357</x:v>
      </x:c>
      <x:c r="T114" s="5" t="s">
        <x:v>358</x:v>
      </x:c>
      <x:c r="U114" s="151"/>
      <x:c r="V114" s="151"/>
      <x:c r="W114" s="151"/>
      <x:c r="X114" s="151"/>
      <x:c r="Y114" s="151"/>
      <x:c r="Z114" s="151"/>
    </x:row>
    <x:row r="115" ht="22" customHeight="1">
      <x:c r="A115" s="5" t="s">
        <x:v>217</x:v>
      </x:c>
      <x:c r="B115" s="5" t="s">
        <x:v>218</x:v>
      </x:c>
      <x:c r="C115" s="6">
        <x:v>44561</x:v>
      </x:c>
      <x:c r="D115" s="5">
        <x:v>2021</x:v>
      </x:c>
      <x:c r="E115" s="5" t="s">
        <x:v>399</x:v>
      </x:c>
      <x:c r="F115" s="5" t="s">
        <x:v>0</x:v>
      </x:c>
      <x:c r="G115" s="5" t="s">
        <x:v>354</x:v>
      </x:c>
      <x:c r="H115" s="8"/>
      <x:c r="I115" s="8"/>
      <x:c r="J115" s="5"/>
      <x:c r="K115" s="7">
        <x:v>1.3580000000000002E-2</x:v>
      </x:c>
      <x:c r="L115" s="9">
        <x:f t="shared" si="2"/>
        <x:v>1.3580000000000002E-2</x:v>
      </x:c>
      <x:c r="M115" s="8"/>
      <x:c r="N115" s="8"/>
      <x:c r="O115" s="7">
        <x:v>1.3809999999999999E-2</x:v>
      </x:c>
      <x:c r="P115" s="9">
        <x:f t="shared" si="3"/>
        <x:v>1.3809999999999999E-2</x:v>
      </x:c>
      <x:c r="Q115" s="10" t="s">
        <x:v>427</x:v>
      </x:c>
      <x:c r="R115" s="5" t="s">
        <x:v>356</x:v>
      </x:c>
      <x:c r="S115" s="5" t="s">
        <x:v>357</x:v>
      </x:c>
      <x:c r="T115" s="5" t="s">
        <x:v>358</x:v>
      </x:c>
      <x:c r="U115" s="151"/>
      <x:c r="V115" s="151"/>
      <x:c r="W115" s="151"/>
      <x:c r="X115" s="151"/>
      <x:c r="Y115" s="151"/>
      <x:c r="Z115" s="151"/>
    </x:row>
    <x:row r="116" ht="22" customHeight="1">
      <x:c r="A116" s="5" t="s">
        <x:v>217</x:v>
      </x:c>
      <x:c r="B116" s="5" t="s">
        <x:v>218</x:v>
      </x:c>
      <x:c r="C116" s="6">
        <x:v>44561</x:v>
      </x:c>
      <x:c r="D116" s="5">
        <x:v>2021</x:v>
      </x:c>
      <x:c r="E116" s="5" t="s">
        <x:v>400</x:v>
      </x:c>
      <x:c r="F116" s="5" t="s">
        <x:v>0</x:v>
      </x:c>
      <x:c r="G116" s="5" t="s">
        <x:v>354</x:v>
      </x:c>
      <x:c r="H116" s="8"/>
      <x:c r="I116" s="8"/>
      <x:c r="J116" s="5"/>
      <x:c r="K116" s="7">
        <x:v>1E-4</x:v>
      </x:c>
      <x:c r="L116" s="9">
        <x:f t="shared" si="2"/>
        <x:v>1E-4</x:v>
      </x:c>
      <x:c r="M116" s="8"/>
      <x:c r="N116" s="8"/>
      <x:c r="O116" s="7">
        <x:v>3.0200000000000001E-3</x:v>
      </x:c>
      <x:c r="P116" s="9">
        <x:f t="shared" si="3"/>
        <x:v>3.0200000000000001E-3</x:v>
      </x:c>
      <x:c r="Q116" s="10" t="s">
        <x:v>427</x:v>
      </x:c>
      <x:c r="R116" s="5" t="s">
        <x:v>356</x:v>
      </x:c>
      <x:c r="S116" s="5" t="s">
        <x:v>357</x:v>
      </x:c>
      <x:c r="T116" s="5" t="s">
        <x:v>358</x:v>
      </x:c>
      <x:c r="U116" s="151"/>
      <x:c r="V116" s="151"/>
      <x:c r="W116" s="151"/>
      <x:c r="X116" s="151"/>
      <x:c r="Y116" s="151"/>
      <x:c r="Z116" s="151"/>
    </x:row>
    <x:row r="117" ht="22" customHeight="1">
      <x:c r="A117" s="5" t="s">
        <x:v>217</x:v>
      </x:c>
      <x:c r="B117" s="5" t="s">
        <x:v>218</x:v>
      </x:c>
      <x:c r="C117" s="6">
        <x:v>44561</x:v>
      </x:c>
      <x:c r="D117" s="5">
        <x:v>2021</x:v>
      </x:c>
      <x:c r="E117" s="5" t="s">
        <x:v>401</x:v>
      </x:c>
      <x:c r="F117" s="5" t="s">
        <x:v>0</x:v>
      </x:c>
      <x:c r="G117" s="5" t="s">
        <x:v>354</x:v>
      </x:c>
      <x:c r="H117" s="8"/>
      <x:c r="I117" s="8"/>
      <x:c r="J117" s="5"/>
      <x:c r="K117" s="7">
        <x:v>4.0000000000000003E-5</x:v>
      </x:c>
      <x:c r="L117" s="9">
        <x:f t="shared" si="2"/>
        <x:v>4.0000000000000003E-5</x:v>
      </x:c>
      <x:c r="M117" s="8"/>
      <x:c r="N117" s="8"/>
      <x:c r="O117" s="7">
        <x:v>2.97E-3</x:v>
      </x:c>
      <x:c r="P117" s="9">
        <x:f t="shared" si="3"/>
        <x:v>2.97E-3</x:v>
      </x:c>
      <x:c r="Q117" s="10" t="s">
        <x:v>427</x:v>
      </x:c>
      <x:c r="R117" s="5" t="s">
        <x:v>356</x:v>
      </x:c>
      <x:c r="S117" s="5" t="s">
        <x:v>357</x:v>
      </x:c>
      <x:c r="T117" s="5" t="s">
        <x:v>358</x:v>
      </x:c>
      <x:c r="U117" s="151"/>
      <x:c r="V117" s="151"/>
      <x:c r="W117" s="151"/>
      <x:c r="X117" s="151"/>
      <x:c r="Y117" s="151"/>
      <x:c r="Z117" s="151"/>
    </x:row>
    <x:row r="118" ht="22" customHeight="1">
      <x:c r="A118" s="5" t="s">
        <x:v>217</x:v>
      </x:c>
      <x:c r="B118" s="5" t="s">
        <x:v>218</x:v>
      </x:c>
      <x:c r="C118" s="6">
        <x:v>44561</x:v>
      </x:c>
      <x:c r="D118" s="5">
        <x:v>2021</x:v>
      </x:c>
      <x:c r="E118" s="5" t="s">
        <x:v>402</x:v>
      </x:c>
      <x:c r="F118" s="5" t="s">
        <x:v>0</x:v>
      </x:c>
      <x:c r="G118" s="5" t="s">
        <x:v>354</x:v>
      </x:c>
      <x:c r="H118" s="8"/>
      <x:c r="I118" s="8"/>
      <x:c r="J118" s="5"/>
      <x:c r="K118" s="7">
        <x:v>2.5300000000000001E-3</x:v>
      </x:c>
      <x:c r="L118" s="9">
        <x:f t="shared" si="2"/>
        <x:v>2.5300000000000001E-3</x:v>
      </x:c>
      <x:c r="M118" s="8"/>
      <x:c r="N118" s="8"/>
      <x:c r="O118" s="7">
        <x:v>4.96E-3</x:v>
      </x:c>
      <x:c r="P118" s="9">
        <x:f t="shared" si="3"/>
        <x:v>4.96E-3</x:v>
      </x:c>
      <x:c r="Q118" s="10" t="s">
        <x:v>427</x:v>
      </x:c>
      <x:c r="R118" s="5" t="s">
        <x:v>356</x:v>
      </x:c>
      <x:c r="S118" s="5" t="s">
        <x:v>357</x:v>
      </x:c>
      <x:c r="T118" s="5" t="s">
        <x:v>358</x:v>
      </x:c>
      <x:c r="U118" s="151"/>
      <x:c r="V118" s="151"/>
      <x:c r="W118" s="151"/>
      <x:c r="X118" s="151"/>
      <x:c r="Y118" s="151"/>
      <x:c r="Z118" s="151"/>
    </x:row>
    <x:row r="119" ht="22" customHeight="1">
      <x:c r="A119" s="5" t="s">
        <x:v>217</x:v>
      </x:c>
      <x:c r="B119" s="5" t="s">
        <x:v>218</x:v>
      </x:c>
      <x:c r="C119" s="6">
        <x:v>44561</x:v>
      </x:c>
      <x:c r="D119" s="5">
        <x:v>2021</x:v>
      </x:c>
      <x:c r="E119" s="5" t="s">
        <x:v>403</x:v>
      </x:c>
      <x:c r="F119" s="5" t="s">
        <x:v>0</x:v>
      </x:c>
      <x:c r="G119" s="5" t="s">
        <x:v>354</x:v>
      </x:c>
      <x:c r="H119" s="8"/>
      <x:c r="I119" s="8"/>
      <x:c r="J119" s="5"/>
      <x:c r="K119" s="7">
        <x:v>1.0000000000000001E-5</x:v>
      </x:c>
      <x:c r="L119" s="9">
        <x:f t="shared" si="2"/>
        <x:v>1.0000000000000001E-5</x:v>
      </x:c>
      <x:c r="M119" s="8"/>
      <x:c r="N119" s="8"/>
      <x:c r="O119" s="7">
        <x:v>2.9499999999999999E-3</x:v>
      </x:c>
      <x:c r="P119" s="9">
        <x:f t="shared" si="3"/>
        <x:v>2.9499999999999999E-3</x:v>
      </x:c>
      <x:c r="Q119" s="10" t="s">
        <x:v>427</x:v>
      </x:c>
      <x:c r="R119" s="5" t="s">
        <x:v>356</x:v>
      </x:c>
      <x:c r="S119" s="5" t="s">
        <x:v>357</x:v>
      </x:c>
      <x:c r="T119" s="5" t="s">
        <x:v>358</x:v>
      </x:c>
      <x:c r="U119" s="151"/>
      <x:c r="V119" s="151"/>
      <x:c r="W119" s="151"/>
      <x:c r="X119" s="151"/>
      <x:c r="Y119" s="151"/>
      <x:c r="Z119" s="151"/>
    </x:row>
    <x:row r="120" ht="22" customHeight="1">
      <x:c r="A120" s="5" t="s">
        <x:v>217</x:v>
      </x:c>
      <x:c r="B120" s="5" t="s">
        <x:v>218</x:v>
      </x:c>
      <x:c r="C120" s="6">
        <x:v>44561</x:v>
      </x:c>
      <x:c r="D120" s="5">
        <x:v>2021</x:v>
      </x:c>
      <x:c r="E120" s="5" t="s">
        <x:v>404</x:v>
      </x:c>
      <x:c r="F120" s="5" t="s">
        <x:v>0</x:v>
      </x:c>
      <x:c r="G120" s="5" t="s">
        <x:v>354</x:v>
      </x:c>
      <x:c r="H120" s="8"/>
      <x:c r="I120" s="8"/>
      <x:c r="J120" s="5"/>
      <x:c r="K120" s="7">
        <x:v>6.7200000000000003E-3</x:v>
      </x:c>
      <x:c r="L120" s="9">
        <x:f t="shared" si="2"/>
        <x:v>6.7200000000000003E-3</x:v>
      </x:c>
      <x:c r="M120" s="8"/>
      <x:c r="N120" s="8"/>
      <x:c r="O120" s="7">
        <x:v>8.3199999999999993E-3</x:v>
      </x:c>
      <x:c r="P120" s="9">
        <x:f t="shared" si="3"/>
        <x:v>8.3199999999999993E-3</x:v>
      </x:c>
      <x:c r="Q120" s="10" t="s">
        <x:v>427</x:v>
      </x:c>
      <x:c r="R120" s="5" t="s">
        <x:v>356</x:v>
      </x:c>
      <x:c r="S120" s="5" t="s">
        <x:v>357</x:v>
      </x:c>
      <x:c r="T120" s="5" t="s">
        <x:v>358</x:v>
      </x:c>
      <x:c r="U120" s="151"/>
      <x:c r="V120" s="151"/>
      <x:c r="W120" s="151"/>
      <x:c r="X120" s="151"/>
      <x:c r="Y120" s="151"/>
      <x:c r="Z120" s="151"/>
    </x:row>
    <x:row r="121" ht="22" customHeight="1">
      <x:c r="A121" s="5" t="s">
        <x:v>217</x:v>
      </x:c>
      <x:c r="B121" s="5" t="s">
        <x:v>218</x:v>
      </x:c>
      <x:c r="C121" s="6">
        <x:v>44561</x:v>
      </x:c>
      <x:c r="D121" s="5">
        <x:v>2021</x:v>
      </x:c>
      <x:c r="E121" s="5" t="s">
        <x:v>405</x:v>
      </x:c>
      <x:c r="F121" s="5" t="s">
        <x:v>0</x:v>
      </x:c>
      <x:c r="G121" s="5" t="s">
        <x:v>354</x:v>
      </x:c>
      <x:c r="H121" s="8"/>
      <x:c r="I121" s="8"/>
      <x:c r="J121" s="5"/>
      <x:c r="K121" s="7">
        <x:v>7.0000000000000007E-5</x:v>
      </x:c>
      <x:c r="L121" s="9">
        <x:f t="shared" si="2"/>
        <x:v>7.0000000000000007E-5</x:v>
      </x:c>
      <x:c r="M121" s="8"/>
      <x:c r="N121" s="8"/>
      <x:c r="O121" s="7">
        <x:v>2.99E-3</x:v>
      </x:c>
      <x:c r="P121" s="9">
        <x:f t="shared" si="3"/>
        <x:v>2.99E-3</x:v>
      </x:c>
      <x:c r="Q121" s="10" t="s">
        <x:v>427</x:v>
      </x:c>
      <x:c r="R121" s="5" t="s">
        <x:v>356</x:v>
      </x:c>
      <x:c r="S121" s="5" t="s">
        <x:v>357</x:v>
      </x:c>
      <x:c r="T121" s="5" t="s">
        <x:v>358</x:v>
      </x:c>
      <x:c r="U121" s="151"/>
      <x:c r="V121" s="151"/>
      <x:c r="W121" s="151"/>
      <x:c r="X121" s="151"/>
      <x:c r="Y121" s="151"/>
      <x:c r="Z121" s="151"/>
    </x:row>
    <x:row r="122" ht="22" customHeight="1">
      <x:c r="A122" s="5" t="s">
        <x:v>217</x:v>
      </x:c>
      <x:c r="B122" s="5" t="s">
        <x:v>218</x:v>
      </x:c>
      <x:c r="C122" s="6">
        <x:v>44561</x:v>
      </x:c>
      <x:c r="D122" s="5">
        <x:v>2021</x:v>
      </x:c>
      <x:c r="E122" s="5" t="s">
        <x:v>406</x:v>
      </x:c>
      <x:c r="F122" s="5" t="s">
        <x:v>0</x:v>
      </x:c>
      <x:c r="G122" s="5" t="s">
        <x:v>354</x:v>
      </x:c>
      <x:c r="H122" s="8"/>
      <x:c r="I122" s="8"/>
      <x:c r="J122" s="5"/>
      <x:c r="K122" s="7">
        <x:v>3.4100000000000003E-3</x:v>
      </x:c>
      <x:c r="L122" s="9">
        <x:f t="shared" si="2"/>
        <x:v>3.4100000000000003E-3</x:v>
      </x:c>
      <x:c r="M122" s="8"/>
      <x:c r="N122" s="8"/>
      <x:c r="O122" s="7">
        <x:v>5.6699999999999997E-3</x:v>
      </x:c>
      <x:c r="P122" s="9">
        <x:f t="shared" si="3"/>
        <x:v>5.6699999999999997E-3</x:v>
      </x:c>
      <x:c r="Q122" s="10" t="s">
        <x:v>427</x:v>
      </x:c>
      <x:c r="R122" s="5" t="s">
        <x:v>356</x:v>
      </x:c>
      <x:c r="S122" s="5" t="s">
        <x:v>357</x:v>
      </x:c>
      <x:c r="T122" s="5" t="s">
        <x:v>358</x:v>
      </x:c>
      <x:c r="U122" s="151"/>
      <x:c r="V122" s="151"/>
      <x:c r="W122" s="151"/>
      <x:c r="X122" s="151"/>
      <x:c r="Y122" s="151"/>
      <x:c r="Z122" s="151"/>
    </x:row>
    <x:row r="123" ht="22" customHeight="1">
      <x:c r="A123" s="5" t="s">
        <x:v>217</x:v>
      </x:c>
      <x:c r="B123" s="5" t="s">
        <x:v>218</x:v>
      </x:c>
      <x:c r="C123" s="6">
        <x:v>44561</x:v>
      </x:c>
      <x:c r="D123" s="5">
        <x:v>2021</x:v>
      </x:c>
      <x:c r="E123" s="5" t="s">
        <x:v>407</x:v>
      </x:c>
      <x:c r="F123" s="5" t="s">
        <x:v>0</x:v>
      </x:c>
      <x:c r="G123" s="5" t="s">
        <x:v>408</x:v>
      </x:c>
      <x:c r="H123" s="8"/>
      <x:c r="I123" s="8"/>
      <x:c r="J123" s="5"/>
      <x:c r="K123" s="7">
        <x:v>3.4000000000000002E-3</x:v>
      </x:c>
      <x:c r="L123" s="9">
        <x:f t="shared" si="2"/>
        <x:v>3.4000000000000002E-3</x:v>
      </x:c>
      <x:c r="M123" s="8"/>
      <x:c r="N123" s="8"/>
      <x:c r="O123" s="7">
        <x:v>5.6599999999999992E-3</x:v>
      </x:c>
      <x:c r="P123" s="9">
        <x:f t="shared" si="3"/>
        <x:v>5.6599999999999992E-3</x:v>
      </x:c>
      <x:c r="Q123" s="10" t="s">
        <x:v>427</x:v>
      </x:c>
      <x:c r="R123" s="5" t="s">
        <x:v>356</x:v>
      </x:c>
      <x:c r="S123" s="5" t="s">
        <x:v>357</x:v>
      </x:c>
      <x:c r="T123" s="5" t="s">
        <x:v>358</x:v>
      </x:c>
      <x:c r="U123" s="151"/>
      <x:c r="V123" s="151"/>
      <x:c r="W123" s="151"/>
      <x:c r="X123" s="151"/>
      <x:c r="Y123" s="151"/>
      <x:c r="Z123" s="151"/>
    </x:row>
    <x:row r="124" ht="22" customHeight="1">
      <x:c r="A124" s="5" t="s">
        <x:v>217</x:v>
      </x:c>
      <x:c r="B124" s="5" t="s">
        <x:v>218</x:v>
      </x:c>
      <x:c r="C124" s="6">
        <x:v>44561</x:v>
      </x:c>
      <x:c r="D124" s="5">
        <x:v>2021</x:v>
      </x:c>
      <x:c r="E124" s="5" t="s">
        <x:v>409</x:v>
      </x:c>
      <x:c r="F124" s="5" t="s">
        <x:v>0</x:v>
      </x:c>
      <x:c r="G124" s="5" t="s">
        <x:v>408</x:v>
      </x:c>
      <x:c r="H124" s="8"/>
      <x:c r="I124" s="8"/>
      <x:c r="J124" s="5"/>
      <x:c r="K124" s="7">
        <x:v>3.4000000000000002E-3</x:v>
      </x:c>
      <x:c r="L124" s="9">
        <x:f t="shared" si="2"/>
        <x:v>3.4000000000000002E-3</x:v>
      </x:c>
      <x:c r="M124" s="8"/>
      <x:c r="N124" s="8"/>
      <x:c r="O124" s="7">
        <x:v>5.6599999999999992E-3</x:v>
      </x:c>
      <x:c r="P124" s="9">
        <x:f t="shared" si="3"/>
        <x:v>5.6599999999999992E-3</x:v>
      </x:c>
      <x:c r="Q124" s="10" t="s">
        <x:v>427</x:v>
      </x:c>
      <x:c r="R124" s="5" t="s">
        <x:v>356</x:v>
      </x:c>
      <x:c r="S124" s="5" t="s">
        <x:v>357</x:v>
      </x:c>
      <x:c r="T124" s="5" t="s">
        <x:v>358</x:v>
      </x:c>
      <x:c r="U124" s="151"/>
      <x:c r="V124" s="151"/>
      <x:c r="W124" s="151"/>
      <x:c r="X124" s="151"/>
      <x:c r="Y124" s="151"/>
      <x:c r="Z124" s="151"/>
    </x:row>
    <x:row r="125" ht="22" customHeight="1">
      <x:c r="A125" s="5" t="s">
        <x:v>217</x:v>
      </x:c>
      <x:c r="B125" s="5" t="s">
        <x:v>218</x:v>
      </x:c>
      <x:c r="C125" s="6">
        <x:v>44561</x:v>
      </x:c>
      <x:c r="D125" s="5">
        <x:v>2021</x:v>
      </x:c>
      <x:c r="E125" s="5" t="s">
        <x:v>410</x:v>
      </x:c>
      <x:c r="F125" s="5" t="s">
        <x:v>0</x:v>
      </x:c>
      <x:c r="G125" s="5" t="s">
        <x:v>408</x:v>
      </x:c>
      <x:c r="H125" s="8"/>
      <x:c r="I125" s="8"/>
      <x:c r="J125" s="5"/>
      <x:c r="K125" s="7">
        <x:v>5.219E-2</x:v>
      </x:c>
      <x:c r="L125" s="9">
        <x:f t="shared" si="2"/>
        <x:v>5.219E-2</x:v>
      </x:c>
      <x:c r="M125" s="8"/>
      <x:c r="N125" s="8"/>
      <x:c r="O125" s="7">
        <x:v>4.4690000000000001E-2</x:v>
      </x:c>
      <x:c r="P125" s="9">
        <x:f t="shared" si="3"/>
        <x:v>4.4690000000000001E-2</x:v>
      </x:c>
      <x:c r="Q125" s="10" t="s">
        <x:v>427</x:v>
      </x:c>
      <x:c r="R125" s="5" t="s">
        <x:v>356</x:v>
      </x:c>
      <x:c r="S125" s="5" t="s">
        <x:v>357</x:v>
      </x:c>
      <x:c r="T125" s="5" t="s">
        <x:v>358</x:v>
      </x:c>
      <x:c r="U125" s="151"/>
      <x:c r="V125" s="151"/>
      <x:c r="W125" s="151"/>
      <x:c r="X125" s="151"/>
      <x:c r="Y125" s="151"/>
      <x:c r="Z125" s="151"/>
    </x:row>
    <x:row r="126" ht="22" customHeight="1">
      <x:c r="A126" s="5" t="s">
        <x:v>217</x:v>
      </x:c>
      <x:c r="B126" s="5" t="s">
        <x:v>218</x:v>
      </x:c>
      <x:c r="C126" s="6">
        <x:v>44561</x:v>
      </x:c>
      <x:c r="D126" s="5">
        <x:v>2021</x:v>
      </x:c>
      <x:c r="E126" s="5" t="s">
        <x:v>411</x:v>
      </x:c>
      <x:c r="F126" s="5" t="s">
        <x:v>0</x:v>
      </x:c>
      <x:c r="G126" s="5" t="s">
        <x:v>408</x:v>
      </x:c>
      <x:c r="H126" s="8"/>
      <x:c r="I126" s="8"/>
      <x:c r="J126" s="5"/>
      <x:c r="K126" s="7">
        <x:v>3.4000000000000002E-3</x:v>
      </x:c>
      <x:c r="L126" s="9">
        <x:f t="shared" si="2"/>
        <x:v>3.4000000000000002E-3</x:v>
      </x:c>
      <x:c r="M126" s="8"/>
      <x:c r="N126" s="8"/>
      <x:c r="O126" s="7">
        <x:v>5.6599999999999992E-3</x:v>
      </x:c>
      <x:c r="P126" s="9">
        <x:f t="shared" si="3"/>
        <x:v>5.6599999999999992E-3</x:v>
      </x:c>
      <x:c r="Q126" s="10" t="s">
        <x:v>427</x:v>
      </x:c>
      <x:c r="R126" s="5" t="s">
        <x:v>356</x:v>
      </x:c>
      <x:c r="S126" s="5" t="s">
        <x:v>357</x:v>
      </x:c>
      <x:c r="T126" s="5" t="s">
        <x:v>358</x:v>
      </x:c>
      <x:c r="U126" s="151"/>
      <x:c r="V126" s="151"/>
      <x:c r="W126" s="151"/>
      <x:c r="X126" s="151"/>
      <x:c r="Y126" s="151"/>
      <x:c r="Z126" s="151"/>
    </x:row>
    <x:row r="127" ht="22" customHeight="1">
      <x:c r="A127" s="5" t="s">
        <x:v>217</x:v>
      </x:c>
      <x:c r="B127" s="5" t="s">
        <x:v>218</x:v>
      </x:c>
      <x:c r="C127" s="6">
        <x:v>44561</x:v>
      </x:c>
      <x:c r="D127" s="5">
        <x:v>2021</x:v>
      </x:c>
      <x:c r="E127" s="5" t="s">
        <x:v>412</x:v>
      </x:c>
      <x:c r="F127" s="5" t="s">
        <x:v>0</x:v>
      </x:c>
      <x:c r="G127" s="5" t="s">
        <x:v>408</x:v>
      </x:c>
      <x:c r="H127" s="8"/>
      <x:c r="I127" s="8"/>
      <x:c r="J127" s="5"/>
      <x:c r="K127" s="7">
        <x:v>3.4000000000000002E-3</x:v>
      </x:c>
      <x:c r="L127" s="9">
        <x:f t="shared" si="2"/>
        <x:v>3.4000000000000002E-3</x:v>
      </x:c>
      <x:c r="M127" s="8"/>
      <x:c r="N127" s="8"/>
      <x:c r="O127" s="7">
        <x:v>5.6599999999999992E-3</x:v>
      </x:c>
      <x:c r="P127" s="9">
        <x:f t="shared" si="3"/>
        <x:v>5.6599999999999992E-3</x:v>
      </x:c>
      <x:c r="Q127" s="10" t="s">
        <x:v>427</x:v>
      </x:c>
      <x:c r="R127" s="5" t="s">
        <x:v>356</x:v>
      </x:c>
      <x:c r="S127" s="5" t="s">
        <x:v>357</x:v>
      </x:c>
      <x:c r="T127" s="5" t="s">
        <x:v>358</x:v>
      </x:c>
      <x:c r="U127" s="151"/>
      <x:c r="V127" s="151"/>
      <x:c r="W127" s="151"/>
      <x:c r="X127" s="151"/>
      <x:c r="Y127" s="151"/>
      <x:c r="Z127" s="151"/>
    </x:row>
    <x:row r="128" ht="22" customHeight="1">
      <x:c r="A128" s="5" t="s">
        <x:v>217</x:v>
      </x:c>
      <x:c r="B128" s="5" t="s">
        <x:v>218</x:v>
      </x:c>
      <x:c r="C128" s="6">
        <x:v>44561</x:v>
      </x:c>
      <x:c r="D128" s="5">
        <x:v>2021</x:v>
      </x:c>
      <x:c r="E128" s="5" t="s">
        <x:v>413</x:v>
      </x:c>
      <x:c r="F128" s="5" t="s">
        <x:v>0</x:v>
      </x:c>
      <x:c r="G128" s="5" t="s">
        <x:v>408</x:v>
      </x:c>
      <x:c r="H128" s="8"/>
      <x:c r="I128" s="8"/>
      <x:c r="J128" s="5"/>
      <x:c r="K128" s="7">
        <x:v>2.3220000000000001E-2</x:v>
      </x:c>
      <x:c r="L128" s="9">
        <x:f t="shared" si="2"/>
        <x:v>2.3220000000000001E-2</x:v>
      </x:c>
      <x:c r="M128" s="8"/>
      <x:c r="N128" s="8"/>
      <x:c r="O128" s="7">
        <x:v>2.1520000000000001E-2</x:v>
      </x:c>
      <x:c r="P128" s="9">
        <x:f t="shared" si="3"/>
        <x:v>2.1520000000000001E-2</x:v>
      </x:c>
      <x:c r="Q128" s="10" t="s">
        <x:v>427</x:v>
      </x:c>
      <x:c r="R128" s="5" t="s">
        <x:v>356</x:v>
      </x:c>
      <x:c r="S128" s="5" t="s">
        <x:v>357</x:v>
      </x:c>
      <x:c r="T128" s="5" t="s">
        <x:v>358</x:v>
      </x:c>
      <x:c r="U128" s="151"/>
      <x:c r="V128" s="151"/>
      <x:c r="W128" s="151"/>
      <x:c r="X128" s="151"/>
      <x:c r="Y128" s="151"/>
      <x:c r="Z128" s="151"/>
    </x:row>
    <x:row r="129" ht="22" customHeight="1">
      <x:c r="A129" s="5" t="s">
        <x:v>217</x:v>
      </x:c>
      <x:c r="B129" s="5" t="s">
        <x:v>218</x:v>
      </x:c>
      <x:c r="C129" s="6">
        <x:v>44561</x:v>
      </x:c>
      <x:c r="D129" s="5">
        <x:v>2021</x:v>
      </x:c>
      <x:c r="E129" s="5" t="s">
        <x:v>414</x:v>
      </x:c>
      <x:c r="F129" s="5" t="s">
        <x:v>0</x:v>
      </x:c>
      <x:c r="G129" s="5" t="s">
        <x:v>408</x:v>
      </x:c>
      <x:c r="H129" s="8"/>
      <x:c r="I129" s="8"/>
      <x:c r="J129" s="5"/>
      <x:c r="K129" s="7">
        <x:v>4.3159999999999997E-2</x:v>
      </x:c>
      <x:c r="L129" s="9">
        <x:f t="shared" si="2"/>
        <x:v>4.3159999999999997E-2</x:v>
      </x:c>
      <x:c r="M129" s="8"/>
      <x:c r="N129" s="8"/>
      <x:c r="O129" s="7">
        <x:v>3.7469999999999996E-2</x:v>
      </x:c>
      <x:c r="P129" s="9">
        <x:f t="shared" si="3"/>
        <x:v>3.7469999999999996E-2</x:v>
      </x:c>
      <x:c r="Q129" s="10" t="s">
        <x:v>427</x:v>
      </x:c>
      <x:c r="R129" s="5" t="s">
        <x:v>356</x:v>
      </x:c>
      <x:c r="S129" s="5" t="s">
        <x:v>357</x:v>
      </x:c>
      <x:c r="T129" s="5" t="s">
        <x:v>358</x:v>
      </x:c>
      <x:c r="U129" s="151"/>
      <x:c r="V129" s="151"/>
      <x:c r="W129" s="151"/>
      <x:c r="X129" s="151"/>
      <x:c r="Y129" s="151"/>
      <x:c r="Z129" s="151"/>
    </x:row>
    <x:row r="130" ht="22" customHeight="1">
      <x:c r="A130" s="5" t="s">
        <x:v>217</x:v>
      </x:c>
      <x:c r="B130" s="5" t="s">
        <x:v>218</x:v>
      </x:c>
      <x:c r="C130" s="6">
        <x:v>44561</x:v>
      </x:c>
      <x:c r="D130" s="5">
        <x:v>2021</x:v>
      </x:c>
      <x:c r="E130" s="5" t="s">
        <x:v>415</x:v>
      </x:c>
      <x:c r="F130" s="5" t="s">
        <x:v>0</x:v>
      </x:c>
      <x:c r="G130" s="5" t="s">
        <x:v>408</x:v>
      </x:c>
      <x:c r="H130" s="8"/>
      <x:c r="I130" s="8"/>
      <x:c r="J130" s="5"/>
      <x:c r="K130" s="7">
        <x:v>3.4000000000000002E-3</x:v>
      </x:c>
      <x:c r="L130" s="9">
        <x:f t="shared" si="2"/>
        <x:v>3.4000000000000002E-3</x:v>
      </x:c>
      <x:c r="M130" s="8"/>
      <x:c r="N130" s="8"/>
      <x:c r="O130" s="7">
        <x:v>5.6599999999999992E-3</x:v>
      </x:c>
      <x:c r="P130" s="9">
        <x:f t="shared" si="3"/>
        <x:v>5.6599999999999992E-3</x:v>
      </x:c>
      <x:c r="Q130" s="10" t="s">
        <x:v>427</x:v>
      </x:c>
      <x:c r="R130" s="5" t="s">
        <x:v>356</x:v>
      </x:c>
      <x:c r="S130" s="5" t="s">
        <x:v>357</x:v>
      </x:c>
      <x:c r="T130" s="5" t="s">
        <x:v>358</x:v>
      </x:c>
      <x:c r="U130" s="151"/>
      <x:c r="V130" s="151"/>
      <x:c r="W130" s="151"/>
      <x:c r="X130" s="151"/>
      <x:c r="Y130" s="151"/>
      <x:c r="Z130" s="151"/>
    </x:row>
    <x:row r="131" ht="22" customHeight="1">
      <x:c r="A131" s="5" t="s">
        <x:v>217</x:v>
      </x:c>
      <x:c r="B131" s="5" t="s">
        <x:v>218</x:v>
      </x:c>
      <x:c r="C131" s="6">
        <x:v>44561</x:v>
      </x:c>
      <x:c r="D131" s="5">
        <x:v>2021</x:v>
      </x:c>
      <x:c r="E131" s="5" t="s">
        <x:v>416</x:v>
      </x:c>
      <x:c r="F131" s="5" t="s">
        <x:v>0</x:v>
      </x:c>
      <x:c r="G131" s="5" t="s">
        <x:v>408</x:v>
      </x:c>
      <x:c r="H131" s="8"/>
      <x:c r="I131" s="8"/>
      <x:c r="J131" s="5"/>
      <x:c r="K131" s="7">
        <x:v>1.8030000000000001E-2</x:v>
      </x:c>
      <x:c r="L131" s="9">
        <x:f t="shared" si="2"/>
        <x:v>1.8030000000000001E-2</x:v>
      </x:c>
      <x:c r="M131" s="8"/>
      <x:c r="N131" s="8"/>
      <x:c r="O131" s="7">
        <x:v>1.737E-2</x:v>
      </x:c>
      <x:c r="P131" s="9">
        <x:f t="shared" si="3"/>
        <x:v>1.737E-2</x:v>
      </x:c>
      <x:c r="Q131" s="10" t="s">
        <x:v>427</x:v>
      </x:c>
      <x:c r="R131" s="5" t="s">
        <x:v>356</x:v>
      </x:c>
      <x:c r="S131" s="5" t="s">
        <x:v>357</x:v>
      </x:c>
      <x:c r="T131" s="5" t="s">
        <x:v>358</x:v>
      </x:c>
      <x:c r="U131" s="151"/>
      <x:c r="V131" s="151"/>
      <x:c r="W131" s="151"/>
      <x:c r="X131" s="151"/>
      <x:c r="Y131" s="151"/>
      <x:c r="Z131" s="151"/>
    </x:row>
    <x:row r="132" ht="22" customHeight="1">
      <x:c r="A132" s="5" t="s">
        <x:v>217</x:v>
      </x:c>
      <x:c r="B132" s="5" t="s">
        <x:v>218</x:v>
      </x:c>
      <x:c r="C132" s="6">
        <x:v>44561</x:v>
      </x:c>
      <x:c r="D132" s="5">
        <x:v>2021</x:v>
      </x:c>
      <x:c r="E132" s="5" t="s">
        <x:v>417</x:v>
      </x:c>
      <x:c r="F132" s="5" t="s">
        <x:v>0</x:v>
      </x:c>
      <x:c r="G132" s="5" t="s">
        <x:v>408</x:v>
      </x:c>
      <x:c r="H132" s="8"/>
      <x:c r="I132" s="8"/>
      <x:c r="J132" s="5"/>
      <x:c r="K132" s="7">
        <x:v>3.4000000000000002E-3</x:v>
      </x:c>
      <x:c r="L132" s="9">
        <x:f t="shared" si="2"/>
        <x:v>3.4000000000000002E-3</x:v>
      </x:c>
      <x:c r="M132" s="8"/>
      <x:c r="N132" s="8"/>
      <x:c r="O132" s="7">
        <x:v>5.6599999999999992E-3</x:v>
      </x:c>
      <x:c r="P132" s="9">
        <x:f t="shared" si="3"/>
        <x:v>5.6599999999999992E-3</x:v>
      </x:c>
      <x:c r="Q132" s="10" t="s">
        <x:v>427</x:v>
      </x:c>
      <x:c r="R132" s="5" t="s">
        <x:v>356</x:v>
      </x:c>
      <x:c r="S132" s="5" t="s">
        <x:v>357</x:v>
      </x:c>
      <x:c r="T132" s="5" t="s">
        <x:v>358</x:v>
      </x:c>
      <x:c r="U132" s="151"/>
      <x:c r="V132" s="151"/>
      <x:c r="W132" s="151"/>
      <x:c r="X132" s="151"/>
      <x:c r="Y132" s="151"/>
      <x:c r="Z132" s="151"/>
    </x:row>
    <x:row r="133" ht="22" customHeight="1">
      <x:c r="A133" s="5" t="s">
        <x:v>217</x:v>
      </x:c>
      <x:c r="B133" s="5" t="s">
        <x:v>218</x:v>
      </x:c>
      <x:c r="C133" s="6">
        <x:v>44561</x:v>
      </x:c>
      <x:c r="D133" s="5">
        <x:v>2021</x:v>
      </x:c>
      <x:c r="E133" s="5" t="s">
        <x:v>418</x:v>
      </x:c>
      <x:c r="F133" s="5" t="s">
        <x:v>0</x:v>
      </x:c>
      <x:c r="G133" s="5" t="s">
        <x:v>408</x:v>
      </x:c>
      <x:c r="H133" s="8"/>
      <x:c r="I133" s="8"/>
      <x:c r="J133" s="5"/>
      <x:c r="K133" s="7">
        <x:v>1.023E-2</x:v>
      </x:c>
      <x:c r="L133" s="9">
        <x:f t="shared" si="2"/>
        <x:v>1.023E-2</x:v>
      </x:c>
      <x:c r="M133" s="8"/>
      <x:c r="N133" s="8"/>
      <x:c r="O133" s="7">
        <x:v>1.1129999999999999E-2</x:v>
      </x:c>
      <x:c r="P133" s="9">
        <x:f t="shared" si="3"/>
        <x:v>1.1129999999999999E-2</x:v>
      </x:c>
      <x:c r="Q133" s="10" t="s">
        <x:v>427</x:v>
      </x:c>
      <x:c r="R133" s="5" t="s">
        <x:v>356</x:v>
      </x:c>
      <x:c r="S133" s="5" t="s">
        <x:v>357</x:v>
      </x:c>
      <x:c r="T133" s="5" t="s">
        <x:v>358</x:v>
      </x:c>
      <x:c r="U133" s="151"/>
      <x:c r="V133" s="151"/>
      <x:c r="W133" s="151"/>
      <x:c r="X133" s="151"/>
      <x:c r="Y133" s="151"/>
      <x:c r="Z133" s="151"/>
    </x:row>
    <x:row r="134" ht="22" customHeight="1">
      <x:c r="A134" s="5" t="s">
        <x:v>217</x:v>
      </x:c>
      <x:c r="B134" s="5" t="s">
        <x:v>218</x:v>
      </x:c>
      <x:c r="C134" s="6">
        <x:v>44561</x:v>
      </x:c>
      <x:c r="D134" s="5">
        <x:v>2021</x:v>
      </x:c>
      <x:c r="E134" s="5" t="s">
        <x:v>419</x:v>
      </x:c>
      <x:c r="F134" s="5" t="s">
        <x:v>0</x:v>
      </x:c>
      <x:c r="G134" s="5" t="s">
        <x:v>408</x:v>
      </x:c>
      <x:c r="H134" s="8"/>
      <x:c r="I134" s="8"/>
      <x:c r="J134" s="5"/>
      <x:c r="K134" s="7">
        <x:v>3.4000000000000002E-3</x:v>
      </x:c>
      <x:c r="L134" s="9" t="n">
        <x:f t="shared" ref="L134:L197" si="4">IF(AND(H134&lt;&gt;"",I134&lt;&gt;""),H134/I134,IF(K134&lt;&gt;"",K134,""))</x:f>
        <x:v>0.0034000000000000002</x:v>
      </x:c>
      <x:c r="M134" s="8"/>
      <x:c r="N134" s="8"/>
      <x:c r="O134" s="7">
        <x:v>5.6599999999999992E-3</x:v>
      </x:c>
      <x:c r="P134" s="9" t="n">
        <x:f t="shared" ref="P134:P197" si="5">IF(AND(M134&lt;&gt;"",N134&lt;&gt;""),M134/N134,IF(O134&lt;&gt;"",O134,""))</x:f>
        <x:v>0.005659999999999999</x:v>
      </x:c>
      <x:c r="Q134" s="10" t="s">
        <x:v>427</x:v>
      </x:c>
      <x:c r="R134" s="5" t="s">
        <x:v>356</x:v>
      </x:c>
      <x:c r="S134" s="5" t="s">
        <x:v>357</x:v>
      </x:c>
      <x:c r="T134" s="5" t="s">
        <x:v>358</x:v>
      </x:c>
      <x:c r="U134" s="151"/>
      <x:c r="V134" s="151"/>
      <x:c r="W134" s="151"/>
      <x:c r="X134" s="151"/>
      <x:c r="Y134" s="151"/>
      <x:c r="Z134" s="151"/>
    </x:row>
    <x:row r="135" ht="22" customHeight="1">
      <x:c r="A135" s="5" t="s">
        <x:v>217</x:v>
      </x:c>
      <x:c r="B135" s="5" t="s">
        <x:v>218</x:v>
      </x:c>
      <x:c r="C135" s="6">
        <x:v>44561</x:v>
      </x:c>
      <x:c r="D135" s="5">
        <x:v>2021</x:v>
      </x:c>
      <x:c r="E135" s="5" t="s">
        <x:v>420</x:v>
      </x:c>
      <x:c r="F135" s="5" t="s">
        <x:v>0</x:v>
      </x:c>
      <x:c r="G135" s="5" t="s">
        <x:v>408</x:v>
      </x:c>
      <x:c r="H135" s="8"/>
      <x:c r="I135" s="8"/>
      <x:c r="J135" s="5"/>
      <x:c r="K135" s="7">
        <x:v>3.4000000000000002E-3</x:v>
      </x:c>
      <x:c r="L135" s="9">
        <x:f t="shared" si="4"/>
        <x:v>3.4000000000000002E-3</x:v>
      </x:c>
      <x:c r="M135" s="8"/>
      <x:c r="N135" s="8"/>
      <x:c r="O135" s="7">
        <x:v>5.6599999999999992E-3</x:v>
      </x:c>
      <x:c r="P135" s="9">
        <x:f t="shared" si="5"/>
        <x:v>5.6599999999999992E-3</x:v>
      </x:c>
      <x:c r="Q135" s="10" t="s">
        <x:v>427</x:v>
      </x:c>
      <x:c r="R135" s="5" t="s">
        <x:v>356</x:v>
      </x:c>
      <x:c r="S135" s="5" t="s">
        <x:v>357</x:v>
      </x:c>
      <x:c r="T135" s="5" t="s">
        <x:v>358</x:v>
      </x:c>
      <x:c r="U135" s="151"/>
      <x:c r="V135" s="151"/>
      <x:c r="W135" s="151"/>
      <x:c r="X135" s="151"/>
      <x:c r="Y135" s="151"/>
      <x:c r="Z135" s="151"/>
    </x:row>
    <x:row r="136" ht="22" customHeight="1">
      <x:c r="A136" s="5" t="s">
        <x:v>217</x:v>
      </x:c>
      <x:c r="B136" s="5" t="s">
        <x:v>218</x:v>
      </x:c>
      <x:c r="C136" s="6">
        <x:v>44561</x:v>
      </x:c>
      <x:c r="D136" s="5">
        <x:v>2021</x:v>
      </x:c>
      <x:c r="E136" s="5" t="s">
        <x:v>421</x:v>
      </x:c>
      <x:c r="F136" s="5" t="s">
        <x:v>0</x:v>
      </x:c>
      <x:c r="G136" s="5" t="s">
        <x:v>408</x:v>
      </x:c>
      <x:c r="H136" s="8"/>
      <x:c r="I136" s="8"/>
      <x:c r="J136" s="5"/>
      <x:c r="K136" s="7">
        <x:v>3.4000000000000002E-3</x:v>
      </x:c>
      <x:c r="L136" s="9">
        <x:f t="shared" si="4"/>
        <x:v>3.4000000000000002E-3</x:v>
      </x:c>
      <x:c r="M136" s="8"/>
      <x:c r="N136" s="8"/>
      <x:c r="O136" s="7">
        <x:v>5.6599999999999992E-3</x:v>
      </x:c>
      <x:c r="P136" s="9">
        <x:f t="shared" si="5"/>
        <x:v>5.6599999999999992E-3</x:v>
      </x:c>
      <x:c r="Q136" s="10" t="s">
        <x:v>427</x:v>
      </x:c>
      <x:c r="R136" s="5" t="s">
        <x:v>356</x:v>
      </x:c>
      <x:c r="S136" s="5" t="s">
        <x:v>357</x:v>
      </x:c>
      <x:c r="T136" s="5" t="s">
        <x:v>358</x:v>
      </x:c>
      <x:c r="U136" s="151"/>
      <x:c r="V136" s="151"/>
      <x:c r="W136" s="151"/>
      <x:c r="X136" s="151"/>
      <x:c r="Y136" s="151"/>
      <x:c r="Z136" s="151"/>
    </x:row>
    <x:row r="137" ht="22" customHeight="1">
      <x:c r="A137" s="5" t="s">
        <x:v>217</x:v>
      </x:c>
      <x:c r="B137" s="5" t="s">
        <x:v>218</x:v>
      </x:c>
      <x:c r="C137" s="6">
        <x:v>44561</x:v>
      </x:c>
      <x:c r="D137" s="5">
        <x:v>2021</x:v>
      </x:c>
      <x:c r="E137" s="5" t="s">
        <x:v>422</x:v>
      </x:c>
      <x:c r="F137" s="5" t="s">
        <x:v>0</x:v>
      </x:c>
      <x:c r="G137" s="5" t="s">
        <x:v>408</x:v>
      </x:c>
      <x:c r="H137" s="8"/>
      <x:c r="I137" s="8"/>
      <x:c r="J137" s="5"/>
      <x:c r="K137" s="7">
        <x:v>3.4000000000000002E-3</x:v>
      </x:c>
      <x:c r="L137" s="9">
        <x:f t="shared" si="4"/>
        <x:v>3.4000000000000002E-3</x:v>
      </x:c>
      <x:c r="M137" s="8"/>
      <x:c r="N137" s="8"/>
      <x:c r="O137" s="7">
        <x:v>5.6599999999999992E-3</x:v>
      </x:c>
      <x:c r="P137" s="9">
        <x:f t="shared" si="5"/>
        <x:v>5.6599999999999992E-3</x:v>
      </x:c>
      <x:c r="Q137" s="10" t="s">
        <x:v>427</x:v>
      </x:c>
      <x:c r="R137" s="5" t="s">
        <x:v>356</x:v>
      </x:c>
      <x:c r="S137" s="5" t="s">
        <x:v>357</x:v>
      </x:c>
      <x:c r="T137" s="5" t="s">
        <x:v>358</x:v>
      </x:c>
      <x:c r="U137" s="151"/>
      <x:c r="V137" s="151"/>
      <x:c r="W137" s="151"/>
      <x:c r="X137" s="151"/>
      <x:c r="Y137" s="151"/>
      <x:c r="Z137" s="151"/>
    </x:row>
    <x:row r="138" ht="22" customHeight="1">
      <x:c r="A138" s="5" t="s">
        <x:v>217</x:v>
      </x:c>
      <x:c r="B138" s="5" t="s">
        <x:v>218</x:v>
      </x:c>
      <x:c r="C138" s="6">
        <x:v>44561</x:v>
      </x:c>
      <x:c r="D138" s="5">
        <x:v>2021</x:v>
      </x:c>
      <x:c r="E138" s="5" t="s">
        <x:v>423</x:v>
      </x:c>
      <x:c r="F138" s="5" t="s">
        <x:v>0</x:v>
      </x:c>
      <x:c r="G138" s="5" t="s">
        <x:v>408</x:v>
      </x:c>
      <x:c r="H138" s="8"/>
      <x:c r="I138" s="8"/>
      <x:c r="J138" s="5"/>
      <x:c r="K138" s="7">
        <x:v>5.8199999999999997E-3</x:v>
      </x:c>
      <x:c r="L138" s="9">
        <x:f t="shared" si="4"/>
        <x:v>5.8199999999999997E-3</x:v>
      </x:c>
      <x:c r="M138" s="8"/>
      <x:c r="N138" s="8"/>
      <x:c r="O138" s="7">
        <x:v>7.6E-3</x:v>
      </x:c>
      <x:c r="P138" s="9">
        <x:f t="shared" si="5"/>
        <x:v>7.6E-3</x:v>
      </x:c>
      <x:c r="Q138" s="10" t="s">
        <x:v>427</x:v>
      </x:c>
      <x:c r="R138" s="5" t="s">
        <x:v>356</x:v>
      </x:c>
      <x:c r="S138" s="5" t="s">
        <x:v>357</x:v>
      </x:c>
      <x:c r="T138" s="5" t="s">
        <x:v>358</x:v>
      </x:c>
      <x:c r="U138" s="151"/>
      <x:c r="V138" s="151"/>
      <x:c r="W138" s="151"/>
      <x:c r="X138" s="151"/>
      <x:c r="Y138" s="151"/>
      <x:c r="Z138" s="151"/>
    </x:row>
    <x:row r="139" ht="22" customHeight="1">
      <x:c r="A139" s="5" t="s">
        <x:v>217</x:v>
      </x:c>
      <x:c r="B139" s="5" t="s">
        <x:v>218</x:v>
      </x:c>
      <x:c r="C139" s="6">
        <x:v>44561</x:v>
      </x:c>
      <x:c r="D139" s="5">
        <x:v>2021</x:v>
      </x:c>
      <x:c r="E139" s="5" t="s">
        <x:v>424</x:v>
      </x:c>
      <x:c r="F139" s="5" t="s">
        <x:v>0</x:v>
      </x:c>
      <x:c r="G139" s="5" t="s">
        <x:v>408</x:v>
      </x:c>
      <x:c r="H139" s="8"/>
      <x:c r="I139" s="8"/>
      <x:c r="J139" s="5"/>
      <x:c r="K139" s="7">
        <x:v>3.4000000000000002E-3</x:v>
      </x:c>
      <x:c r="L139" s="9">
        <x:f t="shared" si="4"/>
        <x:v>3.4000000000000002E-3</x:v>
      </x:c>
      <x:c r="M139" s="8"/>
      <x:c r="N139" s="8"/>
      <x:c r="O139" s="7">
        <x:v>5.6599999999999992E-3</x:v>
      </x:c>
      <x:c r="P139" s="9">
        <x:f t="shared" si="5"/>
        <x:v>5.6599999999999992E-3</x:v>
      </x:c>
      <x:c r="Q139" s="10" t="s">
        <x:v>427</x:v>
      </x:c>
      <x:c r="R139" s="5" t="s">
        <x:v>356</x:v>
      </x:c>
      <x:c r="S139" s="5" t="s">
        <x:v>357</x:v>
      </x:c>
      <x:c r="T139" s="5" t="s">
        <x:v>358</x:v>
      </x:c>
      <x:c r="U139" s="151"/>
      <x:c r="V139" s="151"/>
      <x:c r="W139" s="151"/>
      <x:c r="X139" s="151"/>
      <x:c r="Y139" s="151"/>
      <x:c r="Z139" s="151"/>
    </x:row>
    <x:row r="140" ht="22" customHeight="1">
      <x:c r="A140" s="5" t="s">
        <x:v>217</x:v>
      </x:c>
      <x:c r="B140" s="5" t="s">
        <x:v>218</x:v>
      </x:c>
      <x:c r="C140" s="6">
        <x:v>44561</x:v>
      </x:c>
      <x:c r="D140" s="5">
        <x:v>2021</x:v>
      </x:c>
      <x:c r="E140" s="5" t="s">
        <x:v>425</x:v>
      </x:c>
      <x:c r="F140" s="5" t="s">
        <x:v>0</x:v>
      </x:c>
      <x:c r="G140" s="5" t="s">
        <x:v>408</x:v>
      </x:c>
      <x:c r="H140" s="8"/>
      <x:c r="I140" s="8"/>
      <x:c r="J140" s="5"/>
      <x:c r="K140" s="7">
        <x:v>2.0379999999999999E-2</x:v>
      </x:c>
      <x:c r="L140" s="9">
        <x:f t="shared" si="4"/>
        <x:v>2.0379999999999999E-2</x:v>
      </x:c>
      <x:c r="M140" s="8"/>
      <x:c r="N140" s="8"/>
      <x:c r="O140" s="7">
        <x:v>1.924E-2</x:v>
      </x:c>
      <x:c r="P140" s="9">
        <x:f t="shared" si="5"/>
        <x:v>1.924E-2</x:v>
      </x:c>
      <x:c r="Q140" s="10" t="s">
        <x:v>427</x:v>
      </x:c>
      <x:c r="R140" s="5" t="s">
        <x:v>356</x:v>
      </x:c>
      <x:c r="S140" s="5" t="s">
        <x:v>357</x:v>
      </x:c>
      <x:c r="T140" s="5" t="s">
        <x:v>358</x:v>
      </x:c>
      <x:c r="U140" s="151"/>
      <x:c r="V140" s="151"/>
      <x:c r="W140" s="151"/>
      <x:c r="X140" s="151"/>
      <x:c r="Y140" s="151"/>
      <x:c r="Z140" s="151"/>
    </x:row>
    <x:row r="141" ht="22" customHeight="1">
      <x:c r="A141" s="5" t="s">
        <x:v>217</x:v>
      </x:c>
      <x:c r="B141" s="5" t="s">
        <x:v>218</x:v>
      </x:c>
      <x:c r="C141" s="6">
        <x:v>44561</x:v>
      </x:c>
      <x:c r="D141" s="5">
        <x:v>2021</x:v>
      </x:c>
      <x:c r="E141" s="5" t="s">
        <x:v>426</x:v>
      </x:c>
      <x:c r="F141" s="5" t="s">
        <x:v>0</x:v>
      </x:c>
      <x:c r="G141" s="5" t="s">
        <x:v>408</x:v>
      </x:c>
      <x:c r="H141" s="8"/>
      <x:c r="I141" s="8"/>
      <x:c r="J141" s="5"/>
      <x:c r="K141" s="7">
        <x:v>0.15570999999999999</x:v>
      </x:c>
      <x:c r="L141" s="9">
        <x:f t="shared" si="4"/>
        <x:v>0.15570999999999999</x:v>
      </x:c>
      <x:c r="M141" s="8"/>
      <x:c r="N141" s="8"/>
      <x:c r="O141" s="7">
        <x:v>0.12750999999999998</x:v>
      </x:c>
      <x:c r="P141" s="9">
        <x:f t="shared" si="5"/>
        <x:v>0.12750999999999998</x:v>
      </x:c>
      <x:c r="Q141" s="10" t="s">
        <x:v>427</x:v>
      </x:c>
      <x:c r="R141" s="5" t="s">
        <x:v>356</x:v>
      </x:c>
      <x:c r="S141" s="5" t="s">
        <x:v>357</x:v>
      </x:c>
      <x:c r="T141" s="5" t="s">
        <x:v>358</x:v>
      </x:c>
      <x:c r="U141" s="151"/>
      <x:c r="V141" s="151"/>
      <x:c r="W141" s="151"/>
      <x:c r="X141" s="151"/>
      <x:c r="Y141" s="151"/>
      <x:c r="Z141" s="151"/>
    </x:row>
    <x:row r="142" ht="22" customHeight="1">
      <x:c r="A142" s="5" t="s">
        <x:v>227</x:v>
      </x:c>
      <x:c r="B142" s="5" t="s">
        <x:v>228</x:v>
      </x:c>
      <x:c r="C142" s="6">
        <x:v>45473</x:v>
      </x:c>
      <x:c r="D142" s="5">
        <x:v>2024</x:v>
      </x:c>
      <x:c r="E142" s="5" t="s">
        <x:v>353</x:v>
      </x:c>
      <x:c r="F142" s="5" t="s">
        <x:v>0</x:v>
      </x:c>
      <x:c r="G142" s="5" t="s">
        <x:v>337</x:v>
      </x:c>
      <x:c r="H142" s="8">
        <x:v>866</x:v>
      </x:c>
      <x:c r="I142" s="8">
        <x:v>970323</x:v>
      </x:c>
      <x:c r="J142" s="5" t="s">
        <x:v>428</x:v>
      </x:c>
      <x:c r="K142" s="7"/>
      <x:c r="L142" s="9">
        <x:f t="shared" si="4"/>
        <x:v>8.9248631641216378E-4</x:v>
      </x:c>
      <x:c r="M142" s="8"/>
      <x:c r="N142" s="8"/>
      <x:c r="O142" s="7"/>
      <x:c r="P142" s="9" t="str">
        <x:f t="shared" si="5"/>
      </x:c>
      <x:c r="Q142" s="10" t="s">
        <x:v>230</x:v>
      </x:c>
      <x:c r="R142" s="5" t="s">
        <x:v>429</x:v>
      </x:c>
      <x:c r="S142" s="5" t="s">
        <x:v>357</x:v>
      </x:c>
      <x:c r="T142" s="5" t="s">
        <x:v>430</x:v>
      </x:c>
      <x:c r="U142" s="151"/>
      <x:c r="V142" s="151"/>
      <x:c r="W142" s="151"/>
      <x:c r="X142" s="151"/>
      <x:c r="Y142" s="151"/>
      <x:c r="Z142" s="151"/>
    </x:row>
    <x:row r="143" ht="22" customHeight="1">
      <x:c r="A143" s="5" t="s">
        <x:v>227</x:v>
      </x:c>
      <x:c r="B143" s="5" t="s">
        <x:v>228</x:v>
      </x:c>
      <x:c r="C143" s="6">
        <x:v>45473</x:v>
      </x:c>
      <x:c r="D143" s="5">
        <x:v>2024</x:v>
      </x:c>
      <x:c r="E143" s="5" t="s">
        <x:v>431</x:v>
      </x:c>
      <x:c r="F143" s="5" t="s">
        <x:v>0</x:v>
      </x:c>
      <x:c r="G143" s="5" t="s">
        <x:v>337</x:v>
      </x:c>
      <x:c r="H143" s="8">
        <x:v>50</x:v>
      </x:c>
      <x:c r="I143" s="8">
        <x:v>970323</x:v>
      </x:c>
      <x:c r="J143" s="5" t="s">
        <x:v>428</x:v>
      </x:c>
      <x:c r="K143" s="7"/>
      <x:c r="L143" s="9">
        <x:f t="shared" si="4"/>
        <x:v>5.152923304920114E-5</x:v>
      </x:c>
      <x:c r="M143" s="8"/>
      <x:c r="N143" s="8"/>
      <x:c r="O143" s="7"/>
      <x:c r="P143" s="9" t="str">
        <x:f t="shared" si="5"/>
      </x:c>
      <x:c r="Q143" s="10" t="s">
        <x:v>230</x:v>
      </x:c>
      <x:c r="R143" s="5" t="s">
        <x:v>429</x:v>
      </x:c>
      <x:c r="S143" s="5" t="s">
        <x:v>357</x:v>
      </x:c>
      <x:c r="T143" s="5" t="s">
        <x:v>430</x:v>
      </x:c>
      <x:c r="U143" s="151"/>
      <x:c r="V143" s="151"/>
      <x:c r="W143" s="151"/>
      <x:c r="X143" s="151"/>
      <x:c r="Y143" s="151"/>
      <x:c r="Z143" s="151"/>
    </x:row>
    <x:row r="144" ht="22" customHeight="1">
      <x:c r="A144" s="5" t="s">
        <x:v>227</x:v>
      </x:c>
      <x:c r="B144" s="5" t="s">
        <x:v>228</x:v>
      </x:c>
      <x:c r="C144" s="6">
        <x:v>45473</x:v>
      </x:c>
      <x:c r="D144" s="5">
        <x:v>2024</x:v>
      </x:c>
      <x:c r="E144" s="5" t="s">
        <x:v>432</x:v>
      </x:c>
      <x:c r="F144" s="5" t="s">
        <x:v>0</x:v>
      </x:c>
      <x:c r="G144" s="5" t="s">
        <x:v>337</x:v>
      </x:c>
      <x:c r="H144" s="8">
        <x:v>50</x:v>
      </x:c>
      <x:c r="I144" s="8">
        <x:v>970323</x:v>
      </x:c>
      <x:c r="J144" s="5" t="s">
        <x:v>428</x:v>
      </x:c>
      <x:c r="K144" s="7"/>
      <x:c r="L144" s="9">
        <x:f t="shared" si="4"/>
        <x:v>5.152923304920114E-5</x:v>
      </x:c>
      <x:c r="M144" s="8"/>
      <x:c r="N144" s="8"/>
      <x:c r="O144" s="7"/>
      <x:c r="P144" s="9" t="str">
        <x:f t="shared" si="5"/>
      </x:c>
      <x:c r="Q144" s="10" t="s">
        <x:v>230</x:v>
      </x:c>
      <x:c r="R144" s="5" t="s">
        <x:v>429</x:v>
      </x:c>
      <x:c r="S144" s="5" t="s">
        <x:v>357</x:v>
      </x:c>
      <x:c r="T144" s="5" t="s">
        <x:v>430</x:v>
      </x:c>
      <x:c r="U144" s="151"/>
      <x:c r="V144" s="151"/>
      <x:c r="W144" s="151"/>
      <x:c r="X144" s="151"/>
      <x:c r="Y144" s="151"/>
      <x:c r="Z144" s="151"/>
    </x:row>
    <x:row r="145" ht="22" customHeight="1">
      <x:c r="A145" s="5" t="s">
        <x:v>227</x:v>
      </x:c>
      <x:c r="B145" s="5" t="s">
        <x:v>228</x:v>
      </x:c>
      <x:c r="C145" s="6">
        <x:v>45473</x:v>
      </x:c>
      <x:c r="D145" s="5">
        <x:v>2024</x:v>
      </x:c>
      <x:c r="E145" s="5" t="s">
        <x:v>360</x:v>
      </x:c>
      <x:c r="F145" s="5" t="s">
        <x:v>0</x:v>
      </x:c>
      <x:c r="G145" s="5" t="s">
        <x:v>337</x:v>
      </x:c>
      <x:c r="H145" s="8">
        <x:v>36912</x:v>
      </x:c>
      <x:c r="I145" s="8">
        <x:v>970323</x:v>
      </x:c>
      <x:c r="J145" s="5" t="s">
        <x:v>428</x:v>
      </x:c>
      <x:c r="K145" s="7"/>
      <x:c r="L145" s="9">
        <x:f t="shared" si="4"/>
        <x:v>3.8040941006242251E-2</x:v>
      </x:c>
      <x:c r="M145" s="8"/>
      <x:c r="N145" s="8"/>
      <x:c r="O145" s="7"/>
      <x:c r="P145" s="9" t="str">
        <x:f t="shared" si="5"/>
      </x:c>
      <x:c r="Q145" s="10" t="s">
        <x:v>230</x:v>
      </x:c>
      <x:c r="R145" s="5" t="s">
        <x:v>429</x:v>
      </x:c>
      <x:c r="S145" s="5" t="s">
        <x:v>357</x:v>
      </x:c>
      <x:c r="T145" s="5" t="s">
        <x:v>430</x:v>
      </x:c>
      <x:c r="U145" s="151"/>
      <x:c r="V145" s="151"/>
      <x:c r="W145" s="151"/>
      <x:c r="X145" s="151"/>
      <x:c r="Y145" s="151"/>
      <x:c r="Z145" s="151"/>
    </x:row>
    <x:row r="146" ht="22" customHeight="1">
      <x:c r="A146" s="5" t="s">
        <x:v>227</x:v>
      </x:c>
      <x:c r="B146" s="5" t="s">
        <x:v>228</x:v>
      </x:c>
      <x:c r="C146" s="6">
        <x:v>45473</x:v>
      </x:c>
      <x:c r="D146" s="5">
        <x:v>2024</x:v>
      </x:c>
      <x:c r="E146" s="5" t="s">
        <x:v>407</x:v>
      </x:c>
      <x:c r="F146" s="5" t="s">
        <x:v>0</x:v>
      </x:c>
      <x:c r="G146" s="5" t="s">
        <x:v>337</x:v>
      </x:c>
      <x:c r="H146" s="8">
        <x:v>5008</x:v>
      </x:c>
      <x:c r="I146" s="8">
        <x:v>970323</x:v>
      </x:c>
      <x:c r="J146" s="5" t="s">
        <x:v>428</x:v>
      </x:c>
      <x:c r="K146" s="7"/>
      <x:c r="L146" s="9">
        <x:f t="shared" si="4"/>
        <x:v>5.1611679822079863E-3</x:v>
      </x:c>
      <x:c r="M146" s="8"/>
      <x:c r="N146" s="8"/>
      <x:c r="O146" s="7"/>
      <x:c r="P146" s="9" t="str">
        <x:f t="shared" si="5"/>
      </x:c>
      <x:c r="Q146" s="10" t="s">
        <x:v>230</x:v>
      </x:c>
      <x:c r="R146" s="5" t="s">
        <x:v>429</x:v>
      </x:c>
      <x:c r="S146" s="5" t="s">
        <x:v>357</x:v>
      </x:c>
      <x:c r="T146" s="5" t="s">
        <x:v>430</x:v>
      </x:c>
      <x:c r="U146" s="151"/>
      <x:c r="V146" s="151"/>
      <x:c r="W146" s="151"/>
      <x:c r="X146" s="151"/>
      <x:c r="Y146" s="151"/>
      <x:c r="Z146" s="151"/>
    </x:row>
    <x:row r="147" ht="22" customHeight="1">
      <x:c r="A147" s="5" t="s">
        <x:v>227</x:v>
      </x:c>
      <x:c r="B147" s="5" t="s">
        <x:v>228</x:v>
      </x:c>
      <x:c r="C147" s="6">
        <x:v>45473</x:v>
      </x:c>
      <x:c r="D147" s="5">
        <x:v>2024</x:v>
      </x:c>
      <x:c r="E147" s="5" t="s">
        <x:v>361</x:v>
      </x:c>
      <x:c r="F147" s="5" t="s">
        <x:v>0</x:v>
      </x:c>
      <x:c r="G147" s="5" t="s">
        <x:v>337</x:v>
      </x:c>
      <x:c r="H147" s="8">
        <x:v>2541</x:v>
      </x:c>
      <x:c r="I147" s="8">
        <x:v>970323</x:v>
      </x:c>
      <x:c r="J147" s="5" t="s">
        <x:v>428</x:v>
      </x:c>
      <x:c r="K147" s="7"/>
      <x:c r="L147" s="9">
        <x:f t="shared" si="4"/>
        <x:v>2.6187156235604019E-3</x:v>
      </x:c>
      <x:c r="M147" s="8"/>
      <x:c r="N147" s="8"/>
      <x:c r="O147" s="7"/>
      <x:c r="P147" s="9" t="str">
        <x:f t="shared" si="5"/>
      </x:c>
      <x:c r="Q147" s="10" t="s">
        <x:v>230</x:v>
      </x:c>
      <x:c r="R147" s="5" t="s">
        <x:v>429</x:v>
      </x:c>
      <x:c r="S147" s="5" t="s">
        <x:v>357</x:v>
      </x:c>
      <x:c r="T147" s="5" t="s">
        <x:v>430</x:v>
      </x:c>
      <x:c r="U147" s="151"/>
      <x:c r="V147" s="151"/>
      <x:c r="W147" s="151"/>
      <x:c r="X147" s="151"/>
      <x:c r="Y147" s="151"/>
      <x:c r="Z147" s="151"/>
    </x:row>
    <x:row r="148" ht="22" customHeight="1">
      <x:c r="A148" s="5" t="s">
        <x:v>227</x:v>
      </x:c>
      <x:c r="B148" s="5" t="s">
        <x:v>228</x:v>
      </x:c>
      <x:c r="C148" s="6">
        <x:v>45473</x:v>
      </x:c>
      <x:c r="D148" s="5">
        <x:v>2024</x:v>
      </x:c>
      <x:c r="E148" s="5" t="s">
        <x:v>433</x:v>
      </x:c>
      <x:c r="F148" s="5" t="s">
        <x:v>0</x:v>
      </x:c>
      <x:c r="G148" s="5" t="s">
        <x:v>337</x:v>
      </x:c>
      <x:c r="H148" s="8">
        <x:v>1036</x:v>
      </x:c>
      <x:c r="I148" s="8">
        <x:v>970323</x:v>
      </x:c>
      <x:c r="J148" s="5" t="s">
        <x:v>428</x:v>
      </x:c>
      <x:c r="K148" s="7"/>
      <x:c r="L148" s="9">
        <x:f t="shared" si="4"/>
        <x:v>1.0676857087794478E-3</x:v>
      </x:c>
      <x:c r="M148" s="8"/>
      <x:c r="N148" s="8"/>
      <x:c r="O148" s="7"/>
      <x:c r="P148" s="9" t="str">
        <x:f t="shared" si="5"/>
      </x:c>
      <x:c r="Q148" s="10" t="s">
        <x:v>230</x:v>
      </x:c>
      <x:c r="R148" s="5" t="s">
        <x:v>429</x:v>
      </x:c>
      <x:c r="S148" s="5" t="s">
        <x:v>357</x:v>
      </x:c>
      <x:c r="T148" s="5" t="s">
        <x:v>430</x:v>
      </x:c>
      <x:c r="U148" s="151"/>
      <x:c r="V148" s="151"/>
      <x:c r="W148" s="151"/>
      <x:c r="X148" s="151"/>
      <x:c r="Y148" s="151"/>
      <x:c r="Z148" s="151"/>
    </x:row>
    <x:row r="149" ht="22" customHeight="1">
      <x:c r="A149" s="5" t="s">
        <x:v>227</x:v>
      </x:c>
      <x:c r="B149" s="5" t="s">
        <x:v>228</x:v>
      </x:c>
      <x:c r="C149" s="6">
        <x:v>45473</x:v>
      </x:c>
      <x:c r="D149" s="5">
        <x:v>2024</x:v>
      </x:c>
      <x:c r="E149" s="5" t="s">
        <x:v>362</x:v>
      </x:c>
      <x:c r="F149" s="5" t="s">
        <x:v>0</x:v>
      </x:c>
      <x:c r="G149" s="5" t="s">
        <x:v>337</x:v>
      </x:c>
      <x:c r="H149" s="8">
        <x:v>6605</x:v>
      </x:c>
      <x:c r="I149" s="8">
        <x:v>970323</x:v>
      </x:c>
      <x:c r="J149" s="5" t="s">
        <x:v>428</x:v>
      </x:c>
      <x:c r="K149" s="7"/>
      <x:c r="L149" s="9">
        <x:f t="shared" si="4"/>
        <x:v>6.807011685799471E-3</x:v>
      </x:c>
      <x:c r="M149" s="8"/>
      <x:c r="N149" s="8"/>
      <x:c r="O149" s="7"/>
      <x:c r="P149" s="9" t="str">
        <x:f t="shared" si="5"/>
      </x:c>
      <x:c r="Q149" s="10" t="s">
        <x:v>230</x:v>
      </x:c>
      <x:c r="R149" s="5" t="s">
        <x:v>429</x:v>
      </x:c>
      <x:c r="S149" s="5" t="s">
        <x:v>357</x:v>
      </x:c>
      <x:c r="T149" s="5" t="s">
        <x:v>430</x:v>
      </x:c>
      <x:c r="U149" s="151"/>
      <x:c r="V149" s="151"/>
      <x:c r="W149" s="151"/>
      <x:c r="X149" s="151"/>
      <x:c r="Y149" s="151"/>
      <x:c r="Z149" s="151"/>
    </x:row>
    <x:row r="150" ht="22" customHeight="1">
      <x:c r="A150" s="5" t="s">
        <x:v>227</x:v>
      </x:c>
      <x:c r="B150" s="5" t="s">
        <x:v>228</x:v>
      </x:c>
      <x:c r="C150" s="6">
        <x:v>45473</x:v>
      </x:c>
      <x:c r="D150" s="5">
        <x:v>2024</x:v>
      </x:c>
      <x:c r="E150" s="5" t="s">
        <x:v>434</x:v>
      </x:c>
      <x:c r="F150" s="5" t="s">
        <x:v>0</x:v>
      </x:c>
      <x:c r="G150" s="5" t="s">
        <x:v>337</x:v>
      </x:c>
      <x:c r="H150" s="8">
        <x:v>641</x:v>
      </x:c>
      <x:c r="I150" s="8">
        <x:v>970323</x:v>
      </x:c>
      <x:c r="J150" s="5" t="s">
        <x:v>428</x:v>
      </x:c>
      <x:c r="K150" s="7"/>
      <x:c r="L150" s="9">
        <x:f t="shared" si="4"/>
        <x:v>6.6060476769075869E-4</x:v>
      </x:c>
      <x:c r="M150" s="8"/>
      <x:c r="N150" s="8"/>
      <x:c r="O150" s="7"/>
      <x:c r="P150" s="9" t="str">
        <x:f t="shared" si="5"/>
      </x:c>
      <x:c r="Q150" s="10" t="s">
        <x:v>230</x:v>
      </x:c>
      <x:c r="R150" s="5" t="s">
        <x:v>429</x:v>
      </x:c>
      <x:c r="S150" s="5" t="s">
        <x:v>357</x:v>
      </x:c>
      <x:c r="T150" s="5" t="s">
        <x:v>430</x:v>
      </x:c>
      <x:c r="U150" s="151"/>
      <x:c r="V150" s="151"/>
      <x:c r="W150" s="151"/>
      <x:c r="X150" s="151"/>
      <x:c r="Y150" s="151"/>
      <x:c r="Z150" s="151"/>
    </x:row>
    <x:row r="151" ht="22" customHeight="1">
      <x:c r="A151" s="5" t="s">
        <x:v>227</x:v>
      </x:c>
      <x:c r="B151" s="5" t="s">
        <x:v>228</x:v>
      </x:c>
      <x:c r="C151" s="6">
        <x:v>45473</x:v>
      </x:c>
      <x:c r="D151" s="5">
        <x:v>2024</x:v>
      </x:c>
      <x:c r="E151" s="5" t="s">
        <x:v>409</x:v>
      </x:c>
      <x:c r="F151" s="5" t="s">
        <x:v>0</x:v>
      </x:c>
      <x:c r="G151" s="5" t="s">
        <x:v>337</x:v>
      </x:c>
      <x:c r="H151" s="8">
        <x:v>2846</x:v>
      </x:c>
      <x:c r="I151" s="8">
        <x:v>970323</x:v>
      </x:c>
      <x:c r="J151" s="5" t="s">
        <x:v>428</x:v>
      </x:c>
      <x:c r="K151" s="7"/>
      <x:c r="L151" s="9">
        <x:f t="shared" si="4"/>
        <x:v>2.933043945160529E-3</x:v>
      </x:c>
      <x:c r="M151" s="8"/>
      <x:c r="N151" s="8"/>
      <x:c r="O151" s="7"/>
      <x:c r="P151" s="9" t="str">
        <x:f t="shared" si="5"/>
      </x:c>
      <x:c r="Q151" s="10" t="s">
        <x:v>230</x:v>
      </x:c>
      <x:c r="R151" s="5" t="s">
        <x:v>429</x:v>
      </x:c>
      <x:c r="S151" s="5" t="s">
        <x:v>357</x:v>
      </x:c>
      <x:c r="T151" s="5" t="s">
        <x:v>430</x:v>
      </x:c>
      <x:c r="U151" s="151"/>
      <x:c r="V151" s="151"/>
      <x:c r="W151" s="151"/>
      <x:c r="X151" s="151"/>
      <x:c r="Y151" s="151"/>
      <x:c r="Z151" s="151"/>
    </x:row>
    <x:row r="152" ht="22" customHeight="1">
      <x:c r="A152" s="5" t="s">
        <x:v>227</x:v>
      </x:c>
      <x:c r="B152" s="5" t="s">
        <x:v>228</x:v>
      </x:c>
      <x:c r="C152" s="6">
        <x:v>45473</x:v>
      </x:c>
      <x:c r="D152" s="5">
        <x:v>2024</x:v>
      </x:c>
      <x:c r="E152" s="5" t="s">
        <x:v>435</x:v>
      </x:c>
      <x:c r="F152" s="5" t="s">
        <x:v>0</x:v>
      </x:c>
      <x:c r="G152" s="5" t="s">
        <x:v>337</x:v>
      </x:c>
      <x:c r="H152" s="8">
        <x:v>50</x:v>
      </x:c>
      <x:c r="I152" s="8">
        <x:v>970323</x:v>
      </x:c>
      <x:c r="J152" s="5" t="s">
        <x:v>428</x:v>
      </x:c>
      <x:c r="K152" s="7"/>
      <x:c r="L152" s="9">
        <x:f t="shared" si="4"/>
        <x:v>5.152923304920114E-5</x:v>
      </x:c>
      <x:c r="M152" s="8"/>
      <x:c r="N152" s="8"/>
      <x:c r="O152" s="7"/>
      <x:c r="P152" s="9" t="str">
        <x:f t="shared" si="5"/>
      </x:c>
      <x:c r="Q152" s="10" t="s">
        <x:v>230</x:v>
      </x:c>
      <x:c r="R152" s="5" t="s">
        <x:v>429</x:v>
      </x:c>
      <x:c r="S152" s="5" t="s">
        <x:v>357</x:v>
      </x:c>
      <x:c r="T152" s="5" t="s">
        <x:v>430</x:v>
      </x:c>
      <x:c r="U152" s="151"/>
      <x:c r="V152" s="151"/>
      <x:c r="W152" s="151"/>
      <x:c r="X152" s="151"/>
      <x:c r="Y152" s="151"/>
      <x:c r="Z152" s="151"/>
    </x:row>
    <x:row r="153" ht="22" customHeight="1">
      <x:c r="A153" s="5" t="s">
        <x:v>227</x:v>
      </x:c>
      <x:c r="B153" s="5" t="s">
        <x:v>228</x:v>
      </x:c>
      <x:c r="C153" s="6">
        <x:v>45473</x:v>
      </x:c>
      <x:c r="D153" s="5">
        <x:v>2024</x:v>
      </x:c>
      <x:c r="E153" s="5" t="s">
        <x:v>436</x:v>
      </x:c>
      <x:c r="F153" s="5" t="s">
        <x:v>0</x:v>
      </x:c>
      <x:c r="G153" s="5" t="s">
        <x:v>337</x:v>
      </x:c>
      <x:c r="H153" s="8">
        <x:v>50</x:v>
      </x:c>
      <x:c r="I153" s="8">
        <x:v>970323</x:v>
      </x:c>
      <x:c r="J153" s="5" t="s">
        <x:v>428</x:v>
      </x:c>
      <x:c r="K153" s="7"/>
      <x:c r="L153" s="9">
        <x:f t="shared" si="4"/>
        <x:v>5.152923304920114E-5</x:v>
      </x:c>
      <x:c r="M153" s="8"/>
      <x:c r="N153" s="8"/>
      <x:c r="O153" s="7"/>
      <x:c r="P153" s="9" t="str">
        <x:f t="shared" si="5"/>
      </x:c>
      <x:c r="Q153" s="10" t="s">
        <x:v>230</x:v>
      </x:c>
      <x:c r="R153" s="5" t="s">
        <x:v>429</x:v>
      </x:c>
      <x:c r="S153" s="5" t="s">
        <x:v>357</x:v>
      </x:c>
      <x:c r="T153" s="5" t="s">
        <x:v>430</x:v>
      </x:c>
      <x:c r="U153" s="151"/>
      <x:c r="V153" s="151"/>
      <x:c r="W153" s="151"/>
      <x:c r="X153" s="151"/>
      <x:c r="Y153" s="151"/>
      <x:c r="Z153" s="151"/>
    </x:row>
    <x:row r="154" ht="22" customHeight="1">
      <x:c r="A154" s="5" t="s">
        <x:v>227</x:v>
      </x:c>
      <x:c r="B154" s="5" t="s">
        <x:v>228</x:v>
      </x:c>
      <x:c r="C154" s="6">
        <x:v>45473</x:v>
      </x:c>
      <x:c r="D154" s="5">
        <x:v>2024</x:v>
      </x:c>
      <x:c r="E154" s="5" t="s">
        <x:v>364</x:v>
      </x:c>
      <x:c r="F154" s="5" t="s">
        <x:v>0</x:v>
      </x:c>
      <x:c r="G154" s="5" t="s">
        <x:v>337</x:v>
      </x:c>
      <x:c r="H154" s="8">
        <x:v>524</x:v>
      </x:c>
      <x:c r="I154" s="8">
        <x:v>970323</x:v>
      </x:c>
      <x:c r="J154" s="5" t="s">
        <x:v>428</x:v>
      </x:c>
      <x:c r="K154" s="7"/>
      <x:c r="L154" s="9">
        <x:f t="shared" si="4"/>
        <x:v>5.4002636235562802E-4</x:v>
      </x:c>
      <x:c r="M154" s="8"/>
      <x:c r="N154" s="8"/>
      <x:c r="O154" s="7"/>
      <x:c r="P154" s="9" t="str">
        <x:f t="shared" si="5"/>
      </x:c>
      <x:c r="Q154" s="10" t="s">
        <x:v>230</x:v>
      </x:c>
      <x:c r="R154" s="5" t="s">
        <x:v>429</x:v>
      </x:c>
      <x:c r="S154" s="5" t="s">
        <x:v>357</x:v>
      </x:c>
      <x:c r="T154" s="5" t="s">
        <x:v>430</x:v>
      </x:c>
      <x:c r="U154" s="151"/>
      <x:c r="V154" s="151"/>
      <x:c r="W154" s="151"/>
      <x:c r="X154" s="151"/>
      <x:c r="Y154" s="151"/>
      <x:c r="Z154" s="151"/>
    </x:row>
    <x:row r="155" ht="22" customHeight="1">
      <x:c r="A155" s="5" t="s">
        <x:v>227</x:v>
      </x:c>
      <x:c r="B155" s="5" t="s">
        <x:v>228</x:v>
      </x:c>
      <x:c r="C155" s="6">
        <x:v>45473</x:v>
      </x:c>
      <x:c r="D155" s="5">
        <x:v>2024</x:v>
      </x:c>
      <x:c r="E155" s="5" t="s">
        <x:v>365</x:v>
      </x:c>
      <x:c r="F155" s="5" t="s">
        <x:v>0</x:v>
      </x:c>
      <x:c r="G155" s="5" t="s">
        <x:v>337</x:v>
      </x:c>
      <x:c r="H155" s="8">
        <x:v>623</x:v>
      </x:c>
      <x:c r="I155" s="8">
        <x:v>970323</x:v>
      </x:c>
      <x:c r="J155" s="5" t="s">
        <x:v>428</x:v>
      </x:c>
      <x:c r="K155" s="7"/>
      <x:c r="L155" s="9">
        <x:f t="shared" si="4"/>
        <x:v>6.4205424379304627E-4</x:v>
      </x:c>
      <x:c r="M155" s="8"/>
      <x:c r="N155" s="8"/>
      <x:c r="O155" s="7"/>
      <x:c r="P155" s="9" t="str">
        <x:f t="shared" si="5"/>
      </x:c>
      <x:c r="Q155" s="10" t="s">
        <x:v>230</x:v>
      </x:c>
      <x:c r="R155" s="5" t="s">
        <x:v>429</x:v>
      </x:c>
      <x:c r="S155" s="5" t="s">
        <x:v>357</x:v>
      </x:c>
      <x:c r="T155" s="5" t="s">
        <x:v>430</x:v>
      </x:c>
      <x:c r="U155" s="151"/>
      <x:c r="V155" s="151"/>
      <x:c r="W155" s="151"/>
      <x:c r="X155" s="151"/>
      <x:c r="Y155" s="151"/>
      <x:c r="Z155" s="151"/>
    </x:row>
    <x:row r="156" ht="22" customHeight="1">
      <x:c r="A156" s="5" t="s">
        <x:v>227</x:v>
      </x:c>
      <x:c r="B156" s="5" t="s">
        <x:v>228</x:v>
      </x:c>
      <x:c r="C156" s="6">
        <x:v>45473</x:v>
      </x:c>
      <x:c r="D156" s="5">
        <x:v>2024</x:v>
      </x:c>
      <x:c r="E156" s="5" t="s">
        <x:v>410</x:v>
      </x:c>
      <x:c r="F156" s="5" t="s">
        <x:v>0</x:v>
      </x:c>
      <x:c r="G156" s="5" t="s">
        <x:v>337</x:v>
      </x:c>
      <x:c r="H156" s="8">
        <x:v>9954</x:v>
      </x:c>
      <x:c r="I156" s="8">
        <x:v>970323</x:v>
      </x:c>
      <x:c r="J156" s="5" t="s">
        <x:v>428</x:v>
      </x:c>
      <x:c r="K156" s="7"/>
      <x:c r="L156" s="9">
        <x:f t="shared" si="4"/>
        <x:v>1.0258439715434964E-2</x:v>
      </x:c>
      <x:c r="M156" s="8"/>
      <x:c r="N156" s="8"/>
      <x:c r="O156" s="7"/>
      <x:c r="P156" s="9" t="str">
        <x:f t="shared" si="5"/>
      </x:c>
      <x:c r="Q156" s="10" t="s">
        <x:v>230</x:v>
      </x:c>
      <x:c r="R156" s="5" t="s">
        <x:v>429</x:v>
      </x:c>
      <x:c r="S156" s="5" t="s">
        <x:v>357</x:v>
      </x:c>
      <x:c r="T156" s="5" t="s">
        <x:v>430</x:v>
      </x:c>
      <x:c r="U156" s="151"/>
      <x:c r="V156" s="151"/>
      <x:c r="W156" s="151"/>
      <x:c r="X156" s="151"/>
      <x:c r="Y156" s="151"/>
      <x:c r="Z156" s="151"/>
    </x:row>
    <x:row r="157" ht="22" customHeight="1">
      <x:c r="A157" s="5" t="s">
        <x:v>227</x:v>
      </x:c>
      <x:c r="B157" s="5" t="s">
        <x:v>228</x:v>
      </x:c>
      <x:c r="C157" s="6">
        <x:v>45473</x:v>
      </x:c>
      <x:c r="D157" s="5">
        <x:v>2024</x:v>
      </x:c>
      <x:c r="E157" s="5" t="s">
        <x:v>437</x:v>
      </x:c>
      <x:c r="F157" s="5" t="s">
        <x:v>0</x:v>
      </x:c>
      <x:c r="G157" s="5" t="s">
        <x:v>337</x:v>
      </x:c>
      <x:c r="H157" s="8">
        <x:v>100</x:v>
      </x:c>
      <x:c r="I157" s="8">
        <x:v>970323</x:v>
      </x:c>
      <x:c r="J157" s="5" t="s">
        <x:v>428</x:v>
      </x:c>
      <x:c r="K157" s="7"/>
      <x:c r="L157" s="9">
        <x:f t="shared" si="4"/>
        <x:v>1.0305846609840228E-4</x:v>
      </x:c>
      <x:c r="M157" s="8"/>
      <x:c r="N157" s="8"/>
      <x:c r="O157" s="7"/>
      <x:c r="P157" s="9" t="str">
        <x:f t="shared" si="5"/>
      </x:c>
      <x:c r="Q157" s="10" t="s">
        <x:v>230</x:v>
      </x:c>
      <x:c r="R157" s="5" t="s">
        <x:v>429</x:v>
      </x:c>
      <x:c r="S157" s="5" t="s">
        <x:v>357</x:v>
      </x:c>
      <x:c r="T157" s="5" t="s">
        <x:v>430</x:v>
      </x:c>
      <x:c r="U157" s="151"/>
      <x:c r="V157" s="151"/>
      <x:c r="W157" s="151"/>
      <x:c r="X157" s="151"/>
      <x:c r="Y157" s="151"/>
      <x:c r="Z157" s="151"/>
    </x:row>
    <x:row r="158" ht="22" customHeight="1">
      <x:c r="A158" s="5" t="s">
        <x:v>227</x:v>
      </x:c>
      <x:c r="B158" s="5" t="s">
        <x:v>228</x:v>
      </x:c>
      <x:c r="C158" s="6">
        <x:v>45473</x:v>
      </x:c>
      <x:c r="D158" s="5">
        <x:v>2024</x:v>
      </x:c>
      <x:c r="E158" s="5" t="s">
        <x:v>438</x:v>
      </x:c>
      <x:c r="F158" s="5" t="s">
        <x:v>0</x:v>
      </x:c>
      <x:c r="G158" s="5" t="s">
        <x:v>337</x:v>
      </x:c>
      <x:c r="H158" s="8">
        <x:v>297804</x:v>
      </x:c>
      <x:c r="I158" s="8">
        <x:v>970323</x:v>
      </x:c>
      <x:c r="J158" s="5" t="s">
        <x:v>428</x:v>
      </x:c>
      <x:c r="K158" s="7"/>
      <x:c r="L158" s="9">
        <x:f t="shared" si="4"/>
        <x:v>0.30691223437968596</x:v>
      </x:c>
      <x:c r="M158" s="8"/>
      <x:c r="N158" s="8"/>
      <x:c r="O158" s="7"/>
      <x:c r="P158" s="9" t="str">
        <x:f t="shared" si="5"/>
      </x:c>
      <x:c r="Q158" s="10" t="s">
        <x:v>230</x:v>
      </x:c>
      <x:c r="R158" s="5" t="s">
        <x:v>429</x:v>
      </x:c>
      <x:c r="S158" s="5" t="s">
        <x:v>357</x:v>
      </x:c>
      <x:c r="T158" s="5" t="s">
        <x:v>430</x:v>
      </x:c>
      <x:c r="U158" s="151"/>
      <x:c r="V158" s="151"/>
      <x:c r="W158" s="151"/>
      <x:c r="X158" s="151"/>
      <x:c r="Y158" s="151"/>
      <x:c r="Z158" s="151"/>
    </x:row>
    <x:row r="159" ht="22" customHeight="1">
      <x:c r="A159" s="5" t="s">
        <x:v>227</x:v>
      </x:c>
      <x:c r="B159" s="5" t="s">
        <x:v>228</x:v>
      </x:c>
      <x:c r="C159" s="6">
        <x:v>45473</x:v>
      </x:c>
      <x:c r="D159" s="5">
        <x:v>2024</x:v>
      </x:c>
      <x:c r="E159" s="5" t="s">
        <x:v>367</x:v>
      </x:c>
      <x:c r="F159" s="5" t="s">
        <x:v>0</x:v>
      </x:c>
      <x:c r="G159" s="5" t="s">
        <x:v>337</x:v>
      </x:c>
      <x:c r="H159" s="8">
        <x:v>5</x:v>
      </x:c>
      <x:c r="I159" s="8">
        <x:v>970323</x:v>
      </x:c>
      <x:c r="J159" s="5" t="s">
        <x:v>428</x:v>
      </x:c>
      <x:c r="K159" s="7"/>
      <x:c r="L159" s="9">
        <x:f t="shared" si="4"/>
        <x:v>5.1529233049201142E-6</x:v>
      </x:c>
      <x:c r="M159" s="8"/>
      <x:c r="N159" s="8"/>
      <x:c r="O159" s="7"/>
      <x:c r="P159" s="9" t="str">
        <x:f t="shared" si="5"/>
      </x:c>
      <x:c r="Q159" s="10" t="s">
        <x:v>230</x:v>
      </x:c>
      <x:c r="R159" s="5" t="s">
        <x:v>429</x:v>
      </x:c>
      <x:c r="S159" s="5" t="s">
        <x:v>357</x:v>
      </x:c>
      <x:c r="T159" s="5" t="s">
        <x:v>430</x:v>
      </x:c>
      <x:c r="U159" s="151"/>
      <x:c r="V159" s="151"/>
      <x:c r="W159" s="151"/>
      <x:c r="X159" s="151"/>
      <x:c r="Y159" s="151"/>
      <x:c r="Z159" s="151"/>
    </x:row>
    <x:row r="160" ht="22" customHeight="1">
      <x:c r="A160" s="5" t="s">
        <x:v>227</x:v>
      </x:c>
      <x:c r="B160" s="5" t="s">
        <x:v>228</x:v>
      </x:c>
      <x:c r="C160" s="6">
        <x:v>45473</x:v>
      </x:c>
      <x:c r="D160" s="5">
        <x:v>2024</x:v>
      </x:c>
      <x:c r="E160" s="5" t="s">
        <x:v>439</x:v>
      </x:c>
      <x:c r="F160" s="5" t="s">
        <x:v>0</x:v>
      </x:c>
      <x:c r="G160" s="5" t="s">
        <x:v>337</x:v>
      </x:c>
      <x:c r="H160" s="8">
        <x:v>50</x:v>
      </x:c>
      <x:c r="I160" s="8">
        <x:v>970323</x:v>
      </x:c>
      <x:c r="J160" s="5" t="s">
        <x:v>428</x:v>
      </x:c>
      <x:c r="K160" s="7"/>
      <x:c r="L160" s="9">
        <x:f t="shared" si="4"/>
        <x:v>5.152923304920114E-5</x:v>
      </x:c>
      <x:c r="M160" s="8"/>
      <x:c r="N160" s="8"/>
      <x:c r="O160" s="7"/>
      <x:c r="P160" s="9" t="str">
        <x:f t="shared" si="5"/>
      </x:c>
      <x:c r="Q160" s="10" t="s">
        <x:v>230</x:v>
      </x:c>
      <x:c r="R160" s="5" t="s">
        <x:v>429</x:v>
      </x:c>
      <x:c r="S160" s="5" t="s">
        <x:v>357</x:v>
      </x:c>
      <x:c r="T160" s="5" t="s">
        <x:v>430</x:v>
      </x:c>
      <x:c r="U160" s="151"/>
      <x:c r="V160" s="151"/>
      <x:c r="W160" s="151"/>
      <x:c r="X160" s="151"/>
      <x:c r="Y160" s="151"/>
      <x:c r="Z160" s="151"/>
    </x:row>
    <x:row r="161" ht="22" customHeight="1">
      <x:c r="A161" s="5" t="s">
        <x:v>227</x:v>
      </x:c>
      <x:c r="B161" s="5" t="s">
        <x:v>228</x:v>
      </x:c>
      <x:c r="C161" s="6">
        <x:v>45473</x:v>
      </x:c>
      <x:c r="D161" s="5">
        <x:v>2024</x:v>
      </x:c>
      <x:c r="E161" s="5" t="s">
        <x:v>440</x:v>
      </x:c>
      <x:c r="F161" s="5" t="s">
        <x:v>0</x:v>
      </x:c>
      <x:c r="G161" s="5" t="s">
        <x:v>337</x:v>
      </x:c>
      <x:c r="H161" s="8">
        <x:v>50</x:v>
      </x:c>
      <x:c r="I161" s="8">
        <x:v>970323</x:v>
      </x:c>
      <x:c r="J161" s="5" t="s">
        <x:v>428</x:v>
      </x:c>
      <x:c r="K161" s="7"/>
      <x:c r="L161" s="9">
        <x:f t="shared" si="4"/>
        <x:v>5.152923304920114E-5</x:v>
      </x:c>
      <x:c r="M161" s="8"/>
      <x:c r="N161" s="8"/>
      <x:c r="O161" s="7"/>
      <x:c r="P161" s="9" t="str">
        <x:f t="shared" si="5"/>
      </x:c>
      <x:c r="Q161" s="10" t="s">
        <x:v>230</x:v>
      </x:c>
      <x:c r="R161" s="5" t="s">
        <x:v>429</x:v>
      </x:c>
      <x:c r="S161" s="5" t="s">
        <x:v>357</x:v>
      </x:c>
      <x:c r="T161" s="5" t="s">
        <x:v>430</x:v>
      </x:c>
      <x:c r="U161" s="151"/>
      <x:c r="V161" s="151"/>
      <x:c r="W161" s="151"/>
      <x:c r="X161" s="151"/>
      <x:c r="Y161" s="151"/>
      <x:c r="Z161" s="151"/>
    </x:row>
    <x:row r="162" ht="22" customHeight="1">
      <x:c r="A162" s="5" t="s">
        <x:v>227</x:v>
      </x:c>
      <x:c r="B162" s="5" t="s">
        <x:v>228</x:v>
      </x:c>
      <x:c r="C162" s="6">
        <x:v>45473</x:v>
      </x:c>
      <x:c r="D162" s="5">
        <x:v>2024</x:v>
      </x:c>
      <x:c r="E162" s="5" t="s">
        <x:v>441</x:v>
      </x:c>
      <x:c r="F162" s="5" t="s">
        <x:v>0</x:v>
      </x:c>
      <x:c r="G162" s="5" t="s">
        <x:v>337</x:v>
      </x:c>
      <x:c r="H162" s="8">
        <x:v>200</x:v>
      </x:c>
      <x:c r="I162" s="8">
        <x:v>970323</x:v>
      </x:c>
      <x:c r="J162" s="5" t="s">
        <x:v>428</x:v>
      </x:c>
      <x:c r="K162" s="7"/>
      <x:c r="L162" s="9">
        <x:f t="shared" si="4"/>
        <x:v>2.0611693219680456E-4</x:v>
      </x:c>
      <x:c r="M162" s="8"/>
      <x:c r="N162" s="8"/>
      <x:c r="O162" s="7"/>
      <x:c r="P162" s="9" t="str">
        <x:f t="shared" si="5"/>
      </x:c>
      <x:c r="Q162" s="10" t="s">
        <x:v>230</x:v>
      </x:c>
      <x:c r="R162" s="5" t="s">
        <x:v>429</x:v>
      </x:c>
      <x:c r="S162" s="5" t="s">
        <x:v>357</x:v>
      </x:c>
      <x:c r="T162" s="5" t="s">
        <x:v>430</x:v>
      </x:c>
      <x:c r="U162" s="151"/>
      <x:c r="V162" s="151"/>
      <x:c r="W162" s="151"/>
      <x:c r="X162" s="151"/>
      <x:c r="Y162" s="151"/>
      <x:c r="Z162" s="151"/>
    </x:row>
    <x:row r="163" ht="22" customHeight="1">
      <x:c r="A163" s="5" t="s">
        <x:v>227</x:v>
      </x:c>
      <x:c r="B163" s="5" t="s">
        <x:v>228</x:v>
      </x:c>
      <x:c r="C163" s="6">
        <x:v>45473</x:v>
      </x:c>
      <x:c r="D163" s="5">
        <x:v>2024</x:v>
      </x:c>
      <x:c r="E163" s="5" t="s">
        <x:v>411</x:v>
      </x:c>
      <x:c r="F163" s="5" t="s">
        <x:v>0</x:v>
      </x:c>
      <x:c r="G163" s="5" t="s">
        <x:v>337</x:v>
      </x:c>
      <x:c r="H163" s="8">
        <x:v>3695</x:v>
      </x:c>
      <x:c r="I163" s="8">
        <x:v>970323</x:v>
      </x:c>
      <x:c r="J163" s="5" t="s">
        <x:v>428</x:v>
      </x:c>
      <x:c r="K163" s="7"/>
      <x:c r="L163" s="9">
        <x:f t="shared" si="4"/>
        <x:v>3.8080103223359645E-3</x:v>
      </x:c>
      <x:c r="M163" s="8"/>
      <x:c r="N163" s="8"/>
      <x:c r="O163" s="7"/>
      <x:c r="P163" s="9" t="str">
        <x:f t="shared" si="5"/>
      </x:c>
      <x:c r="Q163" s="10" t="s">
        <x:v>230</x:v>
      </x:c>
      <x:c r="R163" s="5" t="s">
        <x:v>429</x:v>
      </x:c>
      <x:c r="S163" s="5" t="s">
        <x:v>357</x:v>
      </x:c>
      <x:c r="T163" s="5" t="s">
        <x:v>430</x:v>
      </x:c>
      <x:c r="U163" s="151"/>
      <x:c r="V163" s="151"/>
      <x:c r="W163" s="151"/>
      <x:c r="X163" s="151"/>
      <x:c r="Y163" s="151"/>
      <x:c r="Z163" s="151"/>
    </x:row>
    <x:row r="164" ht="22" customHeight="1">
      <x:c r="A164" s="5" t="s">
        <x:v>227</x:v>
      </x:c>
      <x:c r="B164" s="5" t="s">
        <x:v>228</x:v>
      </x:c>
      <x:c r="C164" s="6">
        <x:v>45473</x:v>
      </x:c>
      <x:c r="D164" s="5">
        <x:v>2024</x:v>
      </x:c>
      <x:c r="E164" s="5" t="s">
        <x:v>442</x:v>
      </x:c>
      <x:c r="F164" s="5" t="s">
        <x:v>0</x:v>
      </x:c>
      <x:c r="G164" s="5" t="s">
        <x:v>337</x:v>
      </x:c>
      <x:c r="H164" s="8">
        <x:v>50</x:v>
      </x:c>
      <x:c r="I164" s="8">
        <x:v>970323</x:v>
      </x:c>
      <x:c r="J164" s="5" t="s">
        <x:v>428</x:v>
      </x:c>
      <x:c r="K164" s="7"/>
      <x:c r="L164" s="9">
        <x:f t="shared" si="4"/>
        <x:v>5.152923304920114E-5</x:v>
      </x:c>
      <x:c r="M164" s="8"/>
      <x:c r="N164" s="8"/>
      <x:c r="O164" s="7"/>
      <x:c r="P164" s="9" t="str">
        <x:f t="shared" si="5"/>
      </x:c>
      <x:c r="Q164" s="10" t="s">
        <x:v>230</x:v>
      </x:c>
      <x:c r="R164" s="5" t="s">
        <x:v>429</x:v>
      </x:c>
      <x:c r="S164" s="5" t="s">
        <x:v>357</x:v>
      </x:c>
      <x:c r="T164" s="5" t="s">
        <x:v>430</x:v>
      </x:c>
      <x:c r="U164" s="151"/>
      <x:c r="V164" s="151"/>
      <x:c r="W164" s="151"/>
      <x:c r="X164" s="151"/>
      <x:c r="Y164" s="151"/>
      <x:c r="Z164" s="151"/>
    </x:row>
    <x:row r="165" ht="22" customHeight="1">
      <x:c r="A165" s="5" t="s">
        <x:v>227</x:v>
      </x:c>
      <x:c r="B165" s="5" t="s">
        <x:v>228</x:v>
      </x:c>
      <x:c r="C165" s="6">
        <x:v>45473</x:v>
      </x:c>
      <x:c r="D165" s="5">
        <x:v>2024</x:v>
      </x:c>
      <x:c r="E165" s="5" t="s">
        <x:v>443</x:v>
      </x:c>
      <x:c r="F165" s="5" t="s">
        <x:v>0</x:v>
      </x:c>
      <x:c r="G165" s="5" t="s">
        <x:v>337</x:v>
      </x:c>
      <x:c r="H165" s="8">
        <x:v>6505</x:v>
      </x:c>
      <x:c r="I165" s="8">
        <x:v>970323</x:v>
      </x:c>
      <x:c r="J165" s="5" t="s">
        <x:v>428</x:v>
      </x:c>
      <x:c r="K165" s="7"/>
      <x:c r="L165" s="9">
        <x:f t="shared" si="4"/>
        <x:v>6.7039532197010684E-3</x:v>
      </x:c>
      <x:c r="M165" s="8"/>
      <x:c r="N165" s="8"/>
      <x:c r="O165" s="7"/>
      <x:c r="P165" s="9" t="str">
        <x:f t="shared" si="5"/>
      </x:c>
      <x:c r="Q165" s="10" t="s">
        <x:v>230</x:v>
      </x:c>
      <x:c r="R165" s="5" t="s">
        <x:v>429</x:v>
      </x:c>
      <x:c r="S165" s="5" t="s">
        <x:v>357</x:v>
      </x:c>
      <x:c r="T165" s="5" t="s">
        <x:v>430</x:v>
      </x:c>
      <x:c r="U165" s="151"/>
      <x:c r="V165" s="151"/>
      <x:c r="W165" s="151"/>
      <x:c r="X165" s="151"/>
      <x:c r="Y165" s="151"/>
      <x:c r="Z165" s="151"/>
    </x:row>
    <x:row r="166" ht="22" customHeight="1">
      <x:c r="A166" s="5" t="s">
        <x:v>227</x:v>
      </x:c>
      <x:c r="B166" s="5" t="s">
        <x:v>228</x:v>
      </x:c>
      <x:c r="C166" s="6">
        <x:v>45473</x:v>
      </x:c>
      <x:c r="D166" s="5">
        <x:v>2024</x:v>
      </x:c>
      <x:c r="E166" s="5" t="s">
        <x:v>444</x:v>
      </x:c>
      <x:c r="F166" s="5" t="s">
        <x:v>0</x:v>
      </x:c>
      <x:c r="G166" s="5" t="s">
        <x:v>337</x:v>
      </x:c>
      <x:c r="H166" s="8">
        <x:v>458</x:v>
      </x:c>
      <x:c r="I166" s="8">
        <x:v>970323</x:v>
      </x:c>
      <x:c r="J166" s="5" t="s">
        <x:v>428</x:v>
      </x:c>
      <x:c r="K166" s="7"/>
      <x:c r="L166" s="9">
        <x:f t="shared" si="4"/>
        <x:v>4.7200777473068248E-4</x:v>
      </x:c>
      <x:c r="M166" s="8"/>
      <x:c r="N166" s="8"/>
      <x:c r="O166" s="7"/>
      <x:c r="P166" s="9" t="str">
        <x:f t="shared" si="5"/>
      </x:c>
      <x:c r="Q166" s="10" t="s">
        <x:v>230</x:v>
      </x:c>
      <x:c r="R166" s="5" t="s">
        <x:v>429</x:v>
      </x:c>
      <x:c r="S166" s="5" t="s">
        <x:v>357</x:v>
      </x:c>
      <x:c r="T166" s="5" t="s">
        <x:v>430</x:v>
      </x:c>
      <x:c r="U166" s="151"/>
      <x:c r="V166" s="151"/>
      <x:c r="W166" s="151"/>
      <x:c r="X166" s="151"/>
      <x:c r="Y166" s="151"/>
      <x:c r="Z166" s="151"/>
    </x:row>
    <x:row r="167" ht="22" customHeight="1">
      <x:c r="A167" s="5" t="s">
        <x:v>227</x:v>
      </x:c>
      <x:c r="B167" s="5" t="s">
        <x:v>228</x:v>
      </x:c>
      <x:c r="C167" s="6">
        <x:v>45473</x:v>
      </x:c>
      <x:c r="D167" s="5">
        <x:v>2024</x:v>
      </x:c>
      <x:c r="E167" s="5" t="s">
        <x:v>368</x:v>
      </x:c>
      <x:c r="F167" s="5" t="s">
        <x:v>0</x:v>
      </x:c>
      <x:c r="G167" s="5" t="s">
        <x:v>337</x:v>
      </x:c>
      <x:c r="H167" s="8">
        <x:v>125</x:v>
      </x:c>
      <x:c r="I167" s="8">
        <x:v>970323</x:v>
      </x:c>
      <x:c r="J167" s="5" t="s">
        <x:v>428</x:v>
      </x:c>
      <x:c r="K167" s="7"/>
      <x:c r="L167" s="9">
        <x:f t="shared" si="4"/>
        <x:v>1.2882308262300286E-4</x:v>
      </x:c>
      <x:c r="M167" s="8"/>
      <x:c r="N167" s="8"/>
      <x:c r="O167" s="7"/>
      <x:c r="P167" s="9" t="str">
        <x:f t="shared" si="5"/>
      </x:c>
      <x:c r="Q167" s="10" t="s">
        <x:v>230</x:v>
      </x:c>
      <x:c r="R167" s="5" t="s">
        <x:v>429</x:v>
      </x:c>
      <x:c r="S167" s="5" t="s">
        <x:v>357</x:v>
      </x:c>
      <x:c r="T167" s="5" t="s">
        <x:v>430</x:v>
      </x:c>
      <x:c r="U167" s="151"/>
      <x:c r="V167" s="151"/>
      <x:c r="W167" s="151"/>
      <x:c r="X167" s="151"/>
      <x:c r="Y167" s="151"/>
      <x:c r="Z167" s="151"/>
    </x:row>
    <x:row r="168" ht="22" customHeight="1">
      <x:c r="A168" s="5" t="s">
        <x:v>227</x:v>
      </x:c>
      <x:c r="B168" s="5" t="s">
        <x:v>228</x:v>
      </x:c>
      <x:c r="C168" s="6">
        <x:v>45473</x:v>
      </x:c>
      <x:c r="D168" s="5">
        <x:v>2024</x:v>
      </x:c>
      <x:c r="E168" s="5" t="s">
        <x:v>412</x:v>
      </x:c>
      <x:c r="F168" s="5" t="s">
        <x:v>0</x:v>
      </x:c>
      <x:c r="G168" s="5" t="s">
        <x:v>337</x:v>
      </x:c>
      <x:c r="H168" s="8">
        <x:v>3103</x:v>
      </x:c>
      <x:c r="I168" s="8">
        <x:v>970323</x:v>
      </x:c>
      <x:c r="J168" s="5" t="s">
        <x:v>428</x:v>
      </x:c>
      <x:c r="K168" s="7"/>
      <x:c r="L168" s="9">
        <x:f t="shared" si="4"/>
        <x:v>3.1979042030334231E-3</x:v>
      </x:c>
      <x:c r="M168" s="8"/>
      <x:c r="N168" s="8"/>
      <x:c r="O168" s="7"/>
      <x:c r="P168" s="9" t="str">
        <x:f t="shared" si="5"/>
      </x:c>
      <x:c r="Q168" s="10" t="s">
        <x:v>230</x:v>
      </x:c>
      <x:c r="R168" s="5" t="s">
        <x:v>429</x:v>
      </x:c>
      <x:c r="S168" s="5" t="s">
        <x:v>357</x:v>
      </x:c>
      <x:c r="T168" s="5" t="s">
        <x:v>430</x:v>
      </x:c>
      <x:c r="U168" s="151"/>
      <x:c r="V168" s="151"/>
      <x:c r="W168" s="151"/>
      <x:c r="X168" s="151"/>
      <x:c r="Y168" s="151"/>
      <x:c r="Z168" s="151"/>
    </x:row>
    <x:row r="169" ht="22" customHeight="1">
      <x:c r="A169" s="5" t="s">
        <x:v>227</x:v>
      </x:c>
      <x:c r="B169" s="5" t="s">
        <x:v>228</x:v>
      </x:c>
      <x:c r="C169" s="6">
        <x:v>45473</x:v>
      </x:c>
      <x:c r="D169" s="5">
        <x:v>2024</x:v>
      </x:c>
      <x:c r="E169" s="5" t="s">
        <x:v>413</x:v>
      </x:c>
      <x:c r="F169" s="5" t="s">
        <x:v>0</x:v>
      </x:c>
      <x:c r="G169" s="5" t="s">
        <x:v>337</x:v>
      </x:c>
      <x:c r="H169" s="8">
        <x:v>33756</x:v>
      </x:c>
      <x:c r="I169" s="8">
        <x:v>970323</x:v>
      </x:c>
      <x:c r="J169" s="5" t="s">
        <x:v>428</x:v>
      </x:c>
      <x:c r="K169" s="7"/>
      <x:c r="L169" s="9">
        <x:f t="shared" si="4"/>
        <x:v>3.4788415816176678E-2</x:v>
      </x:c>
      <x:c r="M169" s="8"/>
      <x:c r="N169" s="8"/>
      <x:c r="O169" s="7"/>
      <x:c r="P169" s="9" t="str">
        <x:f t="shared" si="5"/>
      </x:c>
      <x:c r="Q169" s="10" t="s">
        <x:v>230</x:v>
      </x:c>
      <x:c r="R169" s="5" t="s">
        <x:v>429</x:v>
      </x:c>
      <x:c r="S169" s="5" t="s">
        <x:v>357</x:v>
      </x:c>
      <x:c r="T169" s="5" t="s">
        <x:v>430</x:v>
      </x:c>
      <x:c r="U169" s="151"/>
      <x:c r="V169" s="151"/>
      <x:c r="W169" s="151"/>
      <x:c r="X169" s="151"/>
      <x:c r="Y169" s="151"/>
      <x:c r="Z169" s="151"/>
    </x:row>
    <x:row r="170" ht="22" customHeight="1">
      <x:c r="A170" s="5" t="s">
        <x:v>227</x:v>
      </x:c>
      <x:c r="B170" s="5" t="s">
        <x:v>228</x:v>
      </x:c>
      <x:c r="C170" s="6">
        <x:v>45473</x:v>
      </x:c>
      <x:c r="D170" s="5">
        <x:v>2024</x:v>
      </x:c>
      <x:c r="E170" s="5" t="s">
        <x:v>369</x:v>
      </x:c>
      <x:c r="F170" s="5" t="s">
        <x:v>0</x:v>
      </x:c>
      <x:c r="G170" s="5" t="s">
        <x:v>337</x:v>
      </x:c>
      <x:c r="H170" s="8">
        <x:v>539</x:v>
      </x:c>
      <x:c r="I170" s="8">
        <x:v>970323</x:v>
      </x:c>
      <x:c r="J170" s="5" t="s">
        <x:v>428</x:v>
      </x:c>
      <x:c r="K170" s="7"/>
      <x:c r="L170" s="9">
        <x:f t="shared" si="4"/>
        <x:v>5.5548513227038831E-4</x:v>
      </x:c>
      <x:c r="M170" s="8"/>
      <x:c r="N170" s="8"/>
      <x:c r="O170" s="7"/>
      <x:c r="P170" s="9" t="str">
        <x:f t="shared" si="5"/>
      </x:c>
      <x:c r="Q170" s="10" t="s">
        <x:v>230</x:v>
      </x:c>
      <x:c r="R170" s="5" t="s">
        <x:v>429</x:v>
      </x:c>
      <x:c r="S170" s="5" t="s">
        <x:v>357</x:v>
      </x:c>
      <x:c r="T170" s="5" t="s">
        <x:v>430</x:v>
      </x:c>
      <x:c r="U170" s="151"/>
      <x:c r="V170" s="151"/>
      <x:c r="W170" s="151"/>
      <x:c r="X170" s="151"/>
      <x:c r="Y170" s="151"/>
      <x:c r="Z170" s="151"/>
    </x:row>
    <x:row r="171" ht="22" customHeight="1">
      <x:c r="A171" s="5" t="s">
        <x:v>227</x:v>
      </x:c>
      <x:c r="B171" s="5" t="s">
        <x:v>228</x:v>
      </x:c>
      <x:c r="C171" s="6">
        <x:v>45473</x:v>
      </x:c>
      <x:c r="D171" s="5">
        <x:v>2024</x:v>
      </x:c>
      <x:c r="E171" s="5" t="s">
        <x:v>414</x:v>
      </x:c>
      <x:c r="F171" s="5" t="s">
        <x:v>0</x:v>
      </x:c>
      <x:c r="G171" s="5" t="s">
        <x:v>337</x:v>
      </x:c>
      <x:c r="H171" s="8">
        <x:v>44842</x:v>
      </x:c>
      <x:c r="I171" s="8">
        <x:v>970323</x:v>
      </x:c>
      <x:c r="J171" s="5" t="s">
        <x:v>428</x:v>
      </x:c>
      <x:c r="K171" s="7"/>
      <x:c r="L171" s="9">
        <x:f t="shared" si="4"/>
        <x:v>4.6213477367845555E-2</x:v>
      </x:c>
      <x:c r="M171" s="8"/>
      <x:c r="N171" s="8"/>
      <x:c r="O171" s="7"/>
      <x:c r="P171" s="9" t="str">
        <x:f t="shared" si="5"/>
      </x:c>
      <x:c r="Q171" s="10" t="s">
        <x:v>230</x:v>
      </x:c>
      <x:c r="R171" s="5" t="s">
        <x:v>429</x:v>
      </x:c>
      <x:c r="S171" s="5" t="s">
        <x:v>357</x:v>
      </x:c>
      <x:c r="T171" s="5" t="s">
        <x:v>430</x:v>
      </x:c>
      <x:c r="U171" s="151"/>
      <x:c r="V171" s="151"/>
      <x:c r="W171" s="151"/>
      <x:c r="X171" s="151"/>
      <x:c r="Y171" s="151"/>
      <x:c r="Z171" s="151"/>
    </x:row>
    <x:row r="172" ht="22" customHeight="1">
      <x:c r="A172" s="5" t="s">
        <x:v>227</x:v>
      </x:c>
      <x:c r="B172" s="5" t="s">
        <x:v>228</x:v>
      </x:c>
      <x:c r="C172" s="6">
        <x:v>45473</x:v>
      </x:c>
      <x:c r="D172" s="5">
        <x:v>2024</x:v>
      </x:c>
      <x:c r="E172" s="5" t="s">
        <x:v>445</x:v>
      </x:c>
      <x:c r="F172" s="5" t="s">
        <x:v>0</x:v>
      </x:c>
      <x:c r="G172" s="5" t="s">
        <x:v>337</x:v>
      </x:c>
      <x:c r="H172" s="8">
        <x:v>50</x:v>
      </x:c>
      <x:c r="I172" s="8">
        <x:v>970323</x:v>
      </x:c>
      <x:c r="J172" s="5" t="s">
        <x:v>428</x:v>
      </x:c>
      <x:c r="K172" s="7"/>
      <x:c r="L172" s="9">
        <x:f t="shared" si="4"/>
        <x:v>5.152923304920114E-5</x:v>
      </x:c>
      <x:c r="M172" s="8"/>
      <x:c r="N172" s="8"/>
      <x:c r="O172" s="7"/>
      <x:c r="P172" s="9" t="str">
        <x:f t="shared" si="5"/>
      </x:c>
      <x:c r="Q172" s="10" t="s">
        <x:v>230</x:v>
      </x:c>
      <x:c r="R172" s="5" t="s">
        <x:v>429</x:v>
      </x:c>
      <x:c r="S172" s="5" t="s">
        <x:v>357</x:v>
      </x:c>
      <x:c r="T172" s="5" t="s">
        <x:v>430</x:v>
      </x:c>
      <x:c r="U172" s="151"/>
      <x:c r="V172" s="151"/>
      <x:c r="W172" s="151"/>
      <x:c r="X172" s="151"/>
      <x:c r="Y172" s="151"/>
      <x:c r="Z172" s="151"/>
    </x:row>
    <x:row r="173" ht="22" customHeight="1">
      <x:c r="A173" s="5" t="s">
        <x:v>227</x:v>
      </x:c>
      <x:c r="B173" s="5" t="s">
        <x:v>228</x:v>
      </x:c>
      <x:c r="C173" s="6">
        <x:v>45473</x:v>
      </x:c>
      <x:c r="D173" s="5">
        <x:v>2024</x:v>
      </x:c>
      <x:c r="E173" s="5" t="s">
        <x:v>446</x:v>
      </x:c>
      <x:c r="F173" s="5" t="s">
        <x:v>0</x:v>
      </x:c>
      <x:c r="G173" s="5" t="s">
        <x:v>337</x:v>
      </x:c>
      <x:c r="H173" s="8">
        <x:v>100</x:v>
      </x:c>
      <x:c r="I173" s="8">
        <x:v>970323</x:v>
      </x:c>
      <x:c r="J173" s="5" t="s">
        <x:v>428</x:v>
      </x:c>
      <x:c r="K173" s="7"/>
      <x:c r="L173" s="9">
        <x:f t="shared" si="4"/>
        <x:v>1.0305846609840228E-4</x:v>
      </x:c>
      <x:c r="M173" s="8"/>
      <x:c r="N173" s="8"/>
      <x:c r="O173" s="7"/>
      <x:c r="P173" s="9" t="str">
        <x:f t="shared" si="5"/>
      </x:c>
      <x:c r="Q173" s="10" t="s">
        <x:v>230</x:v>
      </x:c>
      <x:c r="R173" s="5" t="s">
        <x:v>429</x:v>
      </x:c>
      <x:c r="S173" s="5" t="s">
        <x:v>357</x:v>
      </x:c>
      <x:c r="T173" s="5" t="s">
        <x:v>430</x:v>
      </x:c>
      <x:c r="U173" s="151"/>
      <x:c r="V173" s="151"/>
      <x:c r="W173" s="151"/>
      <x:c r="X173" s="151"/>
      <x:c r="Y173" s="151"/>
      <x:c r="Z173" s="151"/>
    </x:row>
    <x:row r="174" ht="22" customHeight="1">
      <x:c r="A174" s="5" t="s">
        <x:v>227</x:v>
      </x:c>
      <x:c r="B174" s="5" t="s">
        <x:v>228</x:v>
      </x:c>
      <x:c r="C174" s="6">
        <x:v>45473</x:v>
      </x:c>
      <x:c r="D174" s="5">
        <x:v>2024</x:v>
      </x:c>
      <x:c r="E174" s="5" t="s">
        <x:v>447</x:v>
      </x:c>
      <x:c r="F174" s="5" t="s">
        <x:v>0</x:v>
      </x:c>
      <x:c r="G174" s="5" t="s">
        <x:v>337</x:v>
      </x:c>
      <x:c r="H174" s="8">
        <x:v>50</x:v>
      </x:c>
      <x:c r="I174" s="8">
        <x:v>970323</x:v>
      </x:c>
      <x:c r="J174" s="5" t="s">
        <x:v>428</x:v>
      </x:c>
      <x:c r="K174" s="7"/>
      <x:c r="L174" s="9">
        <x:f t="shared" si="4"/>
        <x:v>5.152923304920114E-5</x:v>
      </x:c>
      <x:c r="M174" s="8"/>
      <x:c r="N174" s="8"/>
      <x:c r="O174" s="7"/>
      <x:c r="P174" s="9" t="str">
        <x:f t="shared" si="5"/>
      </x:c>
      <x:c r="Q174" s="10" t="s">
        <x:v>230</x:v>
      </x:c>
      <x:c r="R174" s="5" t="s">
        <x:v>429</x:v>
      </x:c>
      <x:c r="S174" s="5" t="s">
        <x:v>357</x:v>
      </x:c>
      <x:c r="T174" s="5" t="s">
        <x:v>430</x:v>
      </x:c>
      <x:c r="U174" s="151"/>
      <x:c r="V174" s="151"/>
      <x:c r="W174" s="151"/>
      <x:c r="X174" s="151"/>
      <x:c r="Y174" s="151"/>
      <x:c r="Z174" s="151"/>
    </x:row>
    <x:row r="175" ht="22" customHeight="1">
      <x:c r="A175" s="5" t="s">
        <x:v>227</x:v>
      </x:c>
      <x:c r="B175" s="5" t="s">
        <x:v>228</x:v>
      </x:c>
      <x:c r="C175" s="6">
        <x:v>45473</x:v>
      </x:c>
      <x:c r="D175" s="5">
        <x:v>2024</x:v>
      </x:c>
      <x:c r="E175" s="5" t="s">
        <x:v>370</x:v>
      </x:c>
      <x:c r="F175" s="5" t="s">
        <x:v>0</x:v>
      </x:c>
      <x:c r="G175" s="5" t="s">
        <x:v>337</x:v>
      </x:c>
      <x:c r="H175" s="8">
        <x:v>7651</x:v>
      </x:c>
      <x:c r="I175" s="8">
        <x:v>970323</x:v>
      </x:c>
      <x:c r="J175" s="5" t="s">
        <x:v>428</x:v>
      </x:c>
      <x:c r="K175" s="7"/>
      <x:c r="L175" s="9">
        <x:f t="shared" si="4"/>
        <x:v>7.885003241188758E-3</x:v>
      </x:c>
      <x:c r="M175" s="8"/>
      <x:c r="N175" s="8"/>
      <x:c r="O175" s="7"/>
      <x:c r="P175" s="9" t="str">
        <x:f t="shared" si="5"/>
      </x:c>
      <x:c r="Q175" s="10" t="s">
        <x:v>230</x:v>
      </x:c>
      <x:c r="R175" s="5" t="s">
        <x:v>429</x:v>
      </x:c>
      <x:c r="S175" s="5" t="s">
        <x:v>357</x:v>
      </x:c>
      <x:c r="T175" s="5" t="s">
        <x:v>430</x:v>
      </x:c>
      <x:c r="U175" s="151"/>
      <x:c r="V175" s="151"/>
      <x:c r="W175" s="151"/>
      <x:c r="X175" s="151"/>
      <x:c r="Y175" s="151"/>
      <x:c r="Z175" s="151"/>
    </x:row>
    <x:row r="176" ht="22" customHeight="1">
      <x:c r="A176" s="5" t="s">
        <x:v>227</x:v>
      </x:c>
      <x:c r="B176" s="5" t="s">
        <x:v>228</x:v>
      </x:c>
      <x:c r="C176" s="6">
        <x:v>45473</x:v>
      </x:c>
      <x:c r="D176" s="5">
        <x:v>2024</x:v>
      </x:c>
      <x:c r="E176" s="5" t="s">
        <x:v>448</x:v>
      </x:c>
      <x:c r="F176" s="5" t="s">
        <x:v>0</x:v>
      </x:c>
      <x:c r="G176" s="5" t="s">
        <x:v>337</x:v>
      </x:c>
      <x:c r="H176" s="8">
        <x:v>1000</x:v>
      </x:c>
      <x:c r="I176" s="8">
        <x:v>970323</x:v>
      </x:c>
      <x:c r="J176" s="5" t="s">
        <x:v>428</x:v>
      </x:c>
      <x:c r="K176" s="7"/>
      <x:c r="L176" s="9">
        <x:f t="shared" si="4"/>
        <x:v>1.0305846609840229E-3</x:v>
      </x:c>
      <x:c r="M176" s="8"/>
      <x:c r="N176" s="8"/>
      <x:c r="O176" s="7"/>
      <x:c r="P176" s="9" t="str">
        <x:f t="shared" si="5"/>
      </x:c>
      <x:c r="Q176" s="10" t="s">
        <x:v>230</x:v>
      </x:c>
      <x:c r="R176" s="5" t="s">
        <x:v>429</x:v>
      </x:c>
      <x:c r="S176" s="5" t="s">
        <x:v>357</x:v>
      </x:c>
      <x:c r="T176" s="5" t="s">
        <x:v>430</x:v>
      </x:c>
      <x:c r="U176" s="151"/>
      <x:c r="V176" s="151"/>
      <x:c r="W176" s="151"/>
      <x:c r="X176" s="151"/>
      <x:c r="Y176" s="151"/>
      <x:c r="Z176" s="151"/>
    </x:row>
    <x:row r="177" ht="22" customHeight="1">
      <x:c r="A177" s="5" t="s">
        <x:v>227</x:v>
      </x:c>
      <x:c r="B177" s="5" t="s">
        <x:v>228</x:v>
      </x:c>
      <x:c r="C177" s="6">
        <x:v>45473</x:v>
      </x:c>
      <x:c r="D177" s="5">
        <x:v>2024</x:v>
      </x:c>
      <x:c r="E177" s="5" t="s">
        <x:v>449</x:v>
      </x:c>
      <x:c r="F177" s="5" t="s">
        <x:v>0</x:v>
      </x:c>
      <x:c r="G177" s="5" t="s">
        <x:v>337</x:v>
      </x:c>
      <x:c r="H177" s="8">
        <x:v>176</x:v>
      </x:c>
      <x:c r="I177" s="8">
        <x:v>970323</x:v>
      </x:c>
      <x:c r="J177" s="5" t="s">
        <x:v>428</x:v>
      </x:c>
      <x:c r="K177" s="7"/>
      <x:c r="L177" s="9">
        <x:f t="shared" si="4"/>
        <x:v>1.8138290033318803E-4</x:v>
      </x:c>
      <x:c r="M177" s="8"/>
      <x:c r="N177" s="8"/>
      <x:c r="O177" s="7"/>
      <x:c r="P177" s="9" t="str">
        <x:f t="shared" si="5"/>
      </x:c>
      <x:c r="Q177" s="10" t="s">
        <x:v>230</x:v>
      </x:c>
      <x:c r="R177" s="5" t="s">
        <x:v>429</x:v>
      </x:c>
      <x:c r="S177" s="5" t="s">
        <x:v>357</x:v>
      </x:c>
      <x:c r="T177" s="5" t="s">
        <x:v>430</x:v>
      </x:c>
      <x:c r="U177" s="151"/>
      <x:c r="V177" s="151"/>
      <x:c r="W177" s="151"/>
      <x:c r="X177" s="151"/>
      <x:c r="Y177" s="151"/>
      <x:c r="Z177" s="151"/>
    </x:row>
    <x:row r="178" ht="22" customHeight="1">
      <x:c r="A178" s="5" t="s">
        <x:v>227</x:v>
      </x:c>
      <x:c r="B178" s="5" t="s">
        <x:v>228</x:v>
      </x:c>
      <x:c r="C178" s="6">
        <x:v>45473</x:v>
      </x:c>
      <x:c r="D178" s="5">
        <x:v>2024</x:v>
      </x:c>
      <x:c r="E178" s="5" t="s">
        <x:v>371</x:v>
      </x:c>
      <x:c r="F178" s="5" t="s">
        <x:v>0</x:v>
      </x:c>
      <x:c r="G178" s="5" t="s">
        <x:v>337</x:v>
      </x:c>
      <x:c r="H178" s="8">
        <x:v>83673</x:v>
      </x:c>
      <x:c r="I178" s="8">
        <x:v>970323</x:v>
      </x:c>
      <x:c r="J178" s="5" t="s">
        <x:v>428</x:v>
      </x:c>
      <x:c r="K178" s="7"/>
      <x:c r="L178" s="9">
        <x:f t="shared" si="4"/>
        <x:v>8.6232110338516146E-2</x:v>
      </x:c>
      <x:c r="M178" s="8"/>
      <x:c r="N178" s="8"/>
      <x:c r="O178" s="7"/>
      <x:c r="P178" s="9" t="str">
        <x:f t="shared" si="5"/>
      </x:c>
      <x:c r="Q178" s="10" t="s">
        <x:v>230</x:v>
      </x:c>
      <x:c r="R178" s="5" t="s">
        <x:v>429</x:v>
      </x:c>
      <x:c r="S178" s="5" t="s">
        <x:v>357</x:v>
      </x:c>
      <x:c r="T178" s="5" t="s">
        <x:v>430</x:v>
      </x:c>
      <x:c r="U178" s="151"/>
      <x:c r="V178" s="151"/>
      <x:c r="W178" s="151"/>
      <x:c r="X178" s="151"/>
      <x:c r="Y178" s="151"/>
      <x:c r="Z178" s="151"/>
    </x:row>
    <x:row r="179" ht="22" customHeight="1">
      <x:c r="A179" s="5" t="s">
        <x:v>227</x:v>
      </x:c>
      <x:c r="B179" s="5" t="s">
        <x:v>228</x:v>
      </x:c>
      <x:c r="C179" s="6">
        <x:v>45473</x:v>
      </x:c>
      <x:c r="D179" s="5">
        <x:v>2024</x:v>
      </x:c>
      <x:c r="E179" s="5" t="s">
        <x:v>372</x:v>
      </x:c>
      <x:c r="F179" s="5" t="s">
        <x:v>0</x:v>
      </x:c>
      <x:c r="G179" s="5" t="s">
        <x:v>337</x:v>
      </x:c>
      <x:c r="H179" s="8">
        <x:v>33607</x:v>
      </x:c>
      <x:c r="I179" s="8">
        <x:v>970323</x:v>
      </x:c>
      <x:c r="J179" s="5" t="s">
        <x:v>428</x:v>
      </x:c>
      <x:c r="K179" s="7"/>
      <x:c r="L179" s="9">
        <x:f t="shared" si="4"/>
        <x:v>3.4634858701690058E-2</x:v>
      </x:c>
      <x:c r="M179" s="8"/>
      <x:c r="N179" s="8"/>
      <x:c r="O179" s="7"/>
      <x:c r="P179" s="9" t="str">
        <x:f t="shared" si="5"/>
      </x:c>
      <x:c r="Q179" s="10" t="s">
        <x:v>230</x:v>
      </x:c>
      <x:c r="R179" s="5" t="s">
        <x:v>429</x:v>
      </x:c>
      <x:c r="S179" s="5" t="s">
        <x:v>357</x:v>
      </x:c>
      <x:c r="T179" s="5" t="s">
        <x:v>430</x:v>
      </x:c>
      <x:c r="U179" s="151"/>
      <x:c r="V179" s="151"/>
      <x:c r="W179" s="151"/>
      <x:c r="X179" s="151"/>
      <x:c r="Y179" s="151"/>
      <x:c r="Z179" s="151"/>
    </x:row>
    <x:row r="180" ht="22" customHeight="1">
      <x:c r="A180" s="5" t="s">
        <x:v>227</x:v>
      </x:c>
      <x:c r="B180" s="5" t="s">
        <x:v>228</x:v>
      </x:c>
      <x:c r="C180" s="6">
        <x:v>45473</x:v>
      </x:c>
      <x:c r="D180" s="5">
        <x:v>2024</x:v>
      </x:c>
      <x:c r="E180" s="5" t="s">
        <x:v>450</x:v>
      </x:c>
      <x:c r="F180" s="5" t="s">
        <x:v>0</x:v>
      </x:c>
      <x:c r="G180" s="5" t="s">
        <x:v>337</x:v>
      </x:c>
      <x:c r="H180" s="8">
        <x:v>15808</x:v>
      </x:c>
      <x:c r="I180" s="8">
        <x:v>970323</x:v>
      </x:c>
      <x:c r="J180" s="5" t="s">
        <x:v>428</x:v>
      </x:c>
      <x:c r="K180" s="7"/>
      <x:c r="L180" s="9">
        <x:f t="shared" si="4"/>
        <x:v>1.6291482320835434E-2</x:v>
      </x:c>
      <x:c r="M180" s="8"/>
      <x:c r="N180" s="8"/>
      <x:c r="O180" s="7"/>
      <x:c r="P180" s="9" t="str">
        <x:f t="shared" si="5"/>
      </x:c>
      <x:c r="Q180" s="10" t="s">
        <x:v>230</x:v>
      </x:c>
      <x:c r="R180" s="5" t="s">
        <x:v>429</x:v>
      </x:c>
      <x:c r="S180" s="5" t="s">
        <x:v>357</x:v>
      </x:c>
      <x:c r="T180" s="5" t="s">
        <x:v>430</x:v>
      </x:c>
      <x:c r="U180" s="151"/>
      <x:c r="V180" s="151"/>
      <x:c r="W180" s="151"/>
      <x:c r="X180" s="151"/>
      <x:c r="Y180" s="151"/>
      <x:c r="Z180" s="151"/>
    </x:row>
    <x:row r="181" ht="22" customHeight="1">
      <x:c r="A181" s="5" t="s">
        <x:v>227</x:v>
      </x:c>
      <x:c r="B181" s="5" t="s">
        <x:v>228</x:v>
      </x:c>
      <x:c r="C181" s="6">
        <x:v>45473</x:v>
      </x:c>
      <x:c r="D181" s="5">
        <x:v>2024</x:v>
      </x:c>
      <x:c r="E181" s="5" t="s">
        <x:v>451</x:v>
      </x:c>
      <x:c r="F181" s="5" t="s">
        <x:v>0</x:v>
      </x:c>
      <x:c r="G181" s="5" t="s">
        <x:v>337</x:v>
      </x:c>
      <x:c r="H181" s="8">
        <x:v>250</x:v>
      </x:c>
      <x:c r="I181" s="8">
        <x:v>970323</x:v>
      </x:c>
      <x:c r="J181" s="5" t="s">
        <x:v>428</x:v>
      </x:c>
      <x:c r="K181" s="7"/>
      <x:c r="L181" s="9">
        <x:f t="shared" si="4"/>
        <x:v>2.5764616524600573E-4</x:v>
      </x:c>
      <x:c r="M181" s="8"/>
      <x:c r="N181" s="8"/>
      <x:c r="O181" s="7"/>
      <x:c r="P181" s="9" t="str">
        <x:f t="shared" si="5"/>
      </x:c>
      <x:c r="Q181" s="10" t="s">
        <x:v>230</x:v>
      </x:c>
      <x:c r="R181" s="5" t="s">
        <x:v>429</x:v>
      </x:c>
      <x:c r="S181" s="5" t="s">
        <x:v>357</x:v>
      </x:c>
      <x:c r="T181" s="5" t="s">
        <x:v>430</x:v>
      </x:c>
      <x:c r="U181" s="151"/>
      <x:c r="V181" s="151"/>
      <x:c r="W181" s="151"/>
      <x:c r="X181" s="151"/>
      <x:c r="Y181" s="151"/>
      <x:c r="Z181" s="151"/>
    </x:row>
    <x:row r="182" ht="22" customHeight="1">
      <x:c r="A182" s="5" t="s">
        <x:v>227</x:v>
      </x:c>
      <x:c r="B182" s="5" t="s">
        <x:v>228</x:v>
      </x:c>
      <x:c r="C182" s="6">
        <x:v>45473</x:v>
      </x:c>
      <x:c r="D182" s="5">
        <x:v>2024</x:v>
      </x:c>
      <x:c r="E182" s="5" t="s">
        <x:v>415</x:v>
      </x:c>
      <x:c r="F182" s="5" t="s">
        <x:v>0</x:v>
      </x:c>
      <x:c r="G182" s="5" t="s">
        <x:v>337</x:v>
      </x:c>
      <x:c r="H182" s="8">
        <x:v>1313</x:v>
      </x:c>
      <x:c r="I182" s="8">
        <x:v>970323</x:v>
      </x:c>
      <x:c r="J182" s="5" t="s">
        <x:v>428</x:v>
      </x:c>
      <x:c r="K182" s="7"/>
      <x:c r="L182" s="9">
        <x:f t="shared" si="4"/>
        <x:v>1.3531576598720221E-3</x:v>
      </x:c>
      <x:c r="M182" s="8"/>
      <x:c r="N182" s="8"/>
      <x:c r="O182" s="7"/>
      <x:c r="P182" s="9" t="str">
        <x:f t="shared" si="5"/>
      </x:c>
      <x:c r="Q182" s="10" t="s">
        <x:v>230</x:v>
      </x:c>
      <x:c r="R182" s="5" t="s">
        <x:v>429</x:v>
      </x:c>
      <x:c r="S182" s="5" t="s">
        <x:v>357</x:v>
      </x:c>
      <x:c r="T182" s="5" t="s">
        <x:v>430</x:v>
      </x:c>
      <x:c r="U182" s="151"/>
      <x:c r="V182" s="151"/>
      <x:c r="W182" s="151"/>
      <x:c r="X182" s="151"/>
      <x:c r="Y182" s="151"/>
      <x:c r="Z182" s="151"/>
    </x:row>
    <x:row r="183" ht="22" customHeight="1">
      <x:c r="A183" s="5" t="s">
        <x:v>227</x:v>
      </x:c>
      <x:c r="B183" s="5" t="s">
        <x:v>228</x:v>
      </x:c>
      <x:c r="C183" s="6">
        <x:v>45473</x:v>
      </x:c>
      <x:c r="D183" s="5">
        <x:v>2024</x:v>
      </x:c>
      <x:c r="E183" s="5" t="s">
        <x:v>452</x:v>
      </x:c>
      <x:c r="F183" s="5" t="s">
        <x:v>0</x:v>
      </x:c>
      <x:c r="G183" s="5" t="s">
        <x:v>337</x:v>
      </x:c>
      <x:c r="H183" s="8">
        <x:v>7499</x:v>
      </x:c>
      <x:c r="I183" s="8">
        <x:v>970323</x:v>
      </x:c>
      <x:c r="J183" s="5" t="s">
        <x:v>428</x:v>
      </x:c>
      <x:c r="K183" s="7"/>
      <x:c r="L183" s="9">
        <x:f t="shared" si="4"/>
        <x:v>7.7283543727191869E-3</x:v>
      </x:c>
      <x:c r="M183" s="8"/>
      <x:c r="N183" s="8"/>
      <x:c r="O183" s="7"/>
      <x:c r="P183" s="9" t="str">
        <x:f t="shared" si="5"/>
      </x:c>
      <x:c r="Q183" s="10" t="s">
        <x:v>230</x:v>
      </x:c>
      <x:c r="R183" s="5" t="s">
        <x:v>429</x:v>
      </x:c>
      <x:c r="S183" s="5" t="s">
        <x:v>357</x:v>
      </x:c>
      <x:c r="T183" s="5" t="s">
        <x:v>430</x:v>
      </x:c>
      <x:c r="U183" s="151"/>
      <x:c r="V183" s="151"/>
      <x:c r="W183" s="151"/>
      <x:c r="X183" s="151"/>
      <x:c r="Y183" s="151"/>
      <x:c r="Z183" s="151"/>
    </x:row>
    <x:row r="184" ht="22" customHeight="1">
      <x:c r="A184" s="5" t="s">
        <x:v>227</x:v>
      </x:c>
      <x:c r="B184" s="5" t="s">
        <x:v>228</x:v>
      </x:c>
      <x:c r="C184" s="6">
        <x:v>45473</x:v>
      </x:c>
      <x:c r="D184" s="5">
        <x:v>2024</x:v>
      </x:c>
      <x:c r="E184" s="5" t="s">
        <x:v>416</x:v>
      </x:c>
      <x:c r="F184" s="5" t="s">
        <x:v>0</x:v>
      </x:c>
      <x:c r="G184" s="5" t="s">
        <x:v>337</x:v>
      </x:c>
      <x:c r="H184" s="8">
        <x:v>25718</x:v>
      </x:c>
      <x:c r="I184" s="8">
        <x:v>970323</x:v>
      </x:c>
      <x:c r="J184" s="5" t="s">
        <x:v>428</x:v>
      </x:c>
      <x:c r="K184" s="7"/>
      <x:c r="L184" s="9">
        <x:f t="shared" si="4"/>
        <x:v>2.6504576311187099E-2</x:v>
      </x:c>
      <x:c r="M184" s="8"/>
      <x:c r="N184" s="8"/>
      <x:c r="O184" s="7"/>
      <x:c r="P184" s="9" t="str">
        <x:f t="shared" si="5"/>
      </x:c>
      <x:c r="Q184" s="10" t="s">
        <x:v>230</x:v>
      </x:c>
      <x:c r="R184" s="5" t="s">
        <x:v>429</x:v>
      </x:c>
      <x:c r="S184" s="5" t="s">
        <x:v>357</x:v>
      </x:c>
      <x:c r="T184" s="5" t="s">
        <x:v>430</x:v>
      </x:c>
      <x:c r="U184" s="151"/>
      <x:c r="V184" s="151"/>
      <x:c r="W184" s="151"/>
      <x:c r="X184" s="151"/>
      <x:c r="Y184" s="151"/>
      <x:c r="Z184" s="151"/>
    </x:row>
    <x:row r="185" ht="22" customHeight="1">
      <x:c r="A185" s="5" t="s">
        <x:v>227</x:v>
      </x:c>
      <x:c r="B185" s="5" t="s">
        <x:v>228</x:v>
      </x:c>
      <x:c r="C185" s="6">
        <x:v>45473</x:v>
      </x:c>
      <x:c r="D185" s="5">
        <x:v>2024</x:v>
      </x:c>
      <x:c r="E185" s="5" t="s">
        <x:v>453</x:v>
      </x:c>
      <x:c r="F185" s="5" t="s">
        <x:v>0</x:v>
      </x:c>
      <x:c r="G185" s="5" t="s">
        <x:v>337</x:v>
      </x:c>
      <x:c r="H185" s="8">
        <x:v>1192</x:v>
      </x:c>
      <x:c r="I185" s="8">
        <x:v>970323</x:v>
      </x:c>
      <x:c r="J185" s="5" t="s">
        <x:v>428</x:v>
      </x:c>
      <x:c r="K185" s="7"/>
      <x:c r="L185" s="9">
        <x:f t="shared" si="4"/>
        <x:v>1.2284569158929552E-3</x:v>
      </x:c>
      <x:c r="M185" s="8"/>
      <x:c r="N185" s="8"/>
      <x:c r="O185" s="7"/>
      <x:c r="P185" s="9" t="str">
        <x:f t="shared" si="5"/>
      </x:c>
      <x:c r="Q185" s="10" t="s">
        <x:v>230</x:v>
      </x:c>
      <x:c r="R185" s="5" t="s">
        <x:v>429</x:v>
      </x:c>
      <x:c r="S185" s="5" t="s">
        <x:v>357</x:v>
      </x:c>
      <x:c r="T185" s="5" t="s">
        <x:v>430</x:v>
      </x:c>
      <x:c r="U185" s="151"/>
      <x:c r="V185" s="151"/>
      <x:c r="W185" s="151"/>
      <x:c r="X185" s="151"/>
      <x:c r="Y185" s="151"/>
      <x:c r="Z185" s="151"/>
    </x:row>
    <x:row r="186" ht="22" customHeight="1">
      <x:c r="A186" s="5" t="s">
        <x:v>227</x:v>
      </x:c>
      <x:c r="B186" s="5" t="s">
        <x:v>228</x:v>
      </x:c>
      <x:c r="C186" s="6">
        <x:v>45473</x:v>
      </x:c>
      <x:c r="D186" s="5">
        <x:v>2024</x:v>
      </x:c>
      <x:c r="E186" s="5" t="s">
        <x:v>374</x:v>
      </x:c>
      <x:c r="F186" s="5" t="s">
        <x:v>0</x:v>
      </x:c>
      <x:c r="G186" s="5" t="s">
        <x:v>337</x:v>
      </x:c>
      <x:c r="H186" s="8">
        <x:v>7293</x:v>
      </x:c>
      <x:c r="I186" s="8">
        <x:v>970323</x:v>
      </x:c>
      <x:c r="J186" s="5" t="s">
        <x:v>428</x:v>
      </x:c>
      <x:c r="K186" s="7"/>
      <x:c r="L186" s="9">
        <x:f t="shared" si="4"/>
        <x:v>7.5160539325564782E-3</x:v>
      </x:c>
      <x:c r="M186" s="8"/>
      <x:c r="N186" s="8"/>
      <x:c r="O186" s="7"/>
      <x:c r="P186" s="9" t="str">
        <x:f t="shared" si="5"/>
      </x:c>
      <x:c r="Q186" s="10" t="s">
        <x:v>230</x:v>
      </x:c>
      <x:c r="R186" s="5" t="s">
        <x:v>429</x:v>
      </x:c>
      <x:c r="S186" s="5" t="s">
        <x:v>357</x:v>
      </x:c>
      <x:c r="T186" s="5" t="s">
        <x:v>430</x:v>
      </x:c>
      <x:c r="U186" s="151"/>
      <x:c r="V186" s="151"/>
      <x:c r="W186" s="151"/>
      <x:c r="X186" s="151"/>
      <x:c r="Y186" s="151"/>
      <x:c r="Z186" s="151"/>
    </x:row>
    <x:row r="187" ht="22" customHeight="1">
      <x:c r="A187" s="5" t="s">
        <x:v>227</x:v>
      </x:c>
      <x:c r="B187" s="5" t="s">
        <x:v>228</x:v>
      </x:c>
      <x:c r="C187" s="6">
        <x:v>45473</x:v>
      </x:c>
      <x:c r="D187" s="5">
        <x:v>2024</x:v>
      </x:c>
      <x:c r="E187" s="5" t="s">
        <x:v>454</x:v>
      </x:c>
      <x:c r="F187" s="5" t="s">
        <x:v>0</x:v>
      </x:c>
      <x:c r="G187" s="5" t="s">
        <x:v>337</x:v>
      </x:c>
      <x:c r="H187" s="8">
        <x:v>37387</x:v>
      </x:c>
      <x:c r="I187" s="8">
        <x:v>970323</x:v>
      </x:c>
      <x:c r="J187" s="5" t="s">
        <x:v>428</x:v>
      </x:c>
      <x:c r="K187" s="7"/>
      <x:c r="L187" s="9">
        <x:f t="shared" si="4"/>
        <x:v>3.8530468720209661E-2</x:v>
      </x:c>
      <x:c r="M187" s="8"/>
      <x:c r="N187" s="8"/>
      <x:c r="O187" s="7"/>
      <x:c r="P187" s="9" t="str">
        <x:f t="shared" si="5"/>
      </x:c>
      <x:c r="Q187" s="10" t="s">
        <x:v>230</x:v>
      </x:c>
      <x:c r="R187" s="5" t="s">
        <x:v>429</x:v>
      </x:c>
      <x:c r="S187" s="5" t="s">
        <x:v>357</x:v>
      </x:c>
      <x:c r="T187" s="5" t="s">
        <x:v>430</x:v>
      </x:c>
      <x:c r="U187" s="151"/>
      <x:c r="V187" s="151"/>
      <x:c r="W187" s="151"/>
      <x:c r="X187" s="151"/>
      <x:c r="Y187" s="151"/>
      <x:c r="Z187" s="151"/>
    </x:row>
    <x:row r="188" ht="22" customHeight="1">
      <x:c r="A188" s="5" t="s">
        <x:v>227</x:v>
      </x:c>
      <x:c r="B188" s="5" t="s">
        <x:v>228</x:v>
      </x:c>
      <x:c r="C188" s="6">
        <x:v>45473</x:v>
      </x:c>
      <x:c r="D188" s="5">
        <x:v>2024</x:v>
      </x:c>
      <x:c r="E188" s="5" t="s">
        <x:v>377</x:v>
      </x:c>
      <x:c r="F188" s="5" t="s">
        <x:v>0</x:v>
      </x:c>
      <x:c r="G188" s="5" t="s">
        <x:v>337</x:v>
      </x:c>
      <x:c r="H188" s="8">
        <x:v>268</x:v>
      </x:c>
      <x:c r="I188" s="8">
        <x:v>970323</x:v>
      </x:c>
      <x:c r="J188" s="5" t="s">
        <x:v>428</x:v>
      </x:c>
      <x:c r="K188" s="7"/>
      <x:c r="L188" s="9">
        <x:f t="shared" si="4"/>
        <x:v>2.7619668914371815E-4</x:v>
      </x:c>
      <x:c r="M188" s="8"/>
      <x:c r="N188" s="8"/>
      <x:c r="O188" s="7"/>
      <x:c r="P188" s="9" t="str">
        <x:f t="shared" si="5"/>
      </x:c>
      <x:c r="Q188" s="10" t="s">
        <x:v>230</x:v>
      </x:c>
      <x:c r="R188" s="5" t="s">
        <x:v>429</x:v>
      </x:c>
      <x:c r="S188" s="5" t="s">
        <x:v>357</x:v>
      </x:c>
      <x:c r="T188" s="5" t="s">
        <x:v>430</x:v>
      </x:c>
      <x:c r="U188" s="151"/>
      <x:c r="V188" s="151"/>
      <x:c r="W188" s="151"/>
      <x:c r="X188" s="151"/>
      <x:c r="Y188" s="151"/>
      <x:c r="Z188" s="151"/>
    </x:row>
    <x:row r="189" ht="22" customHeight="1">
      <x:c r="A189" s="5" t="s">
        <x:v>227</x:v>
      </x:c>
      <x:c r="B189" s="5" t="s">
        <x:v>228</x:v>
      </x:c>
      <x:c r="C189" s="6">
        <x:v>45473</x:v>
      </x:c>
      <x:c r="D189" s="5">
        <x:v>2024</x:v>
      </x:c>
      <x:c r="E189" s="5" t="s">
        <x:v>455</x:v>
      </x:c>
      <x:c r="F189" s="5" t="s">
        <x:v>0</x:v>
      </x:c>
      <x:c r="G189" s="5" t="s">
        <x:v>337</x:v>
      </x:c>
      <x:c r="H189" s="8">
        <x:v>430</x:v>
      </x:c>
      <x:c r="I189" s="8">
        <x:v>970323</x:v>
      </x:c>
      <x:c r="J189" s="5" t="s">
        <x:v>428</x:v>
      </x:c>
      <x:c r="K189" s="7"/>
      <x:c r="L189" s="9">
        <x:f t="shared" si="4"/>
        <x:v>4.4315140422312982E-4</x:v>
      </x:c>
      <x:c r="M189" s="8"/>
      <x:c r="N189" s="8"/>
      <x:c r="O189" s="7"/>
      <x:c r="P189" s="9" t="str">
        <x:f t="shared" si="5"/>
      </x:c>
      <x:c r="Q189" s="10" t="s">
        <x:v>230</x:v>
      </x:c>
      <x:c r="R189" s="5" t="s">
        <x:v>429</x:v>
      </x:c>
      <x:c r="S189" s="5" t="s">
        <x:v>357</x:v>
      </x:c>
      <x:c r="T189" s="5" t="s">
        <x:v>430</x:v>
      </x:c>
      <x:c r="U189" s="151"/>
      <x:c r="V189" s="151"/>
      <x:c r="W189" s="151"/>
      <x:c r="X189" s="151"/>
      <x:c r="Y189" s="151"/>
      <x:c r="Z189" s="151"/>
    </x:row>
    <x:row r="190" ht="22" customHeight="1">
      <x:c r="A190" s="5" t="s">
        <x:v>227</x:v>
      </x:c>
      <x:c r="B190" s="5" t="s">
        <x:v>228</x:v>
      </x:c>
      <x:c r="C190" s="6">
        <x:v>45473</x:v>
      </x:c>
      <x:c r="D190" s="5">
        <x:v>2024</x:v>
      </x:c>
      <x:c r="E190" s="5" t="s">
        <x:v>456</x:v>
      </x:c>
      <x:c r="F190" s="5" t="s">
        <x:v>0</x:v>
      </x:c>
      <x:c r="G190" s="5" t="s">
        <x:v>337</x:v>
      </x:c>
      <x:c r="H190" s="8">
        <x:v>50</x:v>
      </x:c>
      <x:c r="I190" s="8">
        <x:v>970323</x:v>
      </x:c>
      <x:c r="J190" s="5" t="s">
        <x:v>428</x:v>
      </x:c>
      <x:c r="K190" s="7"/>
      <x:c r="L190" s="9">
        <x:f t="shared" si="4"/>
        <x:v>5.152923304920114E-5</x:v>
      </x:c>
      <x:c r="M190" s="8"/>
      <x:c r="N190" s="8"/>
      <x:c r="O190" s="7"/>
      <x:c r="P190" s="9" t="str">
        <x:f t="shared" si="5"/>
      </x:c>
      <x:c r="Q190" s="10" t="s">
        <x:v>230</x:v>
      </x:c>
      <x:c r="R190" s="5" t="s">
        <x:v>429</x:v>
      </x:c>
      <x:c r="S190" s="5" t="s">
        <x:v>357</x:v>
      </x:c>
      <x:c r="T190" s="5" t="s">
        <x:v>430</x:v>
      </x:c>
      <x:c r="U190" s="151"/>
      <x:c r="V190" s="151"/>
      <x:c r="W190" s="151"/>
      <x:c r="X190" s="151"/>
      <x:c r="Y190" s="151"/>
      <x:c r="Z190" s="151"/>
    </x:row>
    <x:row r="191" ht="22" customHeight="1">
      <x:c r="A191" s="5" t="s">
        <x:v>227</x:v>
      </x:c>
      <x:c r="B191" s="5" t="s">
        <x:v>228</x:v>
      </x:c>
      <x:c r="C191" s="6">
        <x:v>45473</x:v>
      </x:c>
      <x:c r="D191" s="5">
        <x:v>2024</x:v>
      </x:c>
      <x:c r="E191" s="5" t="s">
        <x:v>457</x:v>
      </x:c>
      <x:c r="F191" s="5" t="s">
        <x:v>0</x:v>
      </x:c>
      <x:c r="G191" s="5" t="s">
        <x:v>337</x:v>
      </x:c>
      <x:c r="H191" s="8">
        <x:v>526</x:v>
      </x:c>
      <x:c r="I191" s="8">
        <x:v>970323</x:v>
      </x:c>
      <x:c r="J191" s="5" t="s">
        <x:v>428</x:v>
      </x:c>
      <x:c r="K191" s="7"/>
      <x:c r="L191" s="9">
        <x:f t="shared" si="4"/>
        <x:v>5.4208753167759606E-4</x:v>
      </x:c>
      <x:c r="M191" s="8"/>
      <x:c r="N191" s="8"/>
      <x:c r="O191" s="7"/>
      <x:c r="P191" s="9" t="str">
        <x:f t="shared" si="5"/>
      </x:c>
      <x:c r="Q191" s="10" t="s">
        <x:v>230</x:v>
      </x:c>
      <x:c r="R191" s="5" t="s">
        <x:v>429</x:v>
      </x:c>
      <x:c r="S191" s="5" t="s">
        <x:v>357</x:v>
      </x:c>
      <x:c r="T191" s="5" t="s">
        <x:v>430</x:v>
      </x:c>
      <x:c r="U191" s="151"/>
      <x:c r="V191" s="151"/>
      <x:c r="W191" s="151"/>
      <x:c r="X191" s="151"/>
      <x:c r="Y191" s="151"/>
      <x:c r="Z191" s="151"/>
    </x:row>
    <x:row r="192" ht="22" customHeight="1">
      <x:c r="A192" s="5" t="s">
        <x:v>227</x:v>
      </x:c>
      <x:c r="B192" s="5" t="s">
        <x:v>228</x:v>
      </x:c>
      <x:c r="C192" s="6">
        <x:v>45473</x:v>
      </x:c>
      <x:c r="D192" s="5">
        <x:v>2024</x:v>
      </x:c>
      <x:c r="E192" s="5" t="s">
        <x:v>417</x:v>
      </x:c>
      <x:c r="F192" s="5" t="s">
        <x:v>0</x:v>
      </x:c>
      <x:c r="G192" s="5" t="s">
        <x:v>337</x:v>
      </x:c>
      <x:c r="H192" s="8">
        <x:v>697</x:v>
      </x:c>
      <x:c r="I192" s="8">
        <x:v>970323</x:v>
      </x:c>
      <x:c r="J192" s="5" t="s">
        <x:v>428</x:v>
      </x:c>
      <x:c r="K192" s="7"/>
      <x:c r="L192" s="9">
        <x:f t="shared" si="4"/>
        <x:v>7.1831750870586389E-4</x:v>
      </x:c>
      <x:c r="M192" s="8"/>
      <x:c r="N192" s="8"/>
      <x:c r="O192" s="7"/>
      <x:c r="P192" s="9" t="str">
        <x:f t="shared" si="5"/>
      </x:c>
      <x:c r="Q192" s="10" t="s">
        <x:v>230</x:v>
      </x:c>
      <x:c r="R192" s="5" t="s">
        <x:v>429</x:v>
      </x:c>
      <x:c r="S192" s="5" t="s">
        <x:v>357</x:v>
      </x:c>
      <x:c r="T192" s="5" t="s">
        <x:v>430</x:v>
      </x:c>
      <x:c r="U192" s="151"/>
      <x:c r="V192" s="151"/>
      <x:c r="W192" s="151"/>
      <x:c r="X192" s="151"/>
      <x:c r="Y192" s="151"/>
      <x:c r="Z192" s="151"/>
    </x:row>
    <x:row r="193" ht="22" customHeight="1">
      <x:c r="A193" s="5" t="s">
        <x:v>227</x:v>
      </x:c>
      <x:c r="B193" s="5" t="s">
        <x:v>228</x:v>
      </x:c>
      <x:c r="C193" s="6">
        <x:v>45473</x:v>
      </x:c>
      <x:c r="D193" s="5">
        <x:v>2024</x:v>
      </x:c>
      <x:c r="E193" s="5" t="s">
        <x:v>458</x:v>
      </x:c>
      <x:c r="F193" s="5" t="s">
        <x:v>0</x:v>
      </x:c>
      <x:c r="G193" s="5" t="s">
        <x:v>337</x:v>
      </x:c>
      <x:c r="H193" s="8">
        <x:v>50</x:v>
      </x:c>
      <x:c r="I193" s="8">
        <x:v>970323</x:v>
      </x:c>
      <x:c r="J193" s="5" t="s">
        <x:v>428</x:v>
      </x:c>
      <x:c r="K193" s="7"/>
      <x:c r="L193" s="9">
        <x:f t="shared" si="4"/>
        <x:v>5.152923304920114E-5</x:v>
      </x:c>
      <x:c r="M193" s="8"/>
      <x:c r="N193" s="8"/>
      <x:c r="O193" s="7"/>
      <x:c r="P193" s="9" t="str">
        <x:f t="shared" si="5"/>
      </x:c>
      <x:c r="Q193" s="10" t="s">
        <x:v>230</x:v>
      </x:c>
      <x:c r="R193" s="5" t="s">
        <x:v>429</x:v>
      </x:c>
      <x:c r="S193" s="5" t="s">
        <x:v>357</x:v>
      </x:c>
      <x:c r="T193" s="5" t="s">
        <x:v>430</x:v>
      </x:c>
      <x:c r="U193" s="151"/>
      <x:c r="V193" s="151"/>
      <x:c r="W193" s="151"/>
      <x:c r="X193" s="151"/>
      <x:c r="Y193" s="151"/>
      <x:c r="Z193" s="151"/>
    </x:row>
    <x:row r="194" ht="22" customHeight="1">
      <x:c r="A194" s="5" t="s">
        <x:v>227</x:v>
      </x:c>
      <x:c r="B194" s="5" t="s">
        <x:v>228</x:v>
      </x:c>
      <x:c r="C194" s="6">
        <x:v>45473</x:v>
      </x:c>
      <x:c r="D194" s="5">
        <x:v>2024</x:v>
      </x:c>
      <x:c r="E194" s="5" t="s">
        <x:v>379</x:v>
      </x:c>
      <x:c r="F194" s="5" t="s">
        <x:v>0</x:v>
      </x:c>
      <x:c r="G194" s="5" t="s">
        <x:v>337</x:v>
      </x:c>
      <x:c r="H194" s="8">
        <x:v>1095</x:v>
      </x:c>
      <x:c r="I194" s="8">
        <x:v>970323</x:v>
      </x:c>
      <x:c r="J194" s="5" t="s">
        <x:v>428</x:v>
      </x:c>
      <x:c r="K194" s="7"/>
      <x:c r="L194" s="9">
        <x:f t="shared" si="4"/>
        <x:v>1.1284902037775051E-3</x:v>
      </x:c>
      <x:c r="M194" s="8"/>
      <x:c r="N194" s="8"/>
      <x:c r="O194" s="7"/>
      <x:c r="P194" s="9" t="str">
        <x:f t="shared" si="5"/>
      </x:c>
      <x:c r="Q194" s="10" t="s">
        <x:v>230</x:v>
      </x:c>
      <x:c r="R194" s="5" t="s">
        <x:v>429</x:v>
      </x:c>
      <x:c r="S194" s="5" t="s">
        <x:v>357</x:v>
      </x:c>
      <x:c r="T194" s="5" t="s">
        <x:v>430</x:v>
      </x:c>
      <x:c r="U194" s="151"/>
      <x:c r="V194" s="151"/>
      <x:c r="W194" s="151"/>
      <x:c r="X194" s="151"/>
      <x:c r="Y194" s="151"/>
      <x:c r="Z194" s="151"/>
    </x:row>
    <x:row r="195" ht="22" customHeight="1">
      <x:c r="A195" s="5" t="s">
        <x:v>227</x:v>
      </x:c>
      <x:c r="B195" s="5" t="s">
        <x:v>228</x:v>
      </x:c>
      <x:c r="C195" s="6">
        <x:v>45473</x:v>
      </x:c>
      <x:c r="D195" s="5">
        <x:v>2024</x:v>
      </x:c>
      <x:c r="E195" s="5" t="s">
        <x:v>380</x:v>
      </x:c>
      <x:c r="F195" s="5" t="s">
        <x:v>0</x:v>
      </x:c>
      <x:c r="G195" s="5" t="s">
        <x:v>337</x:v>
      </x:c>
      <x:c r="H195" s="8">
        <x:v>72</x:v>
      </x:c>
      <x:c r="I195" s="8">
        <x:v>970323</x:v>
      </x:c>
      <x:c r="J195" s="5" t="s">
        <x:v>428</x:v>
      </x:c>
      <x:c r="K195" s="7"/>
      <x:c r="L195" s="9">
        <x:f t="shared" si="4"/>
        <x:v>7.420209559084964E-5</x:v>
      </x:c>
      <x:c r="M195" s="8"/>
      <x:c r="N195" s="8"/>
      <x:c r="O195" s="7"/>
      <x:c r="P195" s="9" t="str">
        <x:f t="shared" si="5"/>
      </x:c>
      <x:c r="Q195" s="10" t="s">
        <x:v>230</x:v>
      </x:c>
      <x:c r="R195" s="5" t="s">
        <x:v>429</x:v>
      </x:c>
      <x:c r="S195" s="5" t="s">
        <x:v>357</x:v>
      </x:c>
      <x:c r="T195" s="5" t="s">
        <x:v>430</x:v>
      </x:c>
      <x:c r="U195" s="151"/>
      <x:c r="V195" s="151"/>
      <x:c r="W195" s="151"/>
      <x:c r="X195" s="151"/>
      <x:c r="Y195" s="151"/>
      <x:c r="Z195" s="151"/>
    </x:row>
    <x:row r="196" ht="22" customHeight="1">
      <x:c r="A196" s="5" t="s">
        <x:v>227</x:v>
      </x:c>
      <x:c r="B196" s="5" t="s">
        <x:v>228</x:v>
      </x:c>
      <x:c r="C196" s="6">
        <x:v>45473</x:v>
      </x:c>
      <x:c r="D196" s="5">
        <x:v>2024</x:v>
      </x:c>
      <x:c r="E196" s="5" t="s">
        <x:v>459</x:v>
      </x:c>
      <x:c r="F196" s="5" t="s">
        <x:v>0</x:v>
      </x:c>
      <x:c r="G196" s="5" t="s">
        <x:v>337</x:v>
      </x:c>
      <x:c r="H196" s="8">
        <x:v>136</x:v>
      </x:c>
      <x:c r="I196" s="8">
        <x:v>970323</x:v>
      </x:c>
      <x:c r="J196" s="5" t="s">
        <x:v>428</x:v>
      </x:c>
      <x:c r="K196" s="7"/>
      <x:c r="L196" s="9">
        <x:f t="shared" si="4"/>
        <x:v>1.4015951389382709E-4</x:v>
      </x:c>
      <x:c r="M196" s="8"/>
      <x:c r="N196" s="8"/>
      <x:c r="O196" s="7"/>
      <x:c r="P196" s="9" t="str">
        <x:f t="shared" si="5"/>
      </x:c>
      <x:c r="Q196" s="10" t="s">
        <x:v>230</x:v>
      </x:c>
      <x:c r="R196" s="5" t="s">
        <x:v>429</x:v>
      </x:c>
      <x:c r="S196" s="5" t="s">
        <x:v>357</x:v>
      </x:c>
      <x:c r="T196" s="5" t="s">
        <x:v>430</x:v>
      </x:c>
      <x:c r="U196" s="151"/>
      <x:c r="V196" s="151"/>
      <x:c r="W196" s="151"/>
      <x:c r="X196" s="151"/>
      <x:c r="Y196" s="151"/>
      <x:c r="Z196" s="151"/>
    </x:row>
    <x:row r="197" ht="22" customHeight="1">
      <x:c r="A197" s="5" t="s">
        <x:v>227</x:v>
      </x:c>
      <x:c r="B197" s="5" t="s">
        <x:v>228</x:v>
      </x:c>
      <x:c r="C197" s="6">
        <x:v>45473</x:v>
      </x:c>
      <x:c r="D197" s="5">
        <x:v>2024</x:v>
      </x:c>
      <x:c r="E197" s="5" t="s">
        <x:v>383</x:v>
      </x:c>
      <x:c r="F197" s="5" t="s">
        <x:v>0</x:v>
      </x:c>
      <x:c r="G197" s="5" t="s">
        <x:v>337</x:v>
      </x:c>
      <x:c r="H197" s="8">
        <x:v>411</x:v>
      </x:c>
      <x:c r="I197" s="8">
        <x:v>970323</x:v>
      </x:c>
      <x:c r="J197" s="5" t="s">
        <x:v>428</x:v>
      </x:c>
      <x:c r="K197" s="7"/>
      <x:c r="L197" s="9">
        <x:f t="shared" si="4"/>
        <x:v>4.2357029566443338E-4</x:v>
      </x:c>
      <x:c r="M197" s="8"/>
      <x:c r="N197" s="8"/>
      <x:c r="O197" s="7"/>
      <x:c r="P197" s="9" t="str">
        <x:f t="shared" si="5"/>
      </x:c>
      <x:c r="Q197" s="10" t="s">
        <x:v>230</x:v>
      </x:c>
      <x:c r="R197" s="5" t="s">
        <x:v>429</x:v>
      </x:c>
      <x:c r="S197" s="5" t="s">
        <x:v>357</x:v>
      </x:c>
      <x:c r="T197" s="5" t="s">
        <x:v>430</x:v>
      </x:c>
      <x:c r="U197" s="151"/>
      <x:c r="V197" s="151"/>
      <x:c r="W197" s="151"/>
      <x:c r="X197" s="151"/>
      <x:c r="Y197" s="151"/>
      <x:c r="Z197" s="151"/>
    </x:row>
    <x:row r="198" ht="22" customHeight="1">
      <x:c r="A198" s="5" t="s">
        <x:v>227</x:v>
      </x:c>
      <x:c r="B198" s="5" t="s">
        <x:v>228</x:v>
      </x:c>
      <x:c r="C198" s="6">
        <x:v>45473</x:v>
      </x:c>
      <x:c r="D198" s="5">
        <x:v>2024</x:v>
      </x:c>
      <x:c r="E198" s="5" t="s">
        <x:v>460</x:v>
      </x:c>
      <x:c r="F198" s="5" t="s">
        <x:v>0</x:v>
      </x:c>
      <x:c r="G198" s="5" t="s">
        <x:v>337</x:v>
      </x:c>
      <x:c r="H198" s="8">
        <x:v>50</x:v>
      </x:c>
      <x:c r="I198" s="8">
        <x:v>970323</x:v>
      </x:c>
      <x:c r="J198" s="5" t="s">
        <x:v>428</x:v>
      </x:c>
      <x:c r="K198" s="7"/>
      <x:c r="L198" s="9" t="n">
        <x:f t="shared" ref="L198:L261" si="6">IF(AND(H198&lt;&gt;"",I198&lt;&gt;""),H198/I198,IF(K198&lt;&gt;"",K198,""))</x:f>
        <x:v>0.00005152923304920114</x:v>
      </x:c>
      <x:c r="M198" s="8"/>
      <x:c r="N198" s="8"/>
      <x:c r="O198" s="7"/>
      <x:c r="P198" s="9" t="str">
        <x:f t="shared" ref="P198:P261" si="7">IF(AND(M198&lt;&gt;"",N198&lt;&gt;""),M198/N198,IF(O198&lt;&gt;"",O198,""))</x:f>
      </x:c>
      <x:c r="Q198" s="10" t="s">
        <x:v>230</x:v>
      </x:c>
      <x:c r="R198" s="5" t="s">
        <x:v>429</x:v>
      </x:c>
      <x:c r="S198" s="5" t="s">
        <x:v>357</x:v>
      </x:c>
      <x:c r="T198" s="5" t="s">
        <x:v>430</x:v>
      </x:c>
      <x:c r="U198" s="151"/>
      <x:c r="V198" s="151"/>
      <x:c r="W198" s="151"/>
      <x:c r="X198" s="151"/>
      <x:c r="Y198" s="151"/>
      <x:c r="Z198" s="151"/>
    </x:row>
    <x:row r="199" ht="22" customHeight="1">
      <x:c r="A199" s="5" t="s">
        <x:v>227</x:v>
      </x:c>
      <x:c r="B199" s="5" t="s">
        <x:v>228</x:v>
      </x:c>
      <x:c r="C199" s="6">
        <x:v>45473</x:v>
      </x:c>
      <x:c r="D199" s="5">
        <x:v>2024</x:v>
      </x:c>
      <x:c r="E199" s="5" t="s">
        <x:v>384</x:v>
      </x:c>
      <x:c r="F199" s="5" t="s">
        <x:v>0</x:v>
      </x:c>
      <x:c r="G199" s="5" t="s">
        <x:v>337</x:v>
      </x:c>
      <x:c r="H199" s="8">
        <x:v>2645</x:v>
      </x:c>
      <x:c r="I199" s="8">
        <x:v>970323</x:v>
      </x:c>
      <x:c r="J199" s="5" t="s">
        <x:v>428</x:v>
      </x:c>
      <x:c r="K199" s="7"/>
      <x:c r="L199" s="9">
        <x:f t="shared" si="6"/>
        <x:v>2.7258964283027403E-3</x:v>
      </x:c>
      <x:c r="M199" s="8"/>
      <x:c r="N199" s="8"/>
      <x:c r="O199" s="7"/>
      <x:c r="P199" s="9" t="str">
        <x:f t="shared" si="7"/>
      </x:c>
      <x:c r="Q199" s="10" t="s">
        <x:v>230</x:v>
      </x:c>
      <x:c r="R199" s="5" t="s">
        <x:v>429</x:v>
      </x:c>
      <x:c r="S199" s="5" t="s">
        <x:v>357</x:v>
      </x:c>
      <x:c r="T199" s="5" t="s">
        <x:v>430</x:v>
      </x:c>
      <x:c r="U199" s="151"/>
      <x:c r="V199" s="151"/>
      <x:c r="W199" s="151"/>
      <x:c r="X199" s="151"/>
      <x:c r="Y199" s="151"/>
      <x:c r="Z199" s="151"/>
    </x:row>
    <x:row r="200" ht="22" customHeight="1">
      <x:c r="A200" s="5" t="s">
        <x:v>227</x:v>
      </x:c>
      <x:c r="B200" s="5" t="s">
        <x:v>228</x:v>
      </x:c>
      <x:c r="C200" s="6">
        <x:v>45473</x:v>
      </x:c>
      <x:c r="D200" s="5">
        <x:v>2024</x:v>
      </x:c>
      <x:c r="E200" s="5" t="s">
        <x:v>386</x:v>
      </x:c>
      <x:c r="F200" s="5" t="s">
        <x:v>0</x:v>
      </x:c>
      <x:c r="G200" s="5" t="s">
        <x:v>337</x:v>
      </x:c>
      <x:c r="H200" s="8">
        <x:v>809</x:v>
      </x:c>
      <x:c r="I200" s="8">
        <x:v>970323</x:v>
      </x:c>
      <x:c r="J200" s="5" t="s">
        <x:v>428</x:v>
      </x:c>
      <x:c r="K200" s="7"/>
      <x:c r="L200" s="9">
        <x:f t="shared" si="6"/>
        <x:v>8.3374299073607451E-4</x:v>
      </x:c>
      <x:c r="M200" s="8"/>
      <x:c r="N200" s="8"/>
      <x:c r="O200" s="7"/>
      <x:c r="P200" s="9" t="str">
        <x:f t="shared" si="7"/>
      </x:c>
      <x:c r="Q200" s="10" t="s">
        <x:v>230</x:v>
      </x:c>
      <x:c r="R200" s="5" t="s">
        <x:v>429</x:v>
      </x:c>
      <x:c r="S200" s="5" t="s">
        <x:v>357</x:v>
      </x:c>
      <x:c r="T200" s="5" t="s">
        <x:v>430</x:v>
      </x:c>
      <x:c r="U200" s="151"/>
      <x:c r="V200" s="151"/>
      <x:c r="W200" s="151"/>
      <x:c r="X200" s="151"/>
      <x:c r="Y200" s="151"/>
      <x:c r="Z200" s="151"/>
    </x:row>
    <x:row r="201" ht="22" customHeight="1">
      <x:c r="A201" s="5" t="s">
        <x:v>227</x:v>
      </x:c>
      <x:c r="B201" s="5" t="s">
        <x:v>228</x:v>
      </x:c>
      <x:c r="C201" s="6">
        <x:v>45473</x:v>
      </x:c>
      <x:c r="D201" s="5">
        <x:v>2024</x:v>
      </x:c>
      <x:c r="E201" s="5" t="s">
        <x:v>418</x:v>
      </x:c>
      <x:c r="F201" s="5" t="s">
        <x:v>0</x:v>
      </x:c>
      <x:c r="G201" s="5" t="s">
        <x:v>337</x:v>
      </x:c>
      <x:c r="H201" s="8">
        <x:v>10313</x:v>
      </x:c>
      <x:c r="I201" s="8">
        <x:v>970323</x:v>
      </x:c>
      <x:c r="J201" s="5" t="s">
        <x:v>428</x:v>
      </x:c>
      <x:c r="K201" s="7"/>
      <x:c r="L201" s="9">
        <x:f t="shared" si="6"/>
        <x:v>1.0628419608728228E-2</x:v>
      </x:c>
      <x:c r="M201" s="8"/>
      <x:c r="N201" s="8"/>
      <x:c r="O201" s="7"/>
      <x:c r="P201" s="9" t="str">
        <x:f t="shared" si="7"/>
      </x:c>
      <x:c r="Q201" s="10" t="s">
        <x:v>230</x:v>
      </x:c>
      <x:c r="R201" s="5" t="s">
        <x:v>429</x:v>
      </x:c>
      <x:c r="S201" s="5" t="s">
        <x:v>357</x:v>
      </x:c>
      <x:c r="T201" s="5" t="s">
        <x:v>430</x:v>
      </x:c>
      <x:c r="U201" s="151"/>
      <x:c r="V201" s="151"/>
      <x:c r="W201" s="151"/>
      <x:c r="X201" s="151"/>
      <x:c r="Y201" s="151"/>
      <x:c r="Z201" s="151"/>
    </x:row>
    <x:row r="202" ht="22" customHeight="1">
      <x:c r="A202" s="5" t="s">
        <x:v>227</x:v>
      </x:c>
      <x:c r="B202" s="5" t="s">
        <x:v>228</x:v>
      </x:c>
      <x:c r="C202" s="6">
        <x:v>45473</x:v>
      </x:c>
      <x:c r="D202" s="5">
        <x:v>2024</x:v>
      </x:c>
      <x:c r="E202" s="5" t="s">
        <x:v>387</x:v>
      </x:c>
      <x:c r="F202" s="5" t="s">
        <x:v>0</x:v>
      </x:c>
      <x:c r="G202" s="5" t="s">
        <x:v>337</x:v>
      </x:c>
      <x:c r="H202" s="8">
        <x:v>4615</x:v>
      </x:c>
      <x:c r="I202" s="8">
        <x:v>970323</x:v>
      </x:c>
      <x:c r="J202" s="5" t="s">
        <x:v>428</x:v>
      </x:c>
      <x:c r="K202" s="7"/>
      <x:c r="L202" s="9">
        <x:f t="shared" si="6"/>
        <x:v>4.7561482104412651E-3</x:v>
      </x:c>
      <x:c r="M202" s="8"/>
      <x:c r="N202" s="8"/>
      <x:c r="O202" s="7"/>
      <x:c r="P202" s="9" t="str">
        <x:f t="shared" si="7"/>
      </x:c>
      <x:c r="Q202" s="10" t="s">
        <x:v>230</x:v>
      </x:c>
      <x:c r="R202" s="5" t="s">
        <x:v>429</x:v>
      </x:c>
      <x:c r="S202" s="5" t="s">
        <x:v>357</x:v>
      </x:c>
      <x:c r="T202" s="5" t="s">
        <x:v>430</x:v>
      </x:c>
      <x:c r="U202" s="151"/>
      <x:c r="V202" s="151"/>
      <x:c r="W202" s="151"/>
      <x:c r="X202" s="151"/>
      <x:c r="Y202" s="151"/>
      <x:c r="Z202" s="151"/>
    </x:row>
    <x:row r="203" ht="22" customHeight="1">
      <x:c r="A203" s="5" t="s">
        <x:v>227</x:v>
      </x:c>
      <x:c r="B203" s="5" t="s">
        <x:v>228</x:v>
      </x:c>
      <x:c r="C203" s="6">
        <x:v>45473</x:v>
      </x:c>
      <x:c r="D203" s="5">
        <x:v>2024</x:v>
      </x:c>
      <x:c r="E203" s="5" t="s">
        <x:v>419</x:v>
      </x:c>
      <x:c r="F203" s="5" t="s">
        <x:v>0</x:v>
      </x:c>
      <x:c r="G203" s="5" t="s">
        <x:v>337</x:v>
      </x:c>
      <x:c r="H203" s="8">
        <x:v>5506</x:v>
      </x:c>
      <x:c r="I203" s="8">
        <x:v>970323</x:v>
      </x:c>
      <x:c r="J203" s="5" t="s">
        <x:v>428</x:v>
      </x:c>
      <x:c r="K203" s="7"/>
      <x:c r="L203" s="9">
        <x:f t="shared" si="6"/>
        <x:v>5.67439914337803E-3</x:v>
      </x:c>
      <x:c r="M203" s="8"/>
      <x:c r="N203" s="8"/>
      <x:c r="O203" s="7"/>
      <x:c r="P203" s="9" t="str">
        <x:f t="shared" si="7"/>
      </x:c>
      <x:c r="Q203" s="10" t="s">
        <x:v>230</x:v>
      </x:c>
      <x:c r="R203" s="5" t="s">
        <x:v>429</x:v>
      </x:c>
      <x:c r="S203" s="5" t="s">
        <x:v>357</x:v>
      </x:c>
      <x:c r="T203" s="5" t="s">
        <x:v>430</x:v>
      </x:c>
      <x:c r="U203" s="151"/>
      <x:c r="V203" s="151"/>
      <x:c r="W203" s="151"/>
      <x:c r="X203" s="151"/>
      <x:c r="Y203" s="151"/>
      <x:c r="Z203" s="151"/>
    </x:row>
    <x:row r="204" ht="22" customHeight="1">
      <x:c r="A204" s="5" t="s">
        <x:v>227</x:v>
      </x:c>
      <x:c r="B204" s="5" t="s">
        <x:v>228</x:v>
      </x:c>
      <x:c r="C204" s="6">
        <x:v>45473</x:v>
      </x:c>
      <x:c r="D204" s="5">
        <x:v>2024</x:v>
      </x:c>
      <x:c r="E204" s="5" t="s">
        <x:v>461</x:v>
      </x:c>
      <x:c r="F204" s="5" t="s">
        <x:v>0</x:v>
      </x:c>
      <x:c r="G204" s="5" t="s">
        <x:v>337</x:v>
      </x:c>
      <x:c r="H204" s="8">
        <x:v>2592</x:v>
      </x:c>
      <x:c r="I204" s="8">
        <x:v>970323</x:v>
      </x:c>
      <x:c r="J204" s="5" t="s">
        <x:v>428</x:v>
      </x:c>
      <x:c r="K204" s="7"/>
      <x:c r="L204" s="9">
        <x:f t="shared" si="6"/>
        <x:v>2.6712754412705872E-3</x:v>
      </x:c>
      <x:c r="M204" s="8"/>
      <x:c r="N204" s="8"/>
      <x:c r="O204" s="7"/>
      <x:c r="P204" s="9" t="str">
        <x:f t="shared" si="7"/>
      </x:c>
      <x:c r="Q204" s="10" t="s">
        <x:v>230</x:v>
      </x:c>
      <x:c r="R204" s="5" t="s">
        <x:v>429</x:v>
      </x:c>
      <x:c r="S204" s="5" t="s">
        <x:v>357</x:v>
      </x:c>
      <x:c r="T204" s="5" t="s">
        <x:v>430</x:v>
      </x:c>
      <x:c r="U204" s="151"/>
      <x:c r="V204" s="151"/>
      <x:c r="W204" s="151"/>
      <x:c r="X204" s="151"/>
      <x:c r="Y204" s="151"/>
      <x:c r="Z204" s="151"/>
    </x:row>
    <x:row r="205" ht="22" customHeight="1">
      <x:c r="A205" s="5" t="s">
        <x:v>227</x:v>
      </x:c>
      <x:c r="B205" s="5" t="s">
        <x:v>228</x:v>
      </x:c>
      <x:c r="C205" s="6">
        <x:v>45473</x:v>
      </x:c>
      <x:c r="D205" s="5">
        <x:v>2024</x:v>
      </x:c>
      <x:c r="E205" s="5" t="s">
        <x:v>389</x:v>
      </x:c>
      <x:c r="F205" s="5" t="s">
        <x:v>0</x:v>
      </x:c>
      <x:c r="G205" s="5" t="s">
        <x:v>337</x:v>
      </x:c>
      <x:c r="H205" s="8">
        <x:v>10341</x:v>
      </x:c>
      <x:c r="I205" s="8">
        <x:v>970323</x:v>
      </x:c>
      <x:c r="J205" s="5" t="s">
        <x:v>428</x:v>
      </x:c>
      <x:c r="K205" s="7"/>
      <x:c r="L205" s="9">
        <x:f t="shared" si="6"/>
        <x:v>1.065727597923578E-2</x:v>
      </x:c>
      <x:c r="M205" s="8"/>
      <x:c r="N205" s="8"/>
      <x:c r="O205" s="7"/>
      <x:c r="P205" s="9" t="str">
        <x:f t="shared" si="7"/>
      </x:c>
      <x:c r="Q205" s="10" t="s">
        <x:v>230</x:v>
      </x:c>
      <x:c r="R205" s="5" t="s">
        <x:v>429</x:v>
      </x:c>
      <x:c r="S205" s="5" t="s">
        <x:v>357</x:v>
      </x:c>
      <x:c r="T205" s="5" t="s">
        <x:v>430</x:v>
      </x:c>
      <x:c r="U205" s="151"/>
      <x:c r="V205" s="151"/>
      <x:c r="W205" s="151"/>
      <x:c r="X205" s="151"/>
      <x:c r="Y205" s="151"/>
      <x:c r="Z205" s="151"/>
    </x:row>
    <x:row r="206" ht="22" customHeight="1">
      <x:c r="A206" s="5" t="s">
        <x:v>227</x:v>
      </x:c>
      <x:c r="B206" s="5" t="s">
        <x:v>228</x:v>
      </x:c>
      <x:c r="C206" s="6">
        <x:v>45473</x:v>
      </x:c>
      <x:c r="D206" s="5">
        <x:v>2024</x:v>
      </x:c>
      <x:c r="E206" s="5" t="s">
        <x:v>391</x:v>
      </x:c>
      <x:c r="F206" s="5" t="s">
        <x:v>0</x:v>
      </x:c>
      <x:c r="G206" s="5" t="s">
        <x:v>337</x:v>
      </x:c>
      <x:c r="H206" s="8">
        <x:v>50</x:v>
      </x:c>
      <x:c r="I206" s="8">
        <x:v>970323</x:v>
      </x:c>
      <x:c r="J206" s="5" t="s">
        <x:v>428</x:v>
      </x:c>
      <x:c r="K206" s="7"/>
      <x:c r="L206" s="9">
        <x:f t="shared" si="6"/>
        <x:v>5.152923304920114E-5</x:v>
      </x:c>
      <x:c r="M206" s="8"/>
      <x:c r="N206" s="8"/>
      <x:c r="O206" s="7"/>
      <x:c r="P206" s="9" t="str">
        <x:f t="shared" si="7"/>
      </x:c>
      <x:c r="Q206" s="10" t="s">
        <x:v>230</x:v>
      </x:c>
      <x:c r="R206" s="5" t="s">
        <x:v>429</x:v>
      </x:c>
      <x:c r="S206" s="5" t="s">
        <x:v>357</x:v>
      </x:c>
      <x:c r="T206" s="5" t="s">
        <x:v>430</x:v>
      </x:c>
      <x:c r="U206" s="151"/>
      <x:c r="V206" s="151"/>
      <x:c r="W206" s="151"/>
      <x:c r="X206" s="151"/>
      <x:c r="Y206" s="151"/>
      <x:c r="Z206" s="151"/>
    </x:row>
    <x:row r="207" ht="22" customHeight="1">
      <x:c r="A207" s="5" t="s">
        <x:v>227</x:v>
      </x:c>
      <x:c r="B207" s="5" t="s">
        <x:v>228</x:v>
      </x:c>
      <x:c r="C207" s="6">
        <x:v>45473</x:v>
      </x:c>
      <x:c r="D207" s="5">
        <x:v>2024</x:v>
      </x:c>
      <x:c r="E207" s="5" t="s">
        <x:v>462</x:v>
      </x:c>
      <x:c r="F207" s="5" t="s">
        <x:v>0</x:v>
      </x:c>
      <x:c r="G207" s="5" t="s">
        <x:v>337</x:v>
      </x:c>
      <x:c r="H207" s="8">
        <x:v>1546</x:v>
      </x:c>
      <x:c r="I207" s="8">
        <x:v>970323</x:v>
      </x:c>
      <x:c r="J207" s="5" t="s">
        <x:v>428</x:v>
      </x:c>
      <x:c r="K207" s="7"/>
      <x:c r="L207" s="9">
        <x:f t="shared" si="6"/>
        <x:v>1.5932838858812993E-3</x:v>
      </x:c>
      <x:c r="M207" s="8"/>
      <x:c r="N207" s="8"/>
      <x:c r="O207" s="7"/>
      <x:c r="P207" s="9" t="str">
        <x:f t="shared" si="7"/>
      </x:c>
      <x:c r="Q207" s="10" t="s">
        <x:v>230</x:v>
      </x:c>
      <x:c r="R207" s="5" t="s">
        <x:v>429</x:v>
      </x:c>
      <x:c r="S207" s="5" t="s">
        <x:v>357</x:v>
      </x:c>
      <x:c r="T207" s="5" t="s">
        <x:v>430</x:v>
      </x:c>
      <x:c r="U207" s="151"/>
      <x:c r="V207" s="151"/>
      <x:c r="W207" s="151"/>
      <x:c r="X207" s="151"/>
      <x:c r="Y207" s="151"/>
      <x:c r="Z207" s="151"/>
    </x:row>
    <x:row r="208" ht="22" customHeight="1">
      <x:c r="A208" s="5" t="s">
        <x:v>227</x:v>
      </x:c>
      <x:c r="B208" s="5" t="s">
        <x:v>228</x:v>
      </x:c>
      <x:c r="C208" s="6">
        <x:v>45473</x:v>
      </x:c>
      <x:c r="D208" s="5">
        <x:v>2024</x:v>
      </x:c>
      <x:c r="E208" s="5" t="s">
        <x:v>392</x:v>
      </x:c>
      <x:c r="F208" s="5" t="s">
        <x:v>0</x:v>
      </x:c>
      <x:c r="G208" s="5" t="s">
        <x:v>337</x:v>
      </x:c>
      <x:c r="H208" s="8">
        <x:v>9791</x:v>
      </x:c>
      <x:c r="I208" s="8">
        <x:v>970323</x:v>
      </x:c>
      <x:c r="J208" s="5" t="s">
        <x:v>428</x:v>
      </x:c>
      <x:c r="K208" s="7"/>
      <x:c r="L208" s="9">
        <x:f t="shared" si="6"/>
        <x:v>1.0090454415694568E-2</x:v>
      </x:c>
      <x:c r="M208" s="8"/>
      <x:c r="N208" s="8"/>
      <x:c r="O208" s="7"/>
      <x:c r="P208" s="9" t="str">
        <x:f t="shared" si="7"/>
      </x:c>
      <x:c r="Q208" s="10" t="s">
        <x:v>230</x:v>
      </x:c>
      <x:c r="R208" s="5" t="s">
        <x:v>429</x:v>
      </x:c>
      <x:c r="S208" s="5" t="s">
        <x:v>357</x:v>
      </x:c>
      <x:c r="T208" s="5" t="s">
        <x:v>430</x:v>
      </x:c>
      <x:c r="U208" s="151"/>
      <x:c r="V208" s="151"/>
      <x:c r="W208" s="151"/>
      <x:c r="X208" s="151"/>
      <x:c r="Y208" s="151"/>
      <x:c r="Z208" s="151"/>
    </x:row>
    <x:row r="209" ht="22" customHeight="1">
      <x:c r="A209" s="5" t="s">
        <x:v>227</x:v>
      </x:c>
      <x:c r="B209" s="5" t="s">
        <x:v>228</x:v>
      </x:c>
      <x:c r="C209" s="6">
        <x:v>45473</x:v>
      </x:c>
      <x:c r="D209" s="5">
        <x:v>2024</x:v>
      </x:c>
      <x:c r="E209" s="5" t="s">
        <x:v>463</x:v>
      </x:c>
      <x:c r="F209" s="5" t="s">
        <x:v>0</x:v>
      </x:c>
      <x:c r="G209" s="5" t="s">
        <x:v>337</x:v>
      </x:c>
      <x:c r="H209" s="8">
        <x:v>8318</x:v>
      </x:c>
      <x:c r="I209" s="8">
        <x:v>970323</x:v>
      </x:c>
      <x:c r="J209" s="5" t="s">
        <x:v>428</x:v>
      </x:c>
      <x:c r="K209" s="7"/>
      <x:c r="L209" s="9">
        <x:f t="shared" si="6"/>
        <x:v>8.5724032100651017E-3</x:v>
      </x:c>
      <x:c r="M209" s="8"/>
      <x:c r="N209" s="8"/>
      <x:c r="O209" s="7"/>
      <x:c r="P209" s="9" t="str">
        <x:f t="shared" si="7"/>
      </x:c>
      <x:c r="Q209" s="10" t="s">
        <x:v>230</x:v>
      </x:c>
      <x:c r="R209" s="5" t="s">
        <x:v>429</x:v>
      </x:c>
      <x:c r="S209" s="5" t="s">
        <x:v>357</x:v>
      </x:c>
      <x:c r="T209" s="5" t="s">
        <x:v>430</x:v>
      </x:c>
      <x:c r="U209" s="151"/>
      <x:c r="V209" s="151"/>
      <x:c r="W209" s="151"/>
      <x:c r="X209" s="151"/>
      <x:c r="Y209" s="151"/>
      <x:c r="Z209" s="151"/>
    </x:row>
    <x:row r="210" ht="22" customHeight="1">
      <x:c r="A210" s="5" t="s">
        <x:v>227</x:v>
      </x:c>
      <x:c r="B210" s="5" t="s">
        <x:v>228</x:v>
      </x:c>
      <x:c r="C210" s="6">
        <x:v>45473</x:v>
      </x:c>
      <x:c r="D210" s="5">
        <x:v>2024</x:v>
      </x:c>
      <x:c r="E210" s="5" t="s">
        <x:v>420</x:v>
      </x:c>
      <x:c r="F210" s="5" t="s">
        <x:v>0</x:v>
      </x:c>
      <x:c r="G210" s="5" t="s">
        <x:v>337</x:v>
      </x:c>
      <x:c r="H210" s="8">
        <x:v>650</x:v>
      </x:c>
      <x:c r="I210" s="8">
        <x:v>970323</x:v>
      </x:c>
      <x:c r="J210" s="5" t="s">
        <x:v>428</x:v>
      </x:c>
      <x:c r="K210" s="7"/>
      <x:c r="L210" s="9">
        <x:f t="shared" si="6"/>
        <x:v>6.6988002963961485E-4</x:v>
      </x:c>
      <x:c r="M210" s="8"/>
      <x:c r="N210" s="8"/>
      <x:c r="O210" s="7"/>
      <x:c r="P210" s="9" t="str">
        <x:f t="shared" si="7"/>
      </x:c>
      <x:c r="Q210" s="10" t="s">
        <x:v>230</x:v>
      </x:c>
      <x:c r="R210" s="5" t="s">
        <x:v>429</x:v>
      </x:c>
      <x:c r="S210" s="5" t="s">
        <x:v>357</x:v>
      </x:c>
      <x:c r="T210" s="5" t="s">
        <x:v>430</x:v>
      </x:c>
      <x:c r="U210" s="151"/>
      <x:c r="V210" s="151"/>
      <x:c r="W210" s="151"/>
      <x:c r="X210" s="151"/>
      <x:c r="Y210" s="151"/>
      <x:c r="Z210" s="151"/>
    </x:row>
    <x:row r="211" ht="22" customHeight="1">
      <x:c r="A211" s="5" t="s">
        <x:v>227</x:v>
      </x:c>
      <x:c r="B211" s="5" t="s">
        <x:v>228</x:v>
      </x:c>
      <x:c r="C211" s="6">
        <x:v>45473</x:v>
      </x:c>
      <x:c r="D211" s="5">
        <x:v>2024</x:v>
      </x:c>
      <x:c r="E211" s="5" t="s">
        <x:v>464</x:v>
      </x:c>
      <x:c r="F211" s="5" t="s">
        <x:v>0</x:v>
      </x:c>
      <x:c r="G211" s="5" t="s">
        <x:v>337</x:v>
      </x:c>
      <x:c r="H211" s="8">
        <x:v>6044</x:v>
      </x:c>
      <x:c r="I211" s="8">
        <x:v>970323</x:v>
      </x:c>
      <x:c r="J211" s="5" t="s">
        <x:v>428</x:v>
      </x:c>
      <x:c r="K211" s="7"/>
      <x:c r="L211" s="9">
        <x:f t="shared" si="6"/>
        <x:v>6.2288536909874343E-3</x:v>
      </x:c>
      <x:c r="M211" s="8"/>
      <x:c r="N211" s="8"/>
      <x:c r="O211" s="7"/>
      <x:c r="P211" s="9" t="str">
        <x:f t="shared" si="7"/>
      </x:c>
      <x:c r="Q211" s="10" t="s">
        <x:v>230</x:v>
      </x:c>
      <x:c r="R211" s="5" t="s">
        <x:v>429</x:v>
      </x:c>
      <x:c r="S211" s="5" t="s">
        <x:v>357</x:v>
      </x:c>
      <x:c r="T211" s="5" t="s">
        <x:v>430</x:v>
      </x:c>
      <x:c r="U211" s="151"/>
      <x:c r="V211" s="151"/>
      <x:c r="W211" s="151"/>
      <x:c r="X211" s="151"/>
      <x:c r="Y211" s="151"/>
      <x:c r="Z211" s="151"/>
    </x:row>
    <x:row r="212" ht="22" customHeight="1">
      <x:c r="A212" s="5" t="s">
        <x:v>227</x:v>
      </x:c>
      <x:c r="B212" s="5" t="s">
        <x:v>228</x:v>
      </x:c>
      <x:c r="C212" s="6">
        <x:v>45473</x:v>
      </x:c>
      <x:c r="D212" s="5">
        <x:v>2024</x:v>
      </x:c>
      <x:c r="E212" s="5" t="s">
        <x:v>465</x:v>
      </x:c>
      <x:c r="F212" s="5" t="s">
        <x:v>0</x:v>
      </x:c>
      <x:c r="G212" s="5" t="s">
        <x:v>337</x:v>
      </x:c>
      <x:c r="H212" s="8">
        <x:v>1530</x:v>
      </x:c>
      <x:c r="I212" s="8">
        <x:v>970323</x:v>
      </x:c>
      <x:c r="J212" s="5" t="s">
        <x:v>428</x:v>
      </x:c>
      <x:c r="K212" s="7"/>
      <x:c r="L212" s="9">
        <x:f t="shared" si="6"/>
        <x:v>1.576794531305555E-3</x:v>
      </x:c>
      <x:c r="M212" s="8"/>
      <x:c r="N212" s="8"/>
      <x:c r="O212" s="7"/>
      <x:c r="P212" s="9" t="str">
        <x:f t="shared" si="7"/>
      </x:c>
      <x:c r="Q212" s="10" t="s">
        <x:v>230</x:v>
      </x:c>
      <x:c r="R212" s="5" t="s">
        <x:v>429</x:v>
      </x:c>
      <x:c r="S212" s="5" t="s">
        <x:v>357</x:v>
      </x:c>
      <x:c r="T212" s="5" t="s">
        <x:v>430</x:v>
      </x:c>
      <x:c r="U212" s="151"/>
      <x:c r="V212" s="151"/>
      <x:c r="W212" s="151"/>
      <x:c r="X212" s="151"/>
      <x:c r="Y212" s="151"/>
      <x:c r="Z212" s="151"/>
    </x:row>
    <x:row r="213" ht="22" customHeight="1">
      <x:c r="A213" s="5" t="s">
        <x:v>227</x:v>
      </x:c>
      <x:c r="B213" s="5" t="s">
        <x:v>228</x:v>
      </x:c>
      <x:c r="C213" s="6">
        <x:v>45473</x:v>
      </x:c>
      <x:c r="D213" s="5">
        <x:v>2024</x:v>
      </x:c>
      <x:c r="E213" s="5" t="s">
        <x:v>466</x:v>
      </x:c>
      <x:c r="F213" s="5" t="s">
        <x:v>0</x:v>
      </x:c>
      <x:c r="G213" s="5" t="s">
        <x:v>337</x:v>
      </x:c>
      <x:c r="H213" s="8">
        <x:v>65362</x:v>
      </x:c>
      <x:c r="I213" s="8">
        <x:v>970323</x:v>
      </x:c>
      <x:c r="J213" s="5" t="s">
        <x:v>428</x:v>
      </x:c>
      <x:c r="K213" s="7"/>
      <x:c r="L213" s="9">
        <x:f t="shared" si="6"/>
        <x:v>6.7361074611237706E-2</x:v>
      </x:c>
      <x:c r="M213" s="8"/>
      <x:c r="N213" s="8"/>
      <x:c r="O213" s="7"/>
      <x:c r="P213" s="9" t="str">
        <x:f t="shared" si="7"/>
      </x:c>
      <x:c r="Q213" s="10" t="s">
        <x:v>230</x:v>
      </x:c>
      <x:c r="R213" s="5" t="s">
        <x:v>429</x:v>
      </x:c>
      <x:c r="S213" s="5" t="s">
        <x:v>357</x:v>
      </x:c>
      <x:c r="T213" s="5" t="s">
        <x:v>430</x:v>
      </x:c>
      <x:c r="U213" s="151"/>
      <x:c r="V213" s="151"/>
      <x:c r="W213" s="151"/>
      <x:c r="X213" s="151"/>
      <x:c r="Y213" s="151"/>
      <x:c r="Z213" s="151"/>
    </x:row>
    <x:row r="214" ht="22" customHeight="1">
      <x:c r="A214" s="5" t="s">
        <x:v>227</x:v>
      </x:c>
      <x:c r="B214" s="5" t="s">
        <x:v>228</x:v>
      </x:c>
      <x:c r="C214" s="6">
        <x:v>45473</x:v>
      </x:c>
      <x:c r="D214" s="5">
        <x:v>2024</x:v>
      </x:c>
      <x:c r="E214" s="5" t="s">
        <x:v>467</x:v>
      </x:c>
      <x:c r="F214" s="5" t="s">
        <x:v>0</x:v>
      </x:c>
      <x:c r="G214" s="5" t="s">
        <x:v>337</x:v>
      </x:c>
      <x:c r="H214" s="8">
        <x:v>50</x:v>
      </x:c>
      <x:c r="I214" s="8">
        <x:v>970323</x:v>
      </x:c>
      <x:c r="J214" s="5" t="s">
        <x:v>428</x:v>
      </x:c>
      <x:c r="K214" s="7"/>
      <x:c r="L214" s="9">
        <x:f t="shared" si="6"/>
        <x:v>5.152923304920114E-5</x:v>
      </x:c>
      <x:c r="M214" s="8"/>
      <x:c r="N214" s="8"/>
      <x:c r="O214" s="7"/>
      <x:c r="P214" s="9" t="str">
        <x:f t="shared" si="7"/>
      </x:c>
      <x:c r="Q214" s="10" t="s">
        <x:v>230</x:v>
      </x:c>
      <x:c r="R214" s="5" t="s">
        <x:v>429</x:v>
      </x:c>
      <x:c r="S214" s="5" t="s">
        <x:v>357</x:v>
      </x:c>
      <x:c r="T214" s="5" t="s">
        <x:v>430</x:v>
      </x:c>
      <x:c r="U214" s="151"/>
      <x:c r="V214" s="151"/>
      <x:c r="W214" s="151"/>
      <x:c r="X214" s="151"/>
      <x:c r="Y214" s="151"/>
      <x:c r="Z214" s="151"/>
    </x:row>
    <x:row r="215" ht="22" customHeight="1">
      <x:c r="A215" s="5" t="s">
        <x:v>227</x:v>
      </x:c>
      <x:c r="B215" s="5" t="s">
        <x:v>228</x:v>
      </x:c>
      <x:c r="C215" s="6">
        <x:v>45473</x:v>
      </x:c>
      <x:c r="D215" s="5">
        <x:v>2024</x:v>
      </x:c>
      <x:c r="E215" s="5" t="s">
        <x:v>393</x:v>
      </x:c>
      <x:c r="F215" s="5" t="s">
        <x:v>0</x:v>
      </x:c>
      <x:c r="G215" s="5" t="s">
        <x:v>337</x:v>
      </x:c>
      <x:c r="H215" s="8">
        <x:v>21</x:v>
      </x:c>
      <x:c r="I215" s="8">
        <x:v>970323</x:v>
      </x:c>
      <x:c r="J215" s="5" t="s">
        <x:v>428</x:v>
      </x:c>
      <x:c r="K215" s="7"/>
      <x:c r="L215" s="9">
        <x:f t="shared" si="6"/>
        <x:v>2.164227788066448E-5</x:v>
      </x:c>
      <x:c r="M215" s="8"/>
      <x:c r="N215" s="8"/>
      <x:c r="O215" s="7"/>
      <x:c r="P215" s="9" t="str">
        <x:f t="shared" si="7"/>
      </x:c>
      <x:c r="Q215" s="10" t="s">
        <x:v>230</x:v>
      </x:c>
      <x:c r="R215" s="5" t="s">
        <x:v>429</x:v>
      </x:c>
      <x:c r="S215" s="5" t="s">
        <x:v>357</x:v>
      </x:c>
      <x:c r="T215" s="5" t="s">
        <x:v>430</x:v>
      </x:c>
      <x:c r="U215" s="151"/>
      <x:c r="V215" s="151"/>
      <x:c r="W215" s="151"/>
      <x:c r="X215" s="151"/>
      <x:c r="Y215" s="151"/>
      <x:c r="Z215" s="151"/>
    </x:row>
    <x:row r="216" ht="22" customHeight="1">
      <x:c r="A216" s="5" t="s">
        <x:v>227</x:v>
      </x:c>
      <x:c r="B216" s="5" t="s">
        <x:v>228</x:v>
      </x:c>
      <x:c r="C216" s="6">
        <x:v>45473</x:v>
      </x:c>
      <x:c r="D216" s="5">
        <x:v>2024</x:v>
      </x:c>
      <x:c r="E216" s="5" t="s">
        <x:v>468</x:v>
      </x:c>
      <x:c r="F216" s="5" t="s">
        <x:v>0</x:v>
      </x:c>
      <x:c r="G216" s="5" t="s">
        <x:v>337</x:v>
      </x:c>
      <x:c r="H216" s="8">
        <x:v>25446</x:v>
      </x:c>
      <x:c r="I216" s="8">
        <x:v>970323</x:v>
      </x:c>
      <x:c r="J216" s="5" t="s">
        <x:v>428</x:v>
      </x:c>
      <x:c r="K216" s="7"/>
      <x:c r="L216" s="9">
        <x:f t="shared" si="6"/>
        <x:v>2.6224257283399444E-2</x:v>
      </x:c>
      <x:c r="M216" s="8"/>
      <x:c r="N216" s="8"/>
      <x:c r="O216" s="7"/>
      <x:c r="P216" s="9" t="str">
        <x:f t="shared" si="7"/>
      </x:c>
      <x:c r="Q216" s="10" t="s">
        <x:v>230</x:v>
      </x:c>
      <x:c r="R216" s="5" t="s">
        <x:v>429</x:v>
      </x:c>
      <x:c r="S216" s="5" t="s">
        <x:v>357</x:v>
      </x:c>
      <x:c r="T216" s="5" t="s">
        <x:v>430</x:v>
      </x:c>
      <x:c r="U216" s="151"/>
      <x:c r="V216" s="151"/>
      <x:c r="W216" s="151"/>
      <x:c r="X216" s="151"/>
      <x:c r="Y216" s="151"/>
      <x:c r="Z216" s="151"/>
    </x:row>
    <x:row r="217" ht="22" customHeight="1">
      <x:c r="A217" s="5" t="s">
        <x:v>227</x:v>
      </x:c>
      <x:c r="B217" s="5" t="s">
        <x:v>228</x:v>
      </x:c>
      <x:c r="C217" s="6">
        <x:v>45473</x:v>
      </x:c>
      <x:c r="D217" s="5">
        <x:v>2024</x:v>
      </x:c>
      <x:c r="E217" s="5" t="s">
        <x:v>469</x:v>
      </x:c>
      <x:c r="F217" s="5" t="s">
        <x:v>0</x:v>
      </x:c>
      <x:c r="G217" s="5" t="s">
        <x:v>337</x:v>
      </x:c>
      <x:c r="H217" s="8">
        <x:v>50</x:v>
      </x:c>
      <x:c r="I217" s="8">
        <x:v>970323</x:v>
      </x:c>
      <x:c r="J217" s="5" t="s">
        <x:v>428</x:v>
      </x:c>
      <x:c r="K217" s="7"/>
      <x:c r="L217" s="9">
        <x:f t="shared" si="6"/>
        <x:v>5.152923304920114E-5</x:v>
      </x:c>
      <x:c r="M217" s="8"/>
      <x:c r="N217" s="8"/>
      <x:c r="O217" s="7"/>
      <x:c r="P217" s="9" t="str">
        <x:f t="shared" si="7"/>
      </x:c>
      <x:c r="Q217" s="10" t="s">
        <x:v>230</x:v>
      </x:c>
      <x:c r="R217" s="5" t="s">
        <x:v>429</x:v>
      </x:c>
      <x:c r="S217" s="5" t="s">
        <x:v>357</x:v>
      </x:c>
      <x:c r="T217" s="5" t="s">
        <x:v>430</x:v>
      </x:c>
      <x:c r="U217" s="151"/>
      <x:c r="V217" s="151"/>
      <x:c r="W217" s="151"/>
      <x:c r="X217" s="151"/>
      <x:c r="Y217" s="151"/>
      <x:c r="Z217" s="151"/>
    </x:row>
    <x:row r="218" ht="22" customHeight="1">
      <x:c r="A218" s="5" t="s">
        <x:v>227</x:v>
      </x:c>
      <x:c r="B218" s="5" t="s">
        <x:v>228</x:v>
      </x:c>
      <x:c r="C218" s="6">
        <x:v>45473</x:v>
      </x:c>
      <x:c r="D218" s="5">
        <x:v>2024</x:v>
      </x:c>
      <x:c r="E218" s="5" t="s">
        <x:v>394</x:v>
      </x:c>
      <x:c r="F218" s="5" t="s">
        <x:v>0</x:v>
      </x:c>
      <x:c r="G218" s="5" t="s">
        <x:v>337</x:v>
      </x:c>
      <x:c r="H218" s="8">
        <x:v>2500</x:v>
      </x:c>
      <x:c r="I218" s="8">
        <x:v>970323</x:v>
      </x:c>
      <x:c r="J218" s="5" t="s">
        <x:v>428</x:v>
      </x:c>
      <x:c r="K218" s="7"/>
      <x:c r="L218" s="9">
        <x:f t="shared" si="6"/>
        <x:v>2.5764616524600573E-3</x:v>
      </x:c>
      <x:c r="M218" s="8"/>
      <x:c r="N218" s="8"/>
      <x:c r="O218" s="7"/>
      <x:c r="P218" s="9" t="str">
        <x:f t="shared" si="7"/>
      </x:c>
      <x:c r="Q218" s="10" t="s">
        <x:v>230</x:v>
      </x:c>
      <x:c r="R218" s="5" t="s">
        <x:v>429</x:v>
      </x:c>
      <x:c r="S218" s="5" t="s">
        <x:v>357</x:v>
      </x:c>
      <x:c r="T218" s="5" t="s">
        <x:v>430</x:v>
      </x:c>
      <x:c r="U218" s="151"/>
      <x:c r="V218" s="151"/>
      <x:c r="W218" s="151"/>
      <x:c r="X218" s="151"/>
      <x:c r="Y218" s="151"/>
      <x:c r="Z218" s="151"/>
    </x:row>
    <x:row r="219" ht="22" customHeight="1">
      <x:c r="A219" s="5" t="s">
        <x:v>227</x:v>
      </x:c>
      <x:c r="B219" s="5" t="s">
        <x:v>228</x:v>
      </x:c>
      <x:c r="C219" s="6">
        <x:v>45473</x:v>
      </x:c>
      <x:c r="D219" s="5">
        <x:v>2024</x:v>
      </x:c>
      <x:c r="E219" s="5" t="s">
        <x:v>470</x:v>
      </x:c>
      <x:c r="F219" s="5" t="s">
        <x:v>0</x:v>
      </x:c>
      <x:c r="G219" s="5" t="s">
        <x:v>337</x:v>
      </x:c>
      <x:c r="H219" s="8">
        <x:v>50</x:v>
      </x:c>
      <x:c r="I219" s="8">
        <x:v>970323</x:v>
      </x:c>
      <x:c r="J219" s="5" t="s">
        <x:v>428</x:v>
      </x:c>
      <x:c r="K219" s="7"/>
      <x:c r="L219" s="9">
        <x:f t="shared" si="6"/>
        <x:v>5.152923304920114E-5</x:v>
      </x:c>
      <x:c r="M219" s="8"/>
      <x:c r="N219" s="8"/>
      <x:c r="O219" s="7"/>
      <x:c r="P219" s="9" t="str">
        <x:f t="shared" si="7"/>
      </x:c>
      <x:c r="Q219" s="10" t="s">
        <x:v>230</x:v>
      </x:c>
      <x:c r="R219" s="5" t="s">
        <x:v>429</x:v>
      </x:c>
      <x:c r="S219" s="5" t="s">
        <x:v>357</x:v>
      </x:c>
      <x:c r="T219" s="5" t="s">
        <x:v>430</x:v>
      </x:c>
      <x:c r="U219" s="151"/>
      <x:c r="V219" s="151"/>
      <x:c r="W219" s="151"/>
      <x:c r="X219" s="151"/>
      <x:c r="Y219" s="151"/>
      <x:c r="Z219" s="151"/>
    </x:row>
    <x:row r="220" ht="22" customHeight="1">
      <x:c r="A220" s="5" t="s">
        <x:v>227</x:v>
      </x:c>
      <x:c r="B220" s="5" t="s">
        <x:v>228</x:v>
      </x:c>
      <x:c r="C220" s="6">
        <x:v>45473</x:v>
      </x:c>
      <x:c r="D220" s="5">
        <x:v>2024</x:v>
      </x:c>
      <x:c r="E220" s="5" t="s">
        <x:v>421</x:v>
      </x:c>
      <x:c r="F220" s="5" t="s">
        <x:v>0</x:v>
      </x:c>
      <x:c r="G220" s="5" t="s">
        <x:v>337</x:v>
      </x:c>
      <x:c r="H220" s="8">
        <x:v>17615</x:v>
      </x:c>
      <x:c r="I220" s="8">
        <x:v>970323</x:v>
      </x:c>
      <x:c r="J220" s="5" t="s">
        <x:v>428</x:v>
      </x:c>
      <x:c r="K220" s="7"/>
      <x:c r="L220" s="9">
        <x:f t="shared" si="6"/>
        <x:v>1.8153748803233564E-2</x:v>
      </x:c>
      <x:c r="M220" s="8"/>
      <x:c r="N220" s="8"/>
      <x:c r="O220" s="7"/>
      <x:c r="P220" s="9" t="str">
        <x:f t="shared" si="7"/>
      </x:c>
      <x:c r="Q220" s="10" t="s">
        <x:v>230</x:v>
      </x:c>
      <x:c r="R220" s="5" t="s">
        <x:v>429</x:v>
      </x:c>
      <x:c r="S220" s="5" t="s">
        <x:v>357</x:v>
      </x:c>
      <x:c r="T220" s="5" t="s">
        <x:v>430</x:v>
      </x:c>
      <x:c r="U220" s="151"/>
      <x:c r="V220" s="151"/>
      <x:c r="W220" s="151"/>
      <x:c r="X220" s="151"/>
      <x:c r="Y220" s="151"/>
      <x:c r="Z220" s="151"/>
    </x:row>
    <x:row r="221" ht="22" customHeight="1">
      <x:c r="A221" s="5" t="s">
        <x:v>227</x:v>
      </x:c>
      <x:c r="B221" s="5" t="s">
        <x:v>228</x:v>
      </x:c>
      <x:c r="C221" s="6">
        <x:v>45473</x:v>
      </x:c>
      <x:c r="D221" s="5">
        <x:v>2024</x:v>
      </x:c>
      <x:c r="E221" s="5" t="s">
        <x:v>396</x:v>
      </x:c>
      <x:c r="F221" s="5" t="s">
        <x:v>0</x:v>
      </x:c>
      <x:c r="G221" s="5" t="s">
        <x:v>337</x:v>
      </x:c>
      <x:c r="H221" s="8">
        <x:v>2690</x:v>
      </x:c>
      <x:c r="I221" s="8">
        <x:v>970323</x:v>
      </x:c>
      <x:c r="J221" s="5" t="s">
        <x:v>428</x:v>
      </x:c>
      <x:c r="K221" s="7"/>
      <x:c r="L221" s="9">
        <x:f t="shared" si="6"/>
        <x:v>2.7722727380470216E-3</x:v>
      </x:c>
      <x:c r="M221" s="8"/>
      <x:c r="N221" s="8"/>
      <x:c r="O221" s="7"/>
      <x:c r="P221" s="9" t="str">
        <x:f t="shared" si="7"/>
      </x:c>
      <x:c r="Q221" s="10" t="s">
        <x:v>230</x:v>
      </x:c>
      <x:c r="R221" s="5" t="s">
        <x:v>429</x:v>
      </x:c>
      <x:c r="S221" s="5" t="s">
        <x:v>357</x:v>
      </x:c>
      <x:c r="T221" s="5" t="s">
        <x:v>430</x:v>
      </x:c>
      <x:c r="U221" s="151"/>
      <x:c r="V221" s="151"/>
      <x:c r="W221" s="151"/>
      <x:c r="X221" s="151"/>
      <x:c r="Y221" s="151"/>
      <x:c r="Z221" s="151"/>
    </x:row>
    <x:row r="222" ht="22" customHeight="1">
      <x:c r="A222" s="5" t="s">
        <x:v>227</x:v>
      </x:c>
      <x:c r="B222" s="5" t="s">
        <x:v>228</x:v>
      </x:c>
      <x:c r="C222" s="6">
        <x:v>45473</x:v>
      </x:c>
      <x:c r="D222" s="5">
        <x:v>2024</x:v>
      </x:c>
      <x:c r="E222" s="5" t="s">
        <x:v>471</x:v>
      </x:c>
      <x:c r="F222" s="5" t="s">
        <x:v>0</x:v>
      </x:c>
      <x:c r="G222" s="5" t="s">
        <x:v>337</x:v>
      </x:c>
      <x:c r="H222" s="8">
        <x:v>590</x:v>
      </x:c>
      <x:c r="I222" s="8">
        <x:v>970323</x:v>
      </x:c>
      <x:c r="J222" s="5" t="s">
        <x:v>428</x:v>
      </x:c>
      <x:c r="K222" s="7"/>
      <x:c r="L222" s="9">
        <x:f t="shared" si="6"/>
        <x:v>6.0804494998057345E-4</x:v>
      </x:c>
      <x:c r="M222" s="8"/>
      <x:c r="N222" s="8"/>
      <x:c r="O222" s="7"/>
      <x:c r="P222" s="9" t="str">
        <x:f t="shared" si="7"/>
      </x:c>
      <x:c r="Q222" s="10" t="s">
        <x:v>230</x:v>
      </x:c>
      <x:c r="R222" s="5" t="s">
        <x:v>429</x:v>
      </x:c>
      <x:c r="S222" s="5" t="s">
        <x:v>357</x:v>
      </x:c>
      <x:c r="T222" s="5" t="s">
        <x:v>430</x:v>
      </x:c>
      <x:c r="U222" s="151"/>
      <x:c r="V222" s="151"/>
      <x:c r="W222" s="151"/>
      <x:c r="X222" s="151"/>
      <x:c r="Y222" s="151"/>
      <x:c r="Z222" s="151"/>
    </x:row>
    <x:row r="223" ht="22" customHeight="1">
      <x:c r="A223" s="5" t="s">
        <x:v>227</x:v>
      </x:c>
      <x:c r="B223" s="5" t="s">
        <x:v>228</x:v>
      </x:c>
      <x:c r="C223" s="6">
        <x:v>45473</x:v>
      </x:c>
      <x:c r="D223" s="5">
        <x:v>2024</x:v>
      </x:c>
      <x:c r="E223" s="5" t="s">
        <x:v>422</x:v>
      </x:c>
      <x:c r="F223" s="5" t="s">
        <x:v>0</x:v>
      </x:c>
      <x:c r="G223" s="5" t="s">
        <x:v>337</x:v>
      </x:c>
      <x:c r="H223" s="8">
        <x:v>6300</x:v>
      </x:c>
      <x:c r="I223" s="8">
        <x:v>970323</x:v>
      </x:c>
      <x:c r="J223" s="5" t="s">
        <x:v>428</x:v>
      </x:c>
      <x:c r="K223" s="7"/>
      <x:c r="L223" s="9">
        <x:f t="shared" si="6"/>
        <x:v>6.4926833641993443E-3</x:v>
      </x:c>
      <x:c r="M223" s="8"/>
      <x:c r="N223" s="8"/>
      <x:c r="O223" s="7"/>
      <x:c r="P223" s="9" t="str">
        <x:f t="shared" si="7"/>
      </x:c>
      <x:c r="Q223" s="10" t="s">
        <x:v>230</x:v>
      </x:c>
      <x:c r="R223" s="5" t="s">
        <x:v>429</x:v>
      </x:c>
      <x:c r="S223" s="5" t="s">
        <x:v>357</x:v>
      </x:c>
      <x:c r="T223" s="5" t="s">
        <x:v>430</x:v>
      </x:c>
      <x:c r="U223" s="151"/>
      <x:c r="V223" s="151"/>
      <x:c r="W223" s="151"/>
      <x:c r="X223" s="151"/>
      <x:c r="Y223" s="151"/>
      <x:c r="Z223" s="151"/>
    </x:row>
    <x:row r="224" ht="22" customHeight="1">
      <x:c r="A224" s="5" t="s">
        <x:v>227</x:v>
      </x:c>
      <x:c r="B224" s="5" t="s">
        <x:v>228</x:v>
      </x:c>
      <x:c r="C224" s="6">
        <x:v>45473</x:v>
      </x:c>
      <x:c r="D224" s="5">
        <x:v>2024</x:v>
      </x:c>
      <x:c r="E224" s="5" t="s">
        <x:v>423</x:v>
      </x:c>
      <x:c r="F224" s="5" t="s">
        <x:v>0</x:v>
      </x:c>
      <x:c r="G224" s="5" t="s">
        <x:v>337</x:v>
      </x:c>
      <x:c r="H224" s="8">
        <x:v>7064</x:v>
      </x:c>
      <x:c r="I224" s="8">
        <x:v>970323</x:v>
      </x:c>
      <x:c r="J224" s="5" t="s">
        <x:v>428</x:v>
      </x:c>
      <x:c r="K224" s="7"/>
      <x:c r="L224" s="9">
        <x:f t="shared" si="6"/>
        <x:v>7.280050045191137E-3</x:v>
      </x:c>
      <x:c r="M224" s="8"/>
      <x:c r="N224" s="8"/>
      <x:c r="O224" s="7"/>
      <x:c r="P224" s="9" t="str">
        <x:f t="shared" si="7"/>
      </x:c>
      <x:c r="Q224" s="10" t="s">
        <x:v>230</x:v>
      </x:c>
      <x:c r="R224" s="5" t="s">
        <x:v>429</x:v>
      </x:c>
      <x:c r="S224" s="5" t="s">
        <x:v>357</x:v>
      </x:c>
      <x:c r="T224" s="5" t="s">
        <x:v>430</x:v>
      </x:c>
      <x:c r="U224" s="151"/>
      <x:c r="V224" s="151"/>
      <x:c r="W224" s="151"/>
      <x:c r="X224" s="151"/>
      <x:c r="Y224" s="151"/>
      <x:c r="Z224" s="151"/>
    </x:row>
    <x:row r="225" ht="22" customHeight="1">
      <x:c r="A225" s="5" t="s">
        <x:v>227</x:v>
      </x:c>
      <x:c r="B225" s="5" t="s">
        <x:v>228</x:v>
      </x:c>
      <x:c r="C225" s="6">
        <x:v>45473</x:v>
      </x:c>
      <x:c r="D225" s="5">
        <x:v>2024</x:v>
      </x:c>
      <x:c r="E225" s="5" t="s">
        <x:v>398</x:v>
      </x:c>
      <x:c r="F225" s="5" t="s">
        <x:v>0</x:v>
      </x:c>
      <x:c r="G225" s="5" t="s">
        <x:v>337</x:v>
      </x:c>
      <x:c r="H225" s="8">
        <x:v>309</x:v>
      </x:c>
      <x:c r="I225" s="8">
        <x:v>970323</x:v>
      </x:c>
      <x:c r="J225" s="5" t="s">
        <x:v>428</x:v>
      </x:c>
      <x:c r="K225" s="7"/>
      <x:c r="L225" s="9">
        <x:f t="shared" si="6"/>
        <x:v>3.1845066024406305E-4</x:v>
      </x:c>
      <x:c r="M225" s="8"/>
      <x:c r="N225" s="8"/>
      <x:c r="O225" s="7"/>
      <x:c r="P225" s="9" t="str">
        <x:f t="shared" si="7"/>
      </x:c>
      <x:c r="Q225" s="10" t="s">
        <x:v>230</x:v>
      </x:c>
      <x:c r="R225" s="5" t="s">
        <x:v>429</x:v>
      </x:c>
      <x:c r="S225" s="5" t="s">
        <x:v>357</x:v>
      </x:c>
      <x:c r="T225" s="5" t="s">
        <x:v>430</x:v>
      </x:c>
      <x:c r="U225" s="151"/>
      <x:c r="V225" s="151"/>
      <x:c r="W225" s="151"/>
      <x:c r="X225" s="151"/>
      <x:c r="Y225" s="151"/>
      <x:c r="Z225" s="151"/>
    </x:row>
    <x:row r="226" ht="22" customHeight="1">
      <x:c r="A226" s="5" t="s">
        <x:v>227</x:v>
      </x:c>
      <x:c r="B226" s="5" t="s">
        <x:v>228</x:v>
      </x:c>
      <x:c r="C226" s="6">
        <x:v>45473</x:v>
      </x:c>
      <x:c r="D226" s="5">
        <x:v>2024</x:v>
      </x:c>
      <x:c r="E226" s="5" t="s">
        <x:v>399</x:v>
      </x:c>
      <x:c r="F226" s="5" t="s">
        <x:v>0</x:v>
      </x:c>
      <x:c r="G226" s="5" t="s">
        <x:v>337</x:v>
      </x:c>
      <x:c r="H226" s="8">
        <x:v>14275</x:v>
      </x:c>
      <x:c r="I226" s="8">
        <x:v>970323</x:v>
      </x:c>
      <x:c r="J226" s="5" t="s">
        <x:v>428</x:v>
      </x:c>
      <x:c r="K226" s="7"/>
      <x:c r="L226" s="9">
        <x:f t="shared" si="6"/>
        <x:v>1.4711596035546927E-2</x:v>
      </x:c>
      <x:c r="M226" s="8"/>
      <x:c r="N226" s="8"/>
      <x:c r="O226" s="7"/>
      <x:c r="P226" s="9" t="str">
        <x:f t="shared" si="7"/>
      </x:c>
      <x:c r="Q226" s="10" t="s">
        <x:v>230</x:v>
      </x:c>
      <x:c r="R226" s="5" t="s">
        <x:v>429</x:v>
      </x:c>
      <x:c r="S226" s="5" t="s">
        <x:v>357</x:v>
      </x:c>
      <x:c r="T226" s="5" t="s">
        <x:v>430</x:v>
      </x:c>
      <x:c r="U226" s="151"/>
      <x:c r="V226" s="151"/>
      <x:c r="W226" s="151"/>
      <x:c r="X226" s="151"/>
      <x:c r="Y226" s="151"/>
      <x:c r="Z226" s="151"/>
    </x:row>
    <x:row r="227" ht="22" customHeight="1">
      <x:c r="A227" s="5" t="s">
        <x:v>227</x:v>
      </x:c>
      <x:c r="B227" s="5" t="s">
        <x:v>228</x:v>
      </x:c>
      <x:c r="C227" s="6">
        <x:v>45473</x:v>
      </x:c>
      <x:c r="D227" s="5">
        <x:v>2024</x:v>
      </x:c>
      <x:c r="E227" s="5" t="s">
        <x:v>400</x:v>
      </x:c>
      <x:c r="F227" s="5" t="s">
        <x:v>0</x:v>
      </x:c>
      <x:c r="G227" s="5" t="s">
        <x:v>337</x:v>
      </x:c>
      <x:c r="H227" s="8">
        <x:v>160</x:v>
      </x:c>
      <x:c r="I227" s="8">
        <x:v>970323</x:v>
      </x:c>
      <x:c r="J227" s="5" t="s">
        <x:v>428</x:v>
      </x:c>
      <x:c r="K227" s="7"/>
      <x:c r="L227" s="9">
        <x:f t="shared" si="6"/>
        <x:v>1.6489354575744365E-4</x:v>
      </x:c>
      <x:c r="M227" s="8"/>
      <x:c r="N227" s="8"/>
      <x:c r="O227" s="7"/>
      <x:c r="P227" s="9" t="str">
        <x:f t="shared" si="7"/>
      </x:c>
      <x:c r="Q227" s="10" t="s">
        <x:v>230</x:v>
      </x:c>
      <x:c r="R227" s="5" t="s">
        <x:v>429</x:v>
      </x:c>
      <x:c r="S227" s="5" t="s">
        <x:v>357</x:v>
      </x:c>
      <x:c r="T227" s="5" t="s">
        <x:v>430</x:v>
      </x:c>
      <x:c r="U227" s="151"/>
      <x:c r="V227" s="151"/>
      <x:c r="W227" s="151"/>
      <x:c r="X227" s="151"/>
      <x:c r="Y227" s="151"/>
      <x:c r="Z227" s="151"/>
    </x:row>
    <x:row r="228" ht="22" customHeight="1">
      <x:c r="A228" s="5" t="s">
        <x:v>227</x:v>
      </x:c>
      <x:c r="B228" s="5" t="s">
        <x:v>228</x:v>
      </x:c>
      <x:c r="C228" s="6">
        <x:v>45473</x:v>
      </x:c>
      <x:c r="D228" s="5">
        <x:v>2024</x:v>
      </x:c>
      <x:c r="E228" s="5" t="s">
        <x:v>472</x:v>
      </x:c>
      <x:c r="F228" s="5" t="s">
        <x:v>0</x:v>
      </x:c>
      <x:c r="G228" s="5" t="s">
        <x:v>337</x:v>
      </x:c>
      <x:c r="H228" s="8">
        <x:v>50</x:v>
      </x:c>
      <x:c r="I228" s="8">
        <x:v>970323</x:v>
      </x:c>
      <x:c r="J228" s="5" t="s">
        <x:v>428</x:v>
      </x:c>
      <x:c r="K228" s="7"/>
      <x:c r="L228" s="9">
        <x:f t="shared" si="6"/>
        <x:v>5.152923304920114E-5</x:v>
      </x:c>
      <x:c r="M228" s="8"/>
      <x:c r="N228" s="8"/>
      <x:c r="O228" s="7"/>
      <x:c r="P228" s="9" t="str">
        <x:f t="shared" si="7"/>
      </x:c>
      <x:c r="Q228" s="10" t="s">
        <x:v>230</x:v>
      </x:c>
      <x:c r="R228" s="5" t="s">
        <x:v>429</x:v>
      </x:c>
      <x:c r="S228" s="5" t="s">
        <x:v>357</x:v>
      </x:c>
      <x:c r="T228" s="5" t="s">
        <x:v>430</x:v>
      </x:c>
      <x:c r="U228" s="151"/>
      <x:c r="V228" s="151"/>
      <x:c r="W228" s="151"/>
      <x:c r="X228" s="151"/>
      <x:c r="Y228" s="151"/>
      <x:c r="Z228" s="151"/>
    </x:row>
    <x:row r="229" ht="22" customHeight="1">
      <x:c r="A229" s="5" t="s">
        <x:v>227</x:v>
      </x:c>
      <x:c r="B229" s="5" t="s">
        <x:v>228</x:v>
      </x:c>
      <x:c r="C229" s="6">
        <x:v>45473</x:v>
      </x:c>
      <x:c r="D229" s="5">
        <x:v>2024</x:v>
      </x:c>
      <x:c r="E229" s="5" t="s">
        <x:v>401</x:v>
      </x:c>
      <x:c r="F229" s="5" t="s">
        <x:v>0</x:v>
      </x:c>
      <x:c r="G229" s="5" t="s">
        <x:v>337</x:v>
      </x:c>
      <x:c r="H229" s="8">
        <x:v>12</x:v>
      </x:c>
      <x:c r="I229" s="8">
        <x:v>970323</x:v>
      </x:c>
      <x:c r="J229" s="5" t="s">
        <x:v>428</x:v>
      </x:c>
      <x:c r="K229" s="7"/>
      <x:c r="L229" s="9">
        <x:f t="shared" si="6"/>
        <x:v>1.2367015931808273E-5</x:v>
      </x:c>
      <x:c r="M229" s="8"/>
      <x:c r="N229" s="8"/>
      <x:c r="O229" s="7"/>
      <x:c r="P229" s="9" t="str">
        <x:f t="shared" si="7"/>
      </x:c>
      <x:c r="Q229" s="10" t="s">
        <x:v>230</x:v>
      </x:c>
      <x:c r="R229" s="5" t="s">
        <x:v>429</x:v>
      </x:c>
      <x:c r="S229" s="5" t="s">
        <x:v>357</x:v>
      </x:c>
      <x:c r="T229" s="5" t="s">
        <x:v>430</x:v>
      </x:c>
      <x:c r="U229" s="151"/>
      <x:c r="V229" s="151"/>
      <x:c r="W229" s="151"/>
      <x:c r="X229" s="151"/>
      <x:c r="Y229" s="151"/>
      <x:c r="Z229" s="151"/>
    </x:row>
    <x:row r="230" ht="22" customHeight="1">
      <x:c r="A230" s="5" t="s">
        <x:v>227</x:v>
      </x:c>
      <x:c r="B230" s="5" t="s">
        <x:v>228</x:v>
      </x:c>
      <x:c r="C230" s="6">
        <x:v>45473</x:v>
      </x:c>
      <x:c r="D230" s="5">
        <x:v>2024</x:v>
      </x:c>
      <x:c r="E230" s="5" t="s">
        <x:v>473</x:v>
      </x:c>
      <x:c r="F230" s="5" t="s">
        <x:v>0</x:v>
      </x:c>
      <x:c r="G230" s="5" t="s">
        <x:v>337</x:v>
      </x:c>
      <x:c r="H230" s="8">
        <x:v>50</x:v>
      </x:c>
      <x:c r="I230" s="8">
        <x:v>970323</x:v>
      </x:c>
      <x:c r="J230" s="5" t="s">
        <x:v>428</x:v>
      </x:c>
      <x:c r="K230" s="7"/>
      <x:c r="L230" s="9">
        <x:f t="shared" si="6"/>
        <x:v>5.152923304920114E-5</x:v>
      </x:c>
      <x:c r="M230" s="8"/>
      <x:c r="N230" s="8"/>
      <x:c r="O230" s="7"/>
      <x:c r="P230" s="9" t="str">
        <x:f t="shared" si="7"/>
      </x:c>
      <x:c r="Q230" s="10" t="s">
        <x:v>230</x:v>
      </x:c>
      <x:c r="R230" s="5" t="s">
        <x:v>429</x:v>
      </x:c>
      <x:c r="S230" s="5" t="s">
        <x:v>357</x:v>
      </x:c>
      <x:c r="T230" s="5" t="s">
        <x:v>430</x:v>
      </x:c>
      <x:c r="U230" s="151"/>
      <x:c r="V230" s="151"/>
      <x:c r="W230" s="151"/>
      <x:c r="X230" s="151"/>
      <x:c r="Y230" s="151"/>
      <x:c r="Z230" s="151"/>
    </x:row>
    <x:row r="231" ht="22" customHeight="1">
      <x:c r="A231" s="5" t="s">
        <x:v>227</x:v>
      </x:c>
      <x:c r="B231" s="5" t="s">
        <x:v>228</x:v>
      </x:c>
      <x:c r="C231" s="6">
        <x:v>45473</x:v>
      </x:c>
      <x:c r="D231" s="5">
        <x:v>2024</x:v>
      </x:c>
      <x:c r="E231" s="5" t="s">
        <x:v>424</x:v>
      </x:c>
      <x:c r="F231" s="5" t="s">
        <x:v>0</x:v>
      </x:c>
      <x:c r="G231" s="5" t="s">
        <x:v>337</x:v>
      </x:c>
      <x:c r="H231" s="8">
        <x:v>26099</x:v>
      </x:c>
      <x:c r="I231" s="8">
        <x:v>970323</x:v>
      </x:c>
      <x:c r="J231" s="5" t="s">
        <x:v>428</x:v>
      </x:c>
      <x:c r="K231" s="7"/>
      <x:c r="L231" s="9">
        <x:f t="shared" si="6"/>
        <x:v>2.6897229067022011E-2</x:v>
      </x:c>
      <x:c r="M231" s="8"/>
      <x:c r="N231" s="8"/>
      <x:c r="O231" s="7"/>
      <x:c r="P231" s="9" t="str">
        <x:f t="shared" si="7"/>
      </x:c>
      <x:c r="Q231" s="10" t="s">
        <x:v>230</x:v>
      </x:c>
      <x:c r="R231" s="5" t="s">
        <x:v>429</x:v>
      </x:c>
      <x:c r="S231" s="5" t="s">
        <x:v>357</x:v>
      </x:c>
      <x:c r="T231" s="5" t="s">
        <x:v>430</x:v>
      </x:c>
      <x:c r="U231" s="151"/>
      <x:c r="V231" s="151"/>
      <x:c r="W231" s="151"/>
      <x:c r="X231" s="151"/>
      <x:c r="Y231" s="151"/>
      <x:c r="Z231" s="151"/>
    </x:row>
    <x:row r="232" ht="22" customHeight="1">
      <x:c r="A232" s="5" t="s">
        <x:v>227</x:v>
      </x:c>
      <x:c r="B232" s="5" t="s">
        <x:v>228</x:v>
      </x:c>
      <x:c r="C232" s="6">
        <x:v>45473</x:v>
      </x:c>
      <x:c r="D232" s="5">
        <x:v>2024</x:v>
      </x:c>
      <x:c r="E232" s="5" t="s">
        <x:v>474</x:v>
      </x:c>
      <x:c r="F232" s="5" t="s">
        <x:v>0</x:v>
      </x:c>
      <x:c r="G232" s="5" t="s">
        <x:v>337</x:v>
      </x:c>
      <x:c r="H232" s="8">
        <x:v>11857</x:v>
      </x:c>
      <x:c r="I232" s="8">
        <x:v>970323</x:v>
      </x:c>
      <x:c r="J232" s="5" t="s">
        <x:v>428</x:v>
      </x:c>
      <x:c r="K232" s="7"/>
      <x:c r="L232" s="9">
        <x:f t="shared" si="6"/>
        <x:v>1.2219642325287558E-2</x:v>
      </x:c>
      <x:c r="M232" s="8"/>
      <x:c r="N232" s="8"/>
      <x:c r="O232" s="7"/>
      <x:c r="P232" s="9" t="str">
        <x:f t="shared" si="7"/>
      </x:c>
      <x:c r="Q232" s="10" t="s">
        <x:v>230</x:v>
      </x:c>
      <x:c r="R232" s="5" t="s">
        <x:v>429</x:v>
      </x:c>
      <x:c r="S232" s="5" t="s">
        <x:v>357</x:v>
      </x:c>
      <x:c r="T232" s="5" t="s">
        <x:v>430</x:v>
      </x:c>
      <x:c r="U232" s="151"/>
      <x:c r="V232" s="151"/>
      <x:c r="W232" s="151"/>
      <x:c r="X232" s="151"/>
      <x:c r="Y232" s="151"/>
      <x:c r="Z232" s="151"/>
    </x:row>
    <x:row r="233" ht="22" customHeight="1">
      <x:c r="A233" s="5" t="s">
        <x:v>227</x:v>
      </x:c>
      <x:c r="B233" s="5" t="s">
        <x:v>228</x:v>
      </x:c>
      <x:c r="C233" s="6">
        <x:v>45473</x:v>
      </x:c>
      <x:c r="D233" s="5">
        <x:v>2024</x:v>
      </x:c>
      <x:c r="E233" s="5" t="s">
        <x:v>425</x:v>
      </x:c>
      <x:c r="F233" s="5" t="s">
        <x:v>0</x:v>
      </x:c>
      <x:c r="G233" s="5" t="s">
        <x:v>337</x:v>
      </x:c>
      <x:c r="H233" s="8">
        <x:v>30547</x:v>
      </x:c>
      <x:c r="I233" s="8">
        <x:v>970323</x:v>
      </x:c>
      <x:c r="J233" s="5" t="s">
        <x:v>428</x:v>
      </x:c>
      <x:c r="K233" s="7"/>
      <x:c r="L233" s="9">
        <x:f t="shared" si="6"/>
        <x:v>3.1481269639078949E-2</x:v>
      </x:c>
      <x:c r="M233" s="8"/>
      <x:c r="N233" s="8"/>
      <x:c r="O233" s="7"/>
      <x:c r="P233" s="9" t="str">
        <x:f t="shared" si="7"/>
      </x:c>
      <x:c r="Q233" s="10" t="s">
        <x:v>230</x:v>
      </x:c>
      <x:c r="R233" s="5" t="s">
        <x:v>429</x:v>
      </x:c>
      <x:c r="S233" s="5" t="s">
        <x:v>357</x:v>
      </x:c>
      <x:c r="T233" s="5" t="s">
        <x:v>430</x:v>
      </x:c>
      <x:c r="U233" s="151"/>
      <x:c r="V233" s="151"/>
      <x:c r="W233" s="151"/>
      <x:c r="X233" s="151"/>
      <x:c r="Y233" s="151"/>
      <x:c r="Z233" s="151"/>
    </x:row>
    <x:row r="234" ht="22" customHeight="1">
      <x:c r="A234" s="5" t="s">
        <x:v>227</x:v>
      </x:c>
      <x:c r="B234" s="5" t="s">
        <x:v>228</x:v>
      </x:c>
      <x:c r="C234" s="6">
        <x:v>45473</x:v>
      </x:c>
      <x:c r="D234" s="5">
        <x:v>2024</x:v>
      </x:c>
      <x:c r="E234" s="5" t="s">
        <x:v>475</x:v>
      </x:c>
      <x:c r="F234" s="5" t="s">
        <x:v>0</x:v>
      </x:c>
      <x:c r="G234" s="5" t="s">
        <x:v>337</x:v>
      </x:c>
      <x:c r="H234" s="8">
        <x:v>50</x:v>
      </x:c>
      <x:c r="I234" s="8">
        <x:v>970323</x:v>
      </x:c>
      <x:c r="J234" s="5" t="s">
        <x:v>428</x:v>
      </x:c>
      <x:c r="K234" s="7"/>
      <x:c r="L234" s="9">
        <x:f t="shared" si="6"/>
        <x:v>5.152923304920114E-5</x:v>
      </x:c>
      <x:c r="M234" s="8"/>
      <x:c r="N234" s="8"/>
      <x:c r="O234" s="7"/>
      <x:c r="P234" s="9" t="str">
        <x:f t="shared" si="7"/>
      </x:c>
      <x:c r="Q234" s="10" t="s">
        <x:v>230</x:v>
      </x:c>
      <x:c r="R234" s="5" t="s">
        <x:v>429</x:v>
      </x:c>
      <x:c r="S234" s="5" t="s">
        <x:v>357</x:v>
      </x:c>
      <x:c r="T234" s="5" t="s">
        <x:v>430</x:v>
      </x:c>
      <x:c r="U234" s="151"/>
      <x:c r="V234" s="151"/>
      <x:c r="W234" s="151"/>
      <x:c r="X234" s="151"/>
      <x:c r="Y234" s="151"/>
      <x:c r="Z234" s="151"/>
    </x:row>
    <x:row r="235" ht="22" customHeight="1">
      <x:c r="A235" s="5" t="s">
        <x:v>227</x:v>
      </x:c>
      <x:c r="B235" s="5" t="s">
        <x:v>228</x:v>
      </x:c>
      <x:c r="C235" s="6">
        <x:v>45473</x:v>
      </x:c>
      <x:c r="D235" s="5">
        <x:v>2024</x:v>
      </x:c>
      <x:c r="E235" s="5" t="s">
        <x:v>404</x:v>
      </x:c>
      <x:c r="F235" s="5" t="s">
        <x:v>0</x:v>
      </x:c>
      <x:c r="G235" s="5" t="s">
        <x:v>337</x:v>
      </x:c>
      <x:c r="H235" s="8">
        <x:v>2198</x:v>
      </x:c>
      <x:c r="I235" s="8">
        <x:v>970323</x:v>
      </x:c>
      <x:c r="J235" s="5" t="s">
        <x:v>428</x:v>
      </x:c>
      <x:c r="K235" s="7"/>
      <x:c r="L235" s="9">
        <x:f t="shared" si="6"/>
        <x:v>2.2652250848428823E-3</x:v>
      </x:c>
      <x:c r="M235" s="8"/>
      <x:c r="N235" s="8"/>
      <x:c r="O235" s="7"/>
      <x:c r="P235" s="9" t="str">
        <x:f t="shared" si="7"/>
      </x:c>
      <x:c r="Q235" s="10" t="s">
        <x:v>230</x:v>
      </x:c>
      <x:c r="R235" s="5" t="s">
        <x:v>429</x:v>
      </x:c>
      <x:c r="S235" s="5" t="s">
        <x:v>357</x:v>
      </x:c>
      <x:c r="T235" s="5" t="s">
        <x:v>430</x:v>
      </x:c>
      <x:c r="U235" s="151"/>
      <x:c r="V235" s="151"/>
      <x:c r="W235" s="151"/>
      <x:c r="X235" s="151"/>
      <x:c r="Y235" s="151"/>
      <x:c r="Z235" s="151"/>
    </x:row>
    <x:row r="236" ht="22" customHeight="1">
      <x:c r="A236" s="5" t="s">
        <x:v>227</x:v>
      </x:c>
      <x:c r="B236" s="5" t="s">
        <x:v>228</x:v>
      </x:c>
      <x:c r="C236" s="6">
        <x:v>45473</x:v>
      </x:c>
      <x:c r="D236" s="5">
        <x:v>2024</x:v>
      </x:c>
      <x:c r="E236" s="5" t="s">
        <x:v>405</x:v>
      </x:c>
      <x:c r="F236" s="5" t="s">
        <x:v>0</x:v>
      </x:c>
      <x:c r="G236" s="5" t="s">
        <x:v>337</x:v>
      </x:c>
      <x:c r="H236" s="8">
        <x:v>5</x:v>
      </x:c>
      <x:c r="I236" s="8">
        <x:v>970323</x:v>
      </x:c>
      <x:c r="J236" s="5" t="s">
        <x:v>428</x:v>
      </x:c>
      <x:c r="K236" s="7"/>
      <x:c r="L236" s="9">
        <x:f t="shared" si="6"/>
        <x:v>5.1529233049201142E-6</x:v>
      </x:c>
      <x:c r="M236" s="8"/>
      <x:c r="N236" s="8"/>
      <x:c r="O236" s="7"/>
      <x:c r="P236" s="9" t="str">
        <x:f t="shared" si="7"/>
      </x:c>
      <x:c r="Q236" s="10" t="s">
        <x:v>230</x:v>
      </x:c>
      <x:c r="R236" s="5" t="s">
        <x:v>429</x:v>
      </x:c>
      <x:c r="S236" s="5" t="s">
        <x:v>357</x:v>
      </x:c>
      <x:c r="T236" s="5" t="s">
        <x:v>430</x:v>
      </x:c>
      <x:c r="U236" s="151"/>
      <x:c r="V236" s="151"/>
      <x:c r="W236" s="151"/>
      <x:c r="X236" s="151"/>
      <x:c r="Y236" s="151"/>
      <x:c r="Z236" s="151"/>
    </x:row>
    <x:row r="237" ht="22" customHeight="1">
      <x:c r="A237" s="5" t="s">
        <x:v>227</x:v>
      </x:c>
      <x:c r="B237" s="5" t="s">
        <x:v>228</x:v>
      </x:c>
      <x:c r="C237" s="6">
        <x:v>45473</x:v>
      </x:c>
      <x:c r="D237" s="5">
        <x:v>2024</x:v>
      </x:c>
      <x:c r="E237" s="5" t="s">
        <x:v>406</x:v>
      </x:c>
      <x:c r="F237" s="5" t="s">
        <x:v>0</x:v>
      </x:c>
      <x:c r="G237" s="5" t="s">
        <x:v>337</x:v>
      </x:c>
      <x:c r="H237" s="8">
        <x:v>6633</x:v>
      </x:c>
      <x:c r="I237" s="8">
        <x:v>970323</x:v>
      </x:c>
      <x:c r="J237" s="5" t="s">
        <x:v>428</x:v>
      </x:c>
      <x:c r="K237" s="7"/>
      <x:c r="L237" s="9">
        <x:f t="shared" si="6"/>
        <x:v>6.8358680563070234E-3</x:v>
      </x:c>
      <x:c r="M237" s="8"/>
      <x:c r="N237" s="8"/>
      <x:c r="O237" s="7"/>
      <x:c r="P237" s="9" t="str">
        <x:f t="shared" si="7"/>
      </x:c>
      <x:c r="Q237" s="10" t="s">
        <x:v>230</x:v>
      </x:c>
      <x:c r="R237" s="5" t="s">
        <x:v>429</x:v>
      </x:c>
      <x:c r="S237" s="5" t="s">
        <x:v>357</x:v>
      </x:c>
      <x:c r="T237" s="5" t="s">
        <x:v>430</x:v>
      </x:c>
      <x:c r="U237" s="151"/>
      <x:c r="V237" s="151"/>
      <x:c r="W237" s="151"/>
      <x:c r="X237" s="151"/>
      <x:c r="Y237" s="151"/>
      <x:c r="Z237" s="151"/>
    </x:row>
    <x:row r="238" ht="22" customHeight="1">
      <x:c r="A238" s="5" t="s">
        <x:v>237</x:v>
      </x:c>
      <x:c r="B238" s="5" t="s">
        <x:v>238</x:v>
      </x:c>
      <x:c r="C238" s="6">
        <x:v>45504</x:v>
      </x:c>
      <x:c r="D238" s="5">
        <x:v>2024</x:v>
      </x:c>
      <x:c r="E238" s="5" t="s">
        <x:v>431</x:v>
      </x:c>
      <x:c r="F238" s="5" t="s">
        <x:v>0</x:v>
      </x:c>
      <x:c r="G238" s="5" t="s">
        <x:v>354</x:v>
      </x:c>
      <x:c r="H238" s="8"/>
      <x:c r="I238" s="8"/>
      <x:c r="J238" s="5" t="s">
        <x:v>345</x:v>
      </x:c>
      <x:c r="K238" s="7"/>
      <x:c r="L238" s="9" t="str">
        <x:f t="shared" si="6"/>
      </x:c>
      <x:c r="M238" s="8">
        <x:v>772563</x:v>
      </x:c>
      <x:c r="N238" s="8">
        <x:v>14553448</x:v>
      </x:c>
      <x:c r="O238" s="7"/>
      <x:c r="P238" s="9">
        <x:f t="shared" si="7"/>
        <x:v>5.3084533644535643E-2</x:v>
      </x:c>
      <x:c r="Q238" s="10" t="s">
        <x:v>476</x:v>
      </x:c>
      <x:c r="R238" s="5" t="s">
        <x:v>477</x:v>
      </x:c>
      <x:c r="S238" s="5" t="s">
        <x:v>357</x:v>
      </x:c>
      <x:c r="T238" s="5" t="s">
        <x:v>478</x:v>
      </x:c>
      <x:c r="U238" s="151"/>
      <x:c r="V238" s="151"/>
      <x:c r="W238" s="151"/>
      <x:c r="X238" s="151"/>
      <x:c r="Y238" s="151"/>
      <x:c r="Z238" s="151"/>
    </x:row>
    <x:row r="239" ht="22" customHeight="1">
      <x:c r="A239" s="5" t="s">
        <x:v>237</x:v>
      </x:c>
      <x:c r="B239" s="5" t="s">
        <x:v>238</x:v>
      </x:c>
      <x:c r="C239" s="6">
        <x:v>45504</x:v>
      </x:c>
      <x:c r="D239" s="5">
        <x:v>2024</x:v>
      </x:c>
      <x:c r="E239" s="5" t="s">
        <x:v>479</x:v>
      </x:c>
      <x:c r="F239" s="5" t="s">
        <x:v>0</x:v>
      </x:c>
      <x:c r="G239" s="5" t="s">
        <x:v>354</x:v>
      </x:c>
      <x:c r="H239" s="8"/>
      <x:c r="I239" s="8"/>
      <x:c r="J239" s="5" t="s">
        <x:v>345</x:v>
      </x:c>
      <x:c r="K239" s="7"/>
      <x:c r="L239" s="9" t="str">
        <x:f t="shared" si="6"/>
      </x:c>
      <x:c r="M239" s="8">
        <x:v>154566</x:v>
      </x:c>
      <x:c r="N239" s="8">
        <x:v>14553448</x:v>
      </x:c>
      <x:c r="O239" s="7"/>
      <x:c r="P239" s="9">
        <x:f t="shared" si="7"/>
        <x:v>1.062057596247982E-2</x:v>
      </x:c>
      <x:c r="Q239" s="10" t="s">
        <x:v>476</x:v>
      </x:c>
      <x:c r="R239" s="5" t="s">
        <x:v>477</x:v>
      </x:c>
      <x:c r="S239" s="5" t="s">
        <x:v>357</x:v>
      </x:c>
      <x:c r="T239" s="5" t="s">
        <x:v>478</x:v>
      </x:c>
      <x:c r="U239" s="151"/>
      <x:c r="V239" s="151"/>
      <x:c r="W239" s="151"/>
      <x:c r="X239" s="151"/>
      <x:c r="Y239" s="151"/>
      <x:c r="Z239" s="151"/>
    </x:row>
    <x:row r="240" ht="22" customHeight="1">
      <x:c r="A240" s="5" t="s">
        <x:v>237</x:v>
      </x:c>
      <x:c r="B240" s="5" t="s">
        <x:v>238</x:v>
      </x:c>
      <x:c r="C240" s="6">
        <x:v>45504</x:v>
      </x:c>
      <x:c r="D240" s="5">
        <x:v>2024</x:v>
      </x:c>
      <x:c r="E240" s="5" t="s">
        <x:v>435</x:v>
      </x:c>
      <x:c r="F240" s="5" t="s">
        <x:v>0</x:v>
      </x:c>
      <x:c r="G240" s="5" t="s">
        <x:v>354</x:v>
      </x:c>
      <x:c r="H240" s="8"/>
      <x:c r="I240" s="8"/>
      <x:c r="J240" s="5" t="s">
        <x:v>345</x:v>
      </x:c>
      <x:c r="K240" s="7"/>
      <x:c r="L240" s="9" t="str">
        <x:f t="shared" si="6"/>
      </x:c>
      <x:c r="M240" s="8">
        <x:v>31200</x:v>
      </x:c>
      <x:c r="N240" s="8">
        <x:v>14553448</x:v>
      </x:c>
      <x:c r="O240" s="7"/>
      <x:c r="P240" s="9">
        <x:f t="shared" si="7"/>
        <x:v>2.1438218626953559E-3</x:v>
      </x:c>
      <x:c r="Q240" s="10" t="s">
        <x:v>476</x:v>
      </x:c>
      <x:c r="R240" s="5" t="s">
        <x:v>477</x:v>
      </x:c>
      <x:c r="S240" s="5" t="s">
        <x:v>357</x:v>
      </x:c>
      <x:c r="T240" s="5" t="s">
        <x:v>478</x:v>
      </x:c>
      <x:c r="U240" s="151"/>
      <x:c r="V240" s="151"/>
      <x:c r="W240" s="151"/>
      <x:c r="X240" s="151"/>
      <x:c r="Y240" s="151"/>
      <x:c r="Z240" s="151"/>
    </x:row>
    <x:row r="241" ht="22" customHeight="1">
      <x:c r="A241" s="5" t="s">
        <x:v>237</x:v>
      </x:c>
      <x:c r="B241" s="5" t="s">
        <x:v>238</x:v>
      </x:c>
      <x:c r="C241" s="6">
        <x:v>45504</x:v>
      </x:c>
      <x:c r="D241" s="5">
        <x:v>2024</x:v>
      </x:c>
      <x:c r="E241" s="5" t="s">
        <x:v>480</x:v>
      </x:c>
      <x:c r="F241" s="5" t="s">
        <x:v>0</x:v>
      </x:c>
      <x:c r="G241" s="5" t="s">
        <x:v>354</x:v>
      </x:c>
      <x:c r="H241" s="8"/>
      <x:c r="I241" s="8"/>
      <x:c r="J241" s="5" t="s">
        <x:v>345</x:v>
      </x:c>
      <x:c r="K241" s="7"/>
      <x:c r="L241" s="9" t="str">
        <x:f t="shared" si="6"/>
      </x:c>
      <x:c r="M241" s="8">
        <x:v>113148</x:v>
      </x:c>
      <x:c r="N241" s="8">
        <x:v>14553448</x:v>
      </x:c>
      <x:c r="O241" s="7"/>
      <x:c r="P241" s="9">
        <x:f t="shared" si="7"/>
        <x:v>7.7746524397517341E-3</x:v>
      </x:c>
      <x:c r="Q241" s="10" t="s">
        <x:v>476</x:v>
      </x:c>
      <x:c r="R241" s="5" t="s">
        <x:v>477</x:v>
      </x:c>
      <x:c r="S241" s="5" t="s">
        <x:v>357</x:v>
      </x:c>
      <x:c r="T241" s="5" t="s">
        <x:v>478</x:v>
      </x:c>
      <x:c r="U241" s="151"/>
      <x:c r="V241" s="151"/>
      <x:c r="W241" s="151"/>
      <x:c r="X241" s="151"/>
      <x:c r="Y241" s="151"/>
      <x:c r="Z241" s="151"/>
    </x:row>
    <x:row r="242" ht="22" customHeight="1">
      <x:c r="A242" s="5" t="s">
        <x:v>237</x:v>
      </x:c>
      <x:c r="B242" s="5" t="s">
        <x:v>238</x:v>
      </x:c>
      <x:c r="C242" s="6">
        <x:v>45504</x:v>
      </x:c>
      <x:c r="D242" s="5">
        <x:v>2024</x:v>
      </x:c>
      <x:c r="E242" s="5" t="s">
        <x:v>481</x:v>
      </x:c>
      <x:c r="F242" s="5" t="s">
        <x:v>0</x:v>
      </x:c>
      <x:c r="G242" s="5" t="s">
        <x:v>354</x:v>
      </x:c>
      <x:c r="H242" s="8"/>
      <x:c r="I242" s="8"/>
      <x:c r="J242" s="5" t="s">
        <x:v>345</x:v>
      </x:c>
      <x:c r="K242" s="7"/>
      <x:c r="L242" s="9" t="str">
        <x:f t="shared" si="6"/>
      </x:c>
      <x:c r="M242" s="8">
        <x:v>60211</x:v>
      </x:c>
      <x:c r="N242" s="8">
        <x:v>14553448</x:v>
      </x:c>
      <x:c r="O242" s="7"/>
      <x:c r="P242" s="9">
        <x:f t="shared" si="7"/>
        <x:v>4.137232633806092E-3</x:v>
      </x:c>
      <x:c r="Q242" s="10" t="s">
        <x:v>476</x:v>
      </x:c>
      <x:c r="R242" s="5" t="s">
        <x:v>477</x:v>
      </x:c>
      <x:c r="S242" s="5" t="s">
        <x:v>357</x:v>
      </x:c>
      <x:c r="T242" s="5" t="s">
        <x:v>478</x:v>
      </x:c>
      <x:c r="U242" s="151"/>
      <x:c r="V242" s="151"/>
      <x:c r="W242" s="151"/>
      <x:c r="X242" s="151"/>
      <x:c r="Y242" s="151"/>
      <x:c r="Z242" s="151"/>
    </x:row>
    <x:row r="243" ht="22" customHeight="1">
      <x:c r="A243" s="5" t="s">
        <x:v>237</x:v>
      </x:c>
      <x:c r="B243" s="5" t="s">
        <x:v>238</x:v>
      </x:c>
      <x:c r="C243" s="6">
        <x:v>45504</x:v>
      </x:c>
      <x:c r="D243" s="5">
        <x:v>2024</x:v>
      </x:c>
      <x:c r="E243" s="5" t="s">
        <x:v>482</x:v>
      </x:c>
      <x:c r="F243" s="5" t="s">
        <x:v>0</x:v>
      </x:c>
      <x:c r="G243" s="5" t="s">
        <x:v>354</x:v>
      </x:c>
      <x:c r="H243" s="8"/>
      <x:c r="I243" s="8"/>
      <x:c r="J243" s="5" t="s">
        <x:v>345</x:v>
      </x:c>
      <x:c r="K243" s="7"/>
      <x:c r="L243" s="9" t="str">
        <x:f t="shared" si="6"/>
      </x:c>
      <x:c r="M243" s="8">
        <x:v>32336</x:v>
      </x:c>
      <x:c r="N243" s="8">
        <x:v>14553448</x:v>
      </x:c>
      <x:c r="O243" s="7"/>
      <x:c r="P243" s="9">
        <x:f t="shared" si="7"/>
        <x:v>2.221878966414007E-3</x:v>
      </x:c>
      <x:c r="Q243" s="10" t="s">
        <x:v>476</x:v>
      </x:c>
      <x:c r="R243" s="5" t="s">
        <x:v>477</x:v>
      </x:c>
      <x:c r="S243" s="5" t="s">
        <x:v>357</x:v>
      </x:c>
      <x:c r="T243" s="5" t="s">
        <x:v>478</x:v>
      </x:c>
      <x:c r="U243" s="151"/>
      <x:c r="V243" s="151"/>
      <x:c r="W243" s="151"/>
      <x:c r="X243" s="151"/>
      <x:c r="Y243" s="151"/>
      <x:c r="Z243" s="151"/>
    </x:row>
    <x:row r="244" ht="22" customHeight="1">
      <x:c r="A244" s="5" t="s">
        <x:v>237</x:v>
      </x:c>
      <x:c r="B244" s="5" t="s">
        <x:v>238</x:v>
      </x:c>
      <x:c r="C244" s="6">
        <x:v>45504</x:v>
      </x:c>
      <x:c r="D244" s="5">
        <x:v>2024</x:v>
      </x:c>
      <x:c r="E244" s="5" t="s">
        <x:v>483</x:v>
      </x:c>
      <x:c r="F244" s="5" t="s">
        <x:v>0</x:v>
      </x:c>
      <x:c r="G244" s="5" t="s">
        <x:v>354</x:v>
      </x:c>
      <x:c r="H244" s="8"/>
      <x:c r="I244" s="8"/>
      <x:c r="J244" s="5" t="s">
        <x:v>345</x:v>
      </x:c>
      <x:c r="K244" s="7"/>
      <x:c r="L244" s="9" t="str">
        <x:f t="shared" si="6"/>
      </x:c>
      <x:c r="M244" s="8">
        <x:v>8563</x:v>
      </x:c>
      <x:c r="N244" s="8">
        <x:v>14553448</x:v>
      </x:c>
      <x:c r="O244" s="7"/>
      <x:c r="P244" s="9">
        <x:f t="shared" si="7"/>
        <x:v>5.8838290417501061E-4</x:v>
      </x:c>
      <x:c r="Q244" s="10" t="s">
        <x:v>476</x:v>
      </x:c>
      <x:c r="R244" s="5" t="s">
        <x:v>477</x:v>
      </x:c>
      <x:c r="S244" s="5" t="s">
        <x:v>357</x:v>
      </x:c>
      <x:c r="T244" s="5" t="s">
        <x:v>478</x:v>
      </x:c>
      <x:c r="U244" s="151"/>
      <x:c r="V244" s="151"/>
      <x:c r="W244" s="151"/>
      <x:c r="X244" s="151"/>
      <x:c r="Y244" s="151"/>
      <x:c r="Z244" s="151"/>
    </x:row>
    <x:row r="245" ht="22" customHeight="1">
      <x:c r="A245" s="5" t="s">
        <x:v>237</x:v>
      </x:c>
      <x:c r="B245" s="5" t="s">
        <x:v>238</x:v>
      </x:c>
      <x:c r="C245" s="6">
        <x:v>45504</x:v>
      </x:c>
      <x:c r="D245" s="5">
        <x:v>2024</x:v>
      </x:c>
      <x:c r="E245" s="5" t="s">
        <x:v>484</x:v>
      </x:c>
      <x:c r="F245" s="5" t="s">
        <x:v>0</x:v>
      </x:c>
      <x:c r="G245" s="5" t="s">
        <x:v>354</x:v>
      </x:c>
      <x:c r="H245" s="8"/>
      <x:c r="I245" s="8"/>
      <x:c r="J245" s="5" t="s">
        <x:v>345</x:v>
      </x:c>
      <x:c r="K245" s="7"/>
      <x:c r="L245" s="9" t="str">
        <x:f t="shared" si="6"/>
      </x:c>
      <x:c r="M245" s="8">
        <x:v>144092</x:v>
      </x:c>
      <x:c r="N245" s="8">
        <x:v>14553448</x:v>
      </x:c>
      <x:c r="O245" s="7"/>
      <x:c r="P245" s="9">
        <x:f t="shared" si="7"/>
        <x:v>9.9008839692147181E-3</x:v>
      </x:c>
      <x:c r="Q245" s="10" t="s">
        <x:v>476</x:v>
      </x:c>
      <x:c r="R245" s="5" t="s">
        <x:v>477</x:v>
      </x:c>
      <x:c r="S245" s="5" t="s">
        <x:v>357</x:v>
      </x:c>
      <x:c r="T245" s="5" t="s">
        <x:v>478</x:v>
      </x:c>
      <x:c r="U245" s="151"/>
      <x:c r="V245" s="151"/>
      <x:c r="W245" s="151"/>
      <x:c r="X245" s="151"/>
      <x:c r="Y245" s="151"/>
      <x:c r="Z245" s="151"/>
    </x:row>
    <x:row r="246" ht="22" customHeight="1">
      <x:c r="A246" s="5" t="s">
        <x:v>237</x:v>
      </x:c>
      <x:c r="B246" s="5" t="s">
        <x:v>238</x:v>
      </x:c>
      <x:c r="C246" s="6">
        <x:v>45504</x:v>
      </x:c>
      <x:c r="D246" s="5">
        <x:v>2024</x:v>
      </x:c>
      <x:c r="E246" s="5" t="s">
        <x:v>485</x:v>
      </x:c>
      <x:c r="F246" s="5" t="s">
        <x:v>0</x:v>
      </x:c>
      <x:c r="G246" s="5" t="s">
        <x:v>354</x:v>
      </x:c>
      <x:c r="H246" s="8"/>
      <x:c r="I246" s="8"/>
      <x:c r="J246" s="5" t="s">
        <x:v>345</x:v>
      </x:c>
      <x:c r="K246" s="7"/>
      <x:c r="L246" s="9" t="str">
        <x:f t="shared" si="6"/>
      </x:c>
      <x:c r="M246" s="8">
        <x:v>5613</x:v>
      </x:c>
      <x:c r="N246" s="8">
        <x:v>14553448</x:v>
      </x:c>
      <x:c r="O246" s="7"/>
      <x:c r="P246" s="9">
        <x:f t="shared" si="7"/>
        <x:v>3.8568179856759716E-4</x:v>
      </x:c>
      <x:c r="Q246" s="10" t="s">
        <x:v>476</x:v>
      </x:c>
      <x:c r="R246" s="5" t="s">
        <x:v>477</x:v>
      </x:c>
      <x:c r="S246" s="5" t="s">
        <x:v>357</x:v>
      </x:c>
      <x:c r="T246" s="5" t="s">
        <x:v>478</x:v>
      </x:c>
      <x:c r="U246" s="151"/>
      <x:c r="V246" s="151"/>
      <x:c r="W246" s="151"/>
      <x:c r="X246" s="151"/>
      <x:c r="Y246" s="151"/>
      <x:c r="Z246" s="151"/>
    </x:row>
    <x:row r="247" ht="22" customHeight="1">
      <x:c r="A247" s="5" t="s">
        <x:v>237</x:v>
      </x:c>
      <x:c r="B247" s="5" t="s">
        <x:v>238</x:v>
      </x:c>
      <x:c r="C247" s="6">
        <x:v>45504</x:v>
      </x:c>
      <x:c r="D247" s="5">
        <x:v>2024</x:v>
      </x:c>
      <x:c r="E247" s="5" t="s">
        <x:v>486</x:v>
      </x:c>
      <x:c r="F247" s="5" t="s">
        <x:v>0</x:v>
      </x:c>
      <x:c r="G247" s="5" t="s">
        <x:v>354</x:v>
      </x:c>
      <x:c r="H247" s="8"/>
      <x:c r="I247" s="8"/>
      <x:c r="J247" s="5" t="s">
        <x:v>345</x:v>
      </x:c>
      <x:c r="K247" s="7"/>
      <x:c r="L247" s="9" t="str">
        <x:f t="shared" si="6"/>
      </x:c>
      <x:c r="M247" s="8">
        <x:v>9370</x:v>
      </x:c>
      <x:c r="N247" s="8">
        <x:v>14553448</x:v>
      </x:c>
      <x:c r="O247" s="7"/>
      <x:c r="P247" s="9">
        <x:f t="shared" si="7"/>
        <x:v>6.4383368120049631E-4</x:v>
      </x:c>
      <x:c r="Q247" s="10" t="s">
        <x:v>476</x:v>
      </x:c>
      <x:c r="R247" s="5" t="s">
        <x:v>477</x:v>
      </x:c>
      <x:c r="S247" s="5" t="s">
        <x:v>357</x:v>
      </x:c>
      <x:c r="T247" s="5" t="s">
        <x:v>478</x:v>
      </x:c>
      <x:c r="U247" s="151"/>
      <x:c r="V247" s="151"/>
      <x:c r="W247" s="151"/>
      <x:c r="X247" s="151"/>
      <x:c r="Y247" s="151"/>
      <x:c r="Z247" s="151"/>
    </x:row>
    <x:row r="248" ht="22" customHeight="1">
      <x:c r="A248" s="5" t="s">
        <x:v>237</x:v>
      </x:c>
      <x:c r="B248" s="5" t="s">
        <x:v>238</x:v>
      </x:c>
      <x:c r="C248" s="6">
        <x:v>45504</x:v>
      </x:c>
      <x:c r="D248" s="5">
        <x:v>2024</x:v>
      </x:c>
      <x:c r="E248" s="5" t="s">
        <x:v>487</x:v>
      </x:c>
      <x:c r="F248" s="5" t="s">
        <x:v>0</x:v>
      </x:c>
      <x:c r="G248" s="5" t="s">
        <x:v>354</x:v>
      </x:c>
      <x:c r="H248" s="8"/>
      <x:c r="I248" s="8"/>
      <x:c r="J248" s="5" t="s">
        <x:v>345</x:v>
      </x:c>
      <x:c r="K248" s="7"/>
      <x:c r="L248" s="9" t="str">
        <x:f t="shared" si="6"/>
      </x:c>
      <x:c r="M248" s="8">
        <x:v>1740</x:v>
      </x:c>
      <x:c r="N248" s="8">
        <x:v>14553448</x:v>
      </x:c>
      <x:c r="O248" s="7"/>
      <x:c r="P248" s="9">
        <x:f t="shared" si="7"/>
        <x:v>1.1955929618877946E-4</x:v>
      </x:c>
      <x:c r="Q248" s="10" t="s">
        <x:v>476</x:v>
      </x:c>
      <x:c r="R248" s="5" t="s">
        <x:v>477</x:v>
      </x:c>
      <x:c r="S248" s="5" t="s">
        <x:v>357</x:v>
      </x:c>
      <x:c r="T248" s="5" t="s">
        <x:v>478</x:v>
      </x:c>
      <x:c r="U248" s="151"/>
      <x:c r="V248" s="151"/>
      <x:c r="W248" s="151"/>
      <x:c r="X248" s="151"/>
      <x:c r="Y248" s="151"/>
      <x:c r="Z248" s="151"/>
    </x:row>
    <x:row r="249" ht="22" customHeight="1">
      <x:c r="A249" s="5" t="s">
        <x:v>237</x:v>
      </x:c>
      <x:c r="B249" s="5" t="s">
        <x:v>238</x:v>
      </x:c>
      <x:c r="C249" s="6">
        <x:v>45504</x:v>
      </x:c>
      <x:c r="D249" s="5">
        <x:v>2024</x:v>
      </x:c>
      <x:c r="E249" s="5" t="s">
        <x:v>488</x:v>
      </x:c>
      <x:c r="F249" s="5" t="s">
        <x:v>0</x:v>
      </x:c>
      <x:c r="G249" s="5" t="s">
        <x:v>354</x:v>
      </x:c>
      <x:c r="H249" s="8"/>
      <x:c r="I249" s="8"/>
      <x:c r="J249" s="5" t="s">
        <x:v>345</x:v>
      </x:c>
      <x:c r="K249" s="7"/>
      <x:c r="L249" s="9" t="str">
        <x:f t="shared" si="6"/>
      </x:c>
      <x:c r="M249" s="8">
        <x:v>57004</x:v>
      </x:c>
      <x:c r="N249" s="8">
        <x:v>14553448</x:v>
      </x:c>
      <x:c r="O249" s="7"/>
      <x:c r="P249" s="9">
        <x:f t="shared" si="7"/>
        <x:v>3.916872482727117E-3</x:v>
      </x:c>
      <x:c r="Q249" s="10" t="s">
        <x:v>476</x:v>
      </x:c>
      <x:c r="R249" s="5" t="s">
        <x:v>477</x:v>
      </x:c>
      <x:c r="S249" s="5" t="s">
        <x:v>357</x:v>
      </x:c>
      <x:c r="T249" s="5" t="s">
        <x:v>478</x:v>
      </x:c>
      <x:c r="U249" s="151"/>
      <x:c r="V249" s="151"/>
      <x:c r="W249" s="151"/>
      <x:c r="X249" s="151"/>
      <x:c r="Y249" s="151"/>
      <x:c r="Z249" s="151"/>
    </x:row>
    <x:row r="250" ht="22" customHeight="1">
      <x:c r="A250" s="5" t="s">
        <x:v>237</x:v>
      </x:c>
      <x:c r="B250" s="5" t="s">
        <x:v>238</x:v>
      </x:c>
      <x:c r="C250" s="6">
        <x:v>45504</x:v>
      </x:c>
      <x:c r="D250" s="5">
        <x:v>2024</x:v>
      </x:c>
      <x:c r="E250" s="5" t="s">
        <x:v>439</x:v>
      </x:c>
      <x:c r="F250" s="5" t="s">
        <x:v>0</x:v>
      </x:c>
      <x:c r="G250" s="5" t="s">
        <x:v>354</x:v>
      </x:c>
      <x:c r="H250" s="8"/>
      <x:c r="I250" s="8"/>
      <x:c r="J250" s="5" t="s">
        <x:v>345</x:v>
      </x:c>
      <x:c r="K250" s="7"/>
      <x:c r="L250" s="9" t="str">
        <x:f t="shared" si="6"/>
      </x:c>
      <x:c r="M250" s="8">
        <x:v>555367</x:v>
      </x:c>
      <x:c r="N250" s="8">
        <x:v>14553448</x:v>
      </x:c>
      <x:c r="O250" s="7"/>
      <x:c r="P250" s="9">
        <x:f t="shared" si="7"/>
        <x:v>3.8160510141651657E-2</x:v>
      </x:c>
      <x:c r="Q250" s="10" t="s">
        <x:v>476</x:v>
      </x:c>
      <x:c r="R250" s="5" t="s">
        <x:v>477</x:v>
      </x:c>
      <x:c r="S250" s="5" t="s">
        <x:v>357</x:v>
      </x:c>
      <x:c r="T250" s="5" t="s">
        <x:v>478</x:v>
      </x:c>
      <x:c r="U250" s="151"/>
      <x:c r="V250" s="151"/>
      <x:c r="W250" s="151"/>
      <x:c r="X250" s="151"/>
      <x:c r="Y250" s="151"/>
      <x:c r="Z250" s="151"/>
    </x:row>
    <x:row r="251" ht="22" customHeight="1">
      <x:c r="A251" s="5" t="s">
        <x:v>237</x:v>
      </x:c>
      <x:c r="B251" s="5" t="s">
        <x:v>238</x:v>
      </x:c>
      <x:c r="C251" s="6">
        <x:v>45504</x:v>
      </x:c>
      <x:c r="D251" s="5">
        <x:v>2024</x:v>
      </x:c>
      <x:c r="E251" s="5" t="s">
        <x:v>489</x:v>
      </x:c>
      <x:c r="F251" s="5" t="s">
        <x:v>0</x:v>
      </x:c>
      <x:c r="G251" s="5" t="s">
        <x:v>354</x:v>
      </x:c>
      <x:c r="H251" s="8"/>
      <x:c r="I251" s="8"/>
      <x:c r="J251" s="5" t="s">
        <x:v>345</x:v>
      </x:c>
      <x:c r="K251" s="7"/>
      <x:c r="L251" s="9" t="str">
        <x:f t="shared" si="6"/>
      </x:c>
      <x:c r="M251" s="8">
        <x:v>236519</x:v>
      </x:c>
      <x:c r="N251" s="8">
        <x:v>14553448</x:v>
      </x:c>
      <x:c r="O251" s="7"/>
      <x:c r="P251" s="9">
        <x:f t="shared" si="7"/>
        <x:v>1.6251750100732144E-2</x:v>
      </x:c>
      <x:c r="Q251" s="10" t="s">
        <x:v>476</x:v>
      </x:c>
      <x:c r="R251" s="5" t="s">
        <x:v>477</x:v>
      </x:c>
      <x:c r="S251" s="5" t="s">
        <x:v>357</x:v>
      </x:c>
      <x:c r="T251" s="5" t="s">
        <x:v>478</x:v>
      </x:c>
      <x:c r="U251" s="151"/>
      <x:c r="V251" s="151"/>
      <x:c r="W251" s="151"/>
      <x:c r="X251" s="151"/>
      <x:c r="Y251" s="151"/>
      <x:c r="Z251" s="151"/>
    </x:row>
    <x:row r="252" ht="22" customHeight="1">
      <x:c r="A252" s="5" t="s">
        <x:v>237</x:v>
      </x:c>
      <x:c r="B252" s="5" t="s">
        <x:v>238</x:v>
      </x:c>
      <x:c r="C252" s="6">
        <x:v>45504</x:v>
      </x:c>
      <x:c r="D252" s="5">
        <x:v>2024</x:v>
      </x:c>
      <x:c r="E252" s="5" t="s">
        <x:v>490</x:v>
      </x:c>
      <x:c r="F252" s="5" t="s">
        <x:v>0</x:v>
      </x:c>
      <x:c r="G252" s="5" t="s">
        <x:v>354</x:v>
      </x:c>
      <x:c r="H252" s="8"/>
      <x:c r="I252" s="8"/>
      <x:c r="J252" s="5" t="s">
        <x:v>345</x:v>
      </x:c>
      <x:c r="K252" s="7"/>
      <x:c r="L252" s="9" t="str">
        <x:f t="shared" si="6"/>
      </x:c>
      <x:c r="M252" s="8">
        <x:v>1838</x:v>
      </x:c>
      <x:c r="N252" s="8">
        <x:v>14553448</x:v>
      </x:c>
      <x:c r="O252" s="7"/>
      <x:c r="P252" s="9">
        <x:f t="shared" si="7"/>
        <x:v>1.2629309562929691E-4</x:v>
      </x:c>
      <x:c r="Q252" s="10" t="s">
        <x:v>476</x:v>
      </x:c>
      <x:c r="R252" s="5" t="s">
        <x:v>477</x:v>
      </x:c>
      <x:c r="S252" s="5" t="s">
        <x:v>357</x:v>
      </x:c>
      <x:c r="T252" s="5" t="s">
        <x:v>478</x:v>
      </x:c>
      <x:c r="U252" s="151"/>
      <x:c r="V252" s="151"/>
      <x:c r="W252" s="151"/>
      <x:c r="X252" s="151"/>
      <x:c r="Y252" s="151"/>
      <x:c r="Z252" s="151"/>
    </x:row>
    <x:row r="253" ht="22" customHeight="1">
      <x:c r="A253" s="5" t="s">
        <x:v>237</x:v>
      </x:c>
      <x:c r="B253" s="5" t="s">
        <x:v>238</x:v>
      </x:c>
      <x:c r="C253" s="6">
        <x:v>45504</x:v>
      </x:c>
      <x:c r="D253" s="5">
        <x:v>2024</x:v>
      </x:c>
      <x:c r="E253" s="5" t="s">
        <x:v>443</x:v>
      </x:c>
      <x:c r="F253" s="5" t="s">
        <x:v>0</x:v>
      </x:c>
      <x:c r="G253" s="5" t="s">
        <x:v>354</x:v>
      </x:c>
      <x:c r="H253" s="8"/>
      <x:c r="I253" s="8"/>
      <x:c r="J253" s="5" t="s">
        <x:v>345</x:v>
      </x:c>
      <x:c r="K253" s="7"/>
      <x:c r="L253" s="9" t="str">
        <x:f t="shared" si="6"/>
      </x:c>
      <x:c r="M253" s="8">
        <x:v>898633</x:v>
      </x:c>
      <x:c r="N253" s="8">
        <x:v>14553448</x:v>
      </x:c>
      <x:c r="O253" s="7"/>
      <x:c r="P253" s="9">
        <x:f t="shared" si="7"/>
        <x:v>6.174708563908704E-2</x:v>
      </x:c>
      <x:c r="Q253" s="10" t="s">
        <x:v>476</x:v>
      </x:c>
      <x:c r="R253" s="5" t="s">
        <x:v>477</x:v>
      </x:c>
      <x:c r="S253" s="5" t="s">
        <x:v>357</x:v>
      </x:c>
      <x:c r="T253" s="5" t="s">
        <x:v>478</x:v>
      </x:c>
      <x:c r="U253" s="151"/>
      <x:c r="V253" s="151"/>
      <x:c r="W253" s="151"/>
      <x:c r="X253" s="151"/>
      <x:c r="Y253" s="151"/>
      <x:c r="Z253" s="151"/>
    </x:row>
    <x:row r="254" ht="22" customHeight="1">
      <x:c r="A254" s="5" t="s">
        <x:v>237</x:v>
      </x:c>
      <x:c r="B254" s="5" t="s">
        <x:v>238</x:v>
      </x:c>
      <x:c r="C254" s="6">
        <x:v>45504</x:v>
      </x:c>
      <x:c r="D254" s="5">
        <x:v>2024</x:v>
      </x:c>
      <x:c r="E254" s="5" t="s">
        <x:v>491</x:v>
      </x:c>
      <x:c r="F254" s="5" t="s">
        <x:v>0</x:v>
      </x:c>
      <x:c r="G254" s="5" t="s">
        <x:v>354</x:v>
      </x:c>
      <x:c r="H254" s="8"/>
      <x:c r="I254" s="8"/>
      <x:c r="J254" s="5" t="s">
        <x:v>345</x:v>
      </x:c>
      <x:c r="K254" s="7"/>
      <x:c r="L254" s="9" t="str">
        <x:f t="shared" si="6"/>
      </x:c>
      <x:c r="M254" s="8">
        <x:v>10213</x:v>
      </x:c>
      <x:c r="N254" s="8">
        <x:v>14553448</x:v>
      </x:c>
      <x:c r="O254" s="7"/>
      <x:c r="P254" s="9">
        <x:f t="shared" si="7"/>
        <x:v>7.0175809883678427E-4</x:v>
      </x:c>
      <x:c r="Q254" s="10" t="s">
        <x:v>476</x:v>
      </x:c>
      <x:c r="R254" s="5" t="s">
        <x:v>477</x:v>
      </x:c>
      <x:c r="S254" s="5" t="s">
        <x:v>357</x:v>
      </x:c>
      <x:c r="T254" s="5" t="s">
        <x:v>478</x:v>
      </x:c>
      <x:c r="U254" s="151"/>
      <x:c r="V254" s="151"/>
      <x:c r="W254" s="151"/>
      <x:c r="X254" s="151"/>
      <x:c r="Y254" s="151"/>
      <x:c r="Z254" s="151"/>
    </x:row>
    <x:row r="255" ht="22" customHeight="1">
      <x:c r="A255" s="5" t="s">
        <x:v>237</x:v>
      </x:c>
      <x:c r="B255" s="5" t="s">
        <x:v>238</x:v>
      </x:c>
      <x:c r="C255" s="6">
        <x:v>45504</x:v>
      </x:c>
      <x:c r="D255" s="5">
        <x:v>2024</x:v>
      </x:c>
      <x:c r="E255" s="5" t="s">
        <x:v>492</x:v>
      </x:c>
      <x:c r="F255" s="5" t="s">
        <x:v>0</x:v>
      </x:c>
      <x:c r="G255" s="5" t="s">
        <x:v>354</x:v>
      </x:c>
      <x:c r="H255" s="8"/>
      <x:c r="I255" s="8"/>
      <x:c r="J255" s="5" t="s">
        <x:v>345</x:v>
      </x:c>
      <x:c r="K255" s="7"/>
      <x:c r="L255" s="9" t="str">
        <x:f t="shared" si="6"/>
      </x:c>
      <x:c r="M255" s="8">
        <x:v>5148</x:v>
      </x:c>
      <x:c r="N255" s="8">
        <x:v>14553448</x:v>
      </x:c>
      <x:c r="O255" s="7"/>
      <x:c r="P255" s="9">
        <x:f t="shared" si="7"/>
        <x:v>3.5373060734473371E-4</x:v>
      </x:c>
      <x:c r="Q255" s="10" t="s">
        <x:v>476</x:v>
      </x:c>
      <x:c r="R255" s="5" t="s">
        <x:v>477</x:v>
      </x:c>
      <x:c r="S255" s="5" t="s">
        <x:v>357</x:v>
      </x:c>
      <x:c r="T255" s="5" t="s">
        <x:v>478</x:v>
      </x:c>
      <x:c r="U255" s="151"/>
      <x:c r="V255" s="151"/>
      <x:c r="W255" s="151"/>
      <x:c r="X255" s="151"/>
      <x:c r="Y255" s="151"/>
      <x:c r="Z255" s="151"/>
    </x:row>
    <x:row r="256" ht="22" customHeight="1">
      <x:c r="A256" s="5" t="s">
        <x:v>237</x:v>
      </x:c>
      <x:c r="B256" s="5" t="s">
        <x:v>238</x:v>
      </x:c>
      <x:c r="C256" s="6">
        <x:v>45504</x:v>
      </x:c>
      <x:c r="D256" s="5">
        <x:v>2024</x:v>
      </x:c>
      <x:c r="E256" s="5" t="s">
        <x:v>493</x:v>
      </x:c>
      <x:c r="F256" s="5" t="s">
        <x:v>0</x:v>
      </x:c>
      <x:c r="G256" s="5" t="s">
        <x:v>354</x:v>
      </x:c>
      <x:c r="H256" s="8"/>
      <x:c r="I256" s="8"/>
      <x:c r="J256" s="5" t="s">
        <x:v>345</x:v>
      </x:c>
      <x:c r="K256" s="7"/>
      <x:c r="L256" s="9" t="str">
        <x:f t="shared" si="6"/>
      </x:c>
      <x:c r="M256" s="8">
        <x:v>16985</x:v>
      </x:c>
      <x:c r="N256" s="8">
        <x:v>14553448</x:v>
      </x:c>
      <x:c r="O256" s="7"/>
      <x:c r="P256" s="9">
        <x:f t="shared" si="7"/>
        <x:v>1.1670773826243787E-3</x:v>
      </x:c>
      <x:c r="Q256" s="10" t="s">
        <x:v>476</x:v>
      </x:c>
      <x:c r="R256" s="5" t="s">
        <x:v>477</x:v>
      </x:c>
      <x:c r="S256" s="5" t="s">
        <x:v>357</x:v>
      </x:c>
      <x:c r="T256" s="5" t="s">
        <x:v>478</x:v>
      </x:c>
      <x:c r="U256" s="151"/>
      <x:c r="V256" s="151"/>
      <x:c r="W256" s="151"/>
      <x:c r="X256" s="151"/>
      <x:c r="Y256" s="151"/>
      <x:c r="Z256" s="151"/>
    </x:row>
    <x:row r="257" ht="22" customHeight="1">
      <x:c r="A257" s="5" t="s">
        <x:v>237</x:v>
      </x:c>
      <x:c r="B257" s="5" t="s">
        <x:v>238</x:v>
      </x:c>
      <x:c r="C257" s="6">
        <x:v>45504</x:v>
      </x:c>
      <x:c r="D257" s="5">
        <x:v>2024</x:v>
      </x:c>
      <x:c r="E257" s="5" t="s">
        <x:v>444</x:v>
      </x:c>
      <x:c r="F257" s="5" t="s">
        <x:v>0</x:v>
      </x:c>
      <x:c r="G257" s="5" t="s">
        <x:v>354</x:v>
      </x:c>
      <x:c r="H257" s="8"/>
      <x:c r="I257" s="8"/>
      <x:c r="J257" s="5" t="s">
        <x:v>345</x:v>
      </x:c>
      <x:c r="K257" s="7"/>
      <x:c r="L257" s="9" t="str">
        <x:f t="shared" si="6"/>
      </x:c>
      <x:c r="M257" s="8">
        <x:v>221237</x:v>
      </x:c>
      <x:c r="N257" s="8">
        <x:v>14553448</x:v>
      </x:c>
      <x:c r="O257" s="7"/>
      <x:c r="P257" s="9">
        <x:f t="shared" si="7"/>
        <x:v>1.5201689661446553E-2</x:v>
      </x:c>
      <x:c r="Q257" s="10" t="s">
        <x:v>476</x:v>
      </x:c>
      <x:c r="R257" s="5" t="s">
        <x:v>477</x:v>
      </x:c>
      <x:c r="S257" s="5" t="s">
        <x:v>357</x:v>
      </x:c>
      <x:c r="T257" s="5" t="s">
        <x:v>478</x:v>
      </x:c>
      <x:c r="U257" s="151"/>
      <x:c r="V257" s="151"/>
      <x:c r="W257" s="151"/>
      <x:c r="X257" s="151"/>
      <x:c r="Y257" s="151"/>
      <x:c r="Z257" s="151"/>
    </x:row>
    <x:row r="258" ht="22" customHeight="1">
      <x:c r="A258" s="5" t="s">
        <x:v>237</x:v>
      </x:c>
      <x:c r="B258" s="5" t="s">
        <x:v>238</x:v>
      </x:c>
      <x:c r="C258" s="6">
        <x:v>45504</x:v>
      </x:c>
      <x:c r="D258" s="5">
        <x:v>2024</x:v>
      </x:c>
      <x:c r="E258" s="5" t="s">
        <x:v>494</x:v>
      </x:c>
      <x:c r="F258" s="5" t="s">
        <x:v>0</x:v>
      </x:c>
      <x:c r="G258" s="5" t="s">
        <x:v>354</x:v>
      </x:c>
      <x:c r="H258" s="8"/>
      <x:c r="I258" s="8"/>
      <x:c r="J258" s="5" t="s">
        <x:v>345</x:v>
      </x:c>
      <x:c r="K258" s="7"/>
      <x:c r="L258" s="9" t="str">
        <x:f t="shared" si="6"/>
      </x:c>
      <x:c r="M258" s="8">
        <x:v>67423</x:v>
      </x:c>
      <x:c r="N258" s="8">
        <x:v>14553448</x:v>
      </x:c>
      <x:c r="O258" s="7"/>
      <x:c r="P258" s="9">
        <x:f t="shared" si="7"/>
        <x:v>4.6327853028368263E-3</x:v>
      </x:c>
      <x:c r="Q258" s="10" t="s">
        <x:v>476</x:v>
      </x:c>
      <x:c r="R258" s="5" t="s">
        <x:v>477</x:v>
      </x:c>
      <x:c r="S258" s="5" t="s">
        <x:v>357</x:v>
      </x:c>
      <x:c r="T258" s="5" t="s">
        <x:v>478</x:v>
      </x:c>
      <x:c r="U258" s="151"/>
      <x:c r="V258" s="151"/>
      <x:c r="W258" s="151"/>
      <x:c r="X258" s="151"/>
      <x:c r="Y258" s="151"/>
      <x:c r="Z258" s="151"/>
    </x:row>
    <x:row r="259" ht="22" customHeight="1">
      <x:c r="A259" s="5" t="s">
        <x:v>237</x:v>
      </x:c>
      <x:c r="B259" s="5" t="s">
        <x:v>238</x:v>
      </x:c>
      <x:c r="C259" s="6">
        <x:v>45504</x:v>
      </x:c>
      <x:c r="D259" s="5">
        <x:v>2024</x:v>
      </x:c>
      <x:c r="E259" s="5" t="s">
        <x:v>495</x:v>
      </x:c>
      <x:c r="F259" s="5" t="s">
        <x:v>0</x:v>
      </x:c>
      <x:c r="G259" s="5" t="s">
        <x:v>354</x:v>
      </x:c>
      <x:c r="H259" s="8"/>
      <x:c r="I259" s="8"/>
      <x:c r="J259" s="5" t="s">
        <x:v>345</x:v>
      </x:c>
      <x:c r="K259" s="7"/>
      <x:c r="L259" s="9" t="str">
        <x:f t="shared" si="6"/>
      </x:c>
      <x:c r="M259" s="8">
        <x:v>19057</x:v>
      </x:c>
      <x:c r="N259" s="8">
        <x:v>14553448</x:v>
      </x:c>
      <x:c r="O259" s="7"/>
      <x:c r="P259" s="9">
        <x:f t="shared" si="7"/>
        <x:v>1.3094491422238909E-3</x:v>
      </x:c>
      <x:c r="Q259" s="10" t="s">
        <x:v>476</x:v>
      </x:c>
      <x:c r="R259" s="5" t="s">
        <x:v>477</x:v>
      </x:c>
      <x:c r="S259" s="5" t="s">
        <x:v>357</x:v>
      </x:c>
      <x:c r="T259" s="5" t="s">
        <x:v>478</x:v>
      </x:c>
      <x:c r="U259" s="151"/>
      <x:c r="V259" s="151"/>
      <x:c r="W259" s="151"/>
      <x:c r="X259" s="151"/>
      <x:c r="Y259" s="151"/>
      <x:c r="Z259" s="151"/>
    </x:row>
    <x:row r="260" ht="22" customHeight="1">
      <x:c r="A260" s="5" t="s">
        <x:v>237</x:v>
      </x:c>
      <x:c r="B260" s="5" t="s">
        <x:v>238</x:v>
      </x:c>
      <x:c r="C260" s="6">
        <x:v>45504</x:v>
      </x:c>
      <x:c r="D260" s="5">
        <x:v>2024</x:v>
      </x:c>
      <x:c r="E260" s="5" t="s">
        <x:v>445</x:v>
      </x:c>
      <x:c r="F260" s="5" t="s">
        <x:v>0</x:v>
      </x:c>
      <x:c r="G260" s="5" t="s">
        <x:v>354</x:v>
      </x:c>
      <x:c r="H260" s="8"/>
      <x:c r="I260" s="8"/>
      <x:c r="J260" s="5" t="s">
        <x:v>345</x:v>
      </x:c>
      <x:c r="K260" s="7"/>
      <x:c r="L260" s="9" t="str">
        <x:f t="shared" si="6"/>
      </x:c>
      <x:c r="M260" s="8">
        <x:v>308246</x:v>
      </x:c>
      <x:c r="N260" s="8">
        <x:v>14553448</x:v>
      </x:c>
      <x:c r="O260" s="7"/>
      <x:c r="P260" s="9">
        <x:f t="shared" si="7"/>
        <x:v>2.1180272881038225E-2</x:v>
      </x:c>
      <x:c r="Q260" s="10" t="s">
        <x:v>476</x:v>
      </x:c>
      <x:c r="R260" s="5" t="s">
        <x:v>477</x:v>
      </x:c>
      <x:c r="S260" s="5" t="s">
        <x:v>357</x:v>
      </x:c>
      <x:c r="T260" s="5" t="s">
        <x:v>478</x:v>
      </x:c>
      <x:c r="U260" s="151"/>
      <x:c r="V260" s="151"/>
      <x:c r="W260" s="151"/>
      <x:c r="X260" s="151"/>
      <x:c r="Y260" s="151"/>
      <x:c r="Z260" s="151"/>
    </x:row>
    <x:row r="261" ht="22" customHeight="1">
      <x:c r="A261" s="5" t="s">
        <x:v>237</x:v>
      </x:c>
      <x:c r="B261" s="5" t="s">
        <x:v>238</x:v>
      </x:c>
      <x:c r="C261" s="6">
        <x:v>45504</x:v>
      </x:c>
      <x:c r="D261" s="5">
        <x:v>2024</x:v>
      </x:c>
      <x:c r="E261" s="5" t="s">
        <x:v>447</x:v>
      </x:c>
      <x:c r="F261" s="5" t="s">
        <x:v>0</x:v>
      </x:c>
      <x:c r="G261" s="5" t="s">
        <x:v>354</x:v>
      </x:c>
      <x:c r="H261" s="8"/>
      <x:c r="I261" s="8"/>
      <x:c r="J261" s="5" t="s">
        <x:v>345</x:v>
      </x:c>
      <x:c r="K261" s="7"/>
      <x:c r="L261" s="9" t="str">
        <x:f t="shared" si="6"/>
      </x:c>
      <x:c r="M261" s="8">
        <x:v>57419</x:v>
      </x:c>
      <x:c r="N261" s="8">
        <x:v>14553448</x:v>
      </x:c>
      <x:c r="O261" s="7"/>
      <x:c r="P261" s="9">
        <x:f t="shared" si="7"/>
        <x:v>3.9453880619905327E-3</x:v>
      </x:c>
      <x:c r="Q261" s="10" t="s">
        <x:v>476</x:v>
      </x:c>
      <x:c r="R261" s="5" t="s">
        <x:v>477</x:v>
      </x:c>
      <x:c r="S261" s="5" t="s">
        <x:v>357</x:v>
      </x:c>
      <x:c r="T261" s="5" t="s">
        <x:v>478</x:v>
      </x:c>
      <x:c r="U261" s="151"/>
      <x:c r="V261" s="151"/>
      <x:c r="W261" s="151"/>
      <x:c r="X261" s="151"/>
      <x:c r="Y261" s="151"/>
      <x:c r="Z261" s="151"/>
    </x:row>
    <x:row r="262" ht="22" customHeight="1">
      <x:c r="A262" s="5" t="s">
        <x:v>237</x:v>
      </x:c>
      <x:c r="B262" s="5" t="s">
        <x:v>238</x:v>
      </x:c>
      <x:c r="C262" s="6">
        <x:v>45504</x:v>
      </x:c>
      <x:c r="D262" s="5">
        <x:v>2024</x:v>
      </x:c>
      <x:c r="E262" s="5" t="s">
        <x:v>496</x:v>
      </x:c>
      <x:c r="F262" s="5" t="s">
        <x:v>0</x:v>
      </x:c>
      <x:c r="G262" s="5" t="s">
        <x:v>354</x:v>
      </x:c>
      <x:c r="H262" s="8"/>
      <x:c r="I262" s="8"/>
      <x:c r="J262" s="5" t="s">
        <x:v>345</x:v>
      </x:c>
      <x:c r="K262" s="7"/>
      <x:c r="L262" s="9" t="str">
        <x:f t="shared" ref="L262:L325" si="8">IF(AND(H262&lt;&gt;"",I262&lt;&gt;""),H262/I262,IF(K262&lt;&gt;"",K262,""))</x:f>
      </x:c>
      <x:c r="M262" s="8">
        <x:v>1609</x:v>
      </x:c>
      <x:c r="N262" s="8">
        <x:v>14553448</x:v>
      </x:c>
      <x:c r="O262" s="7"/>
      <x:c r="P262" s="9" t="n">
        <x:f t="shared" ref="P262:P325" si="9">IF(AND(M262&lt;&gt;"",N262&lt;&gt;""),M262/N262,IF(O262&lt;&gt;"",O262,""))</x:f>
        <x:v>0.00011055799285502652</x:v>
      </x:c>
      <x:c r="Q262" s="10" t="s">
        <x:v>476</x:v>
      </x:c>
      <x:c r="R262" s="5" t="s">
        <x:v>477</x:v>
      </x:c>
      <x:c r="S262" s="5" t="s">
        <x:v>357</x:v>
      </x:c>
      <x:c r="T262" s="5" t="s">
        <x:v>478</x:v>
      </x:c>
      <x:c r="U262" s="151"/>
      <x:c r="V262" s="151"/>
      <x:c r="W262" s="151"/>
      <x:c r="X262" s="151"/>
      <x:c r="Y262" s="151"/>
      <x:c r="Z262" s="151"/>
    </x:row>
    <x:row r="263" ht="22" customHeight="1">
      <x:c r="A263" s="5" t="s">
        <x:v>237</x:v>
      </x:c>
      <x:c r="B263" s="5" t="s">
        <x:v>238</x:v>
      </x:c>
      <x:c r="C263" s="6">
        <x:v>45504</x:v>
      </x:c>
      <x:c r="D263" s="5">
        <x:v>2024</x:v>
      </x:c>
      <x:c r="E263" s="5" t="s">
        <x:v>497</x:v>
      </x:c>
      <x:c r="F263" s="5" t="s">
        <x:v>0</x:v>
      </x:c>
      <x:c r="G263" s="5" t="s">
        <x:v>354</x:v>
      </x:c>
      <x:c r="H263" s="8"/>
      <x:c r="I263" s="8"/>
      <x:c r="J263" s="5" t="s">
        <x:v>345</x:v>
      </x:c>
      <x:c r="K263" s="7"/>
      <x:c r="L263" s="9" t="str">
        <x:f t="shared" si="8"/>
      </x:c>
      <x:c r="M263" s="8">
        <x:v>187501</x:v>
      </x:c>
      <x:c r="N263" s="8">
        <x:v>14553448</x:v>
      </x:c>
      <x:c r="O263" s="7"/>
      <x:c r="P263" s="9">
        <x:f t="shared" si="9"/>
        <x:v>1.288361356016801E-2</x:v>
      </x:c>
      <x:c r="Q263" s="10" t="s">
        <x:v>476</x:v>
      </x:c>
      <x:c r="R263" s="5" t="s">
        <x:v>477</x:v>
      </x:c>
      <x:c r="S263" s="5" t="s">
        <x:v>357</x:v>
      </x:c>
      <x:c r="T263" s="5" t="s">
        <x:v>478</x:v>
      </x:c>
      <x:c r="U263" s="151"/>
      <x:c r="V263" s="151"/>
      <x:c r="W263" s="151"/>
      <x:c r="X263" s="151"/>
      <x:c r="Y263" s="151"/>
      <x:c r="Z263" s="151"/>
    </x:row>
    <x:row r="264" ht="22" customHeight="1">
      <x:c r="A264" s="5" t="s">
        <x:v>237</x:v>
      </x:c>
      <x:c r="B264" s="5" t="s">
        <x:v>238</x:v>
      </x:c>
      <x:c r="C264" s="6">
        <x:v>45504</x:v>
      </x:c>
      <x:c r="D264" s="5">
        <x:v>2024</x:v>
      </x:c>
      <x:c r="E264" s="5" t="s">
        <x:v>498</x:v>
      </x:c>
      <x:c r="F264" s="5" t="s">
        <x:v>0</x:v>
      </x:c>
      <x:c r="G264" s="5" t="s">
        <x:v>354</x:v>
      </x:c>
      <x:c r="H264" s="8"/>
      <x:c r="I264" s="8"/>
      <x:c r="J264" s="5" t="s">
        <x:v>345</x:v>
      </x:c>
      <x:c r="K264" s="7"/>
      <x:c r="L264" s="9" t="str">
        <x:f t="shared" si="8"/>
      </x:c>
      <x:c r="M264" s="8">
        <x:v>13682</x:v>
      </x:c>
      <x:c r="N264" s="8">
        <x:v>14553448</x:v>
      </x:c>
      <x:c r="O264" s="7"/>
      <x:c r="P264" s="9">
        <x:f t="shared" si="9"/>
        <x:v>9.4012085658326462E-4</x:v>
      </x:c>
      <x:c r="Q264" s="10" t="s">
        <x:v>476</x:v>
      </x:c>
      <x:c r="R264" s="5" t="s">
        <x:v>477</x:v>
      </x:c>
      <x:c r="S264" s="5" t="s">
        <x:v>357</x:v>
      </x:c>
      <x:c r="T264" s="5" t="s">
        <x:v>478</x:v>
      </x:c>
      <x:c r="U264" s="151"/>
      <x:c r="V264" s="151"/>
      <x:c r="W264" s="151"/>
      <x:c r="X264" s="151"/>
      <x:c r="Y264" s="151"/>
      <x:c r="Z264" s="151"/>
    </x:row>
    <x:row r="265" ht="22" customHeight="1">
      <x:c r="A265" s="5" t="s">
        <x:v>237</x:v>
      </x:c>
      <x:c r="B265" s="5" t="s">
        <x:v>238</x:v>
      </x:c>
      <x:c r="C265" s="6">
        <x:v>45504</x:v>
      </x:c>
      <x:c r="D265" s="5">
        <x:v>2024</x:v>
      </x:c>
      <x:c r="E265" s="5" t="s">
        <x:v>456</x:v>
      </x:c>
      <x:c r="F265" s="5" t="s">
        <x:v>0</x:v>
      </x:c>
      <x:c r="G265" s="5" t="s">
        <x:v>354</x:v>
      </x:c>
      <x:c r="H265" s="8"/>
      <x:c r="I265" s="8"/>
      <x:c r="J265" s="5" t="s">
        <x:v>345</x:v>
      </x:c>
      <x:c r="K265" s="7"/>
      <x:c r="L265" s="9" t="str">
        <x:f t="shared" si="8"/>
      </x:c>
      <x:c r="M265" s="8">
        <x:v>28311</x:v>
      </x:c>
      <x:c r="N265" s="8">
        <x:v>14553448</x:v>
      </x:c>
      <x:c r="O265" s="7"/>
      <x:c r="P265" s="9">
        <x:f t="shared" si="9"/>
        <x:v>1.9453122036784684E-3</x:v>
      </x:c>
      <x:c r="Q265" s="10" t="s">
        <x:v>476</x:v>
      </x:c>
      <x:c r="R265" s="5" t="s">
        <x:v>477</x:v>
      </x:c>
      <x:c r="S265" s="5" t="s">
        <x:v>357</x:v>
      </x:c>
      <x:c r="T265" s="5" t="s">
        <x:v>478</x:v>
      </x:c>
      <x:c r="U265" s="151"/>
      <x:c r="V265" s="151"/>
      <x:c r="W265" s="151"/>
      <x:c r="X265" s="151"/>
      <x:c r="Y265" s="151"/>
      <x:c r="Z265" s="151"/>
    </x:row>
    <x:row r="266" ht="22" customHeight="1">
      <x:c r="A266" s="5" t="s">
        <x:v>237</x:v>
      </x:c>
      <x:c r="B266" s="5" t="s">
        <x:v>238</x:v>
      </x:c>
      <x:c r="C266" s="6">
        <x:v>45504</x:v>
      </x:c>
      <x:c r="D266" s="5">
        <x:v>2024</x:v>
      </x:c>
      <x:c r="E266" s="5" t="s">
        <x:v>457</x:v>
      </x:c>
      <x:c r="F266" s="5" t="s">
        <x:v>0</x:v>
      </x:c>
      <x:c r="G266" s="5" t="s">
        <x:v>354</x:v>
      </x:c>
      <x:c r="H266" s="8"/>
      <x:c r="I266" s="8"/>
      <x:c r="J266" s="5" t="s">
        <x:v>345</x:v>
      </x:c>
      <x:c r="K266" s="7"/>
      <x:c r="L266" s="9" t="str">
        <x:f t="shared" si="8"/>
      </x:c>
      <x:c r="M266" s="8">
        <x:v>306165</x:v>
      </x:c>
      <x:c r="N266" s="8">
        <x:v>14553448</x:v>
      </x:c>
      <x:c r="O266" s="7"/>
      <x:c r="P266" s="9">
        <x:f t="shared" si="9"/>
        <x:v>2.1037282711286014E-2</x:v>
      </x:c>
      <x:c r="Q266" s="10" t="s">
        <x:v>476</x:v>
      </x:c>
      <x:c r="R266" s="5" t="s">
        <x:v>477</x:v>
      </x:c>
      <x:c r="S266" s="5" t="s">
        <x:v>357</x:v>
      </x:c>
      <x:c r="T266" s="5" t="s">
        <x:v>478</x:v>
      </x:c>
      <x:c r="U266" s="151"/>
      <x:c r="V266" s="151"/>
      <x:c r="W266" s="151"/>
      <x:c r="X266" s="151"/>
      <x:c r="Y266" s="151"/>
      <x:c r="Z266" s="151"/>
    </x:row>
    <x:row r="267" ht="22" customHeight="1">
      <x:c r="A267" s="5" t="s">
        <x:v>237</x:v>
      </x:c>
      <x:c r="B267" s="5" t="s">
        <x:v>238</x:v>
      </x:c>
      <x:c r="C267" s="6">
        <x:v>45504</x:v>
      </x:c>
      <x:c r="D267" s="5">
        <x:v>2024</x:v>
      </x:c>
      <x:c r="E267" s="5" t="s">
        <x:v>458</x:v>
      </x:c>
      <x:c r="F267" s="5" t="s">
        <x:v>0</x:v>
      </x:c>
      <x:c r="G267" s="5" t="s">
        <x:v>354</x:v>
      </x:c>
      <x:c r="H267" s="8"/>
      <x:c r="I267" s="8"/>
      <x:c r="J267" s="5" t="s">
        <x:v>345</x:v>
      </x:c>
      <x:c r="K267" s="7"/>
      <x:c r="L267" s="9" t="str">
        <x:f t="shared" si="8"/>
      </x:c>
      <x:c r="M267" s="8">
        <x:v>94546</x:v>
      </x:c>
      <x:c r="N267" s="8">
        <x:v>14553448</x:v>
      </x:c>
      <x:c r="O267" s="7"/>
      <x:c r="P267" s="9">
        <x:f t="shared" si="9"/>
        <x:v>6.4964673663588171E-3</x:v>
      </x:c>
      <x:c r="Q267" s="10" t="s">
        <x:v>476</x:v>
      </x:c>
      <x:c r="R267" s="5" t="s">
        <x:v>477</x:v>
      </x:c>
      <x:c r="S267" s="5" t="s">
        <x:v>357</x:v>
      </x:c>
      <x:c r="T267" s="5" t="s">
        <x:v>478</x:v>
      </x:c>
      <x:c r="U267" s="151"/>
      <x:c r="V267" s="151"/>
      <x:c r="W267" s="151"/>
      <x:c r="X267" s="151"/>
      <x:c r="Y267" s="151"/>
      <x:c r="Z267" s="151"/>
    </x:row>
    <x:row r="268" ht="22" customHeight="1">
      <x:c r="A268" s="5" t="s">
        <x:v>237</x:v>
      </x:c>
      <x:c r="B268" s="5" t="s">
        <x:v>238</x:v>
      </x:c>
      <x:c r="C268" s="6">
        <x:v>45504</x:v>
      </x:c>
      <x:c r="D268" s="5">
        <x:v>2024</x:v>
      </x:c>
      <x:c r="E268" s="5" t="s">
        <x:v>499</x:v>
      </x:c>
      <x:c r="F268" s="5" t="s">
        <x:v>0</x:v>
      </x:c>
      <x:c r="G268" s="5" t="s">
        <x:v>354</x:v>
      </x:c>
      <x:c r="H268" s="8"/>
      <x:c r="I268" s="8"/>
      <x:c r="J268" s="5" t="s">
        <x:v>345</x:v>
      </x:c>
      <x:c r="K268" s="7"/>
      <x:c r="L268" s="9" t="str">
        <x:f t="shared" si="8"/>
      </x:c>
      <x:c r="M268" s="8">
        <x:v>46191</x:v>
      </x:c>
      <x:c r="N268" s="8">
        <x:v>14553448</x:v>
      </x:c>
      <x:c r="O268" s="7"/>
      <x:c r="P268" s="9">
        <x:f t="shared" si="9"/>
        <x:v>3.1738870403769607E-3</x:v>
      </x:c>
      <x:c r="Q268" s="10" t="s">
        <x:v>476</x:v>
      </x:c>
      <x:c r="R268" s="5" t="s">
        <x:v>477</x:v>
      </x:c>
      <x:c r="S268" s="5" t="s">
        <x:v>357</x:v>
      </x:c>
      <x:c r="T268" s="5" t="s">
        <x:v>478</x:v>
      </x:c>
      <x:c r="U268" s="151"/>
      <x:c r="V268" s="151"/>
      <x:c r="W268" s="151"/>
      <x:c r="X268" s="151"/>
      <x:c r="Y268" s="151"/>
      <x:c r="Z268" s="151"/>
    </x:row>
    <x:row r="269" ht="22" customHeight="1">
      <x:c r="A269" s="5" t="s">
        <x:v>237</x:v>
      </x:c>
      <x:c r="B269" s="5" t="s">
        <x:v>238</x:v>
      </x:c>
      <x:c r="C269" s="6">
        <x:v>45504</x:v>
      </x:c>
      <x:c r="D269" s="5">
        <x:v>2024</x:v>
      </x:c>
      <x:c r="E269" s="5" t="s">
        <x:v>500</x:v>
      </x:c>
      <x:c r="F269" s="5" t="s">
        <x:v>0</x:v>
      </x:c>
      <x:c r="G269" s="5" t="s">
        <x:v>354</x:v>
      </x:c>
      <x:c r="H269" s="8"/>
      <x:c r="I269" s="8"/>
      <x:c r="J269" s="5" t="s">
        <x:v>345</x:v>
      </x:c>
      <x:c r="K269" s="7"/>
      <x:c r="L269" s="9" t="str">
        <x:f t="shared" si="8"/>
      </x:c>
      <x:c r="M269" s="8">
        <x:v>26069</x:v>
      </x:c>
      <x:c r="N269" s="8">
        <x:v>14553448</x:v>
      </x:c>
      <x:c r="O269" s="7"/>
      <x:c r="P269" s="9">
        <x:f t="shared" si="9"/>
        <x:v>1.7912593634168343E-3</x:v>
      </x:c>
      <x:c r="Q269" s="10" t="s">
        <x:v>476</x:v>
      </x:c>
      <x:c r="R269" s="5" t="s">
        <x:v>477</x:v>
      </x:c>
      <x:c r="S269" s="5" t="s">
        <x:v>357</x:v>
      </x:c>
      <x:c r="T269" s="5" t="s">
        <x:v>478</x:v>
      </x:c>
      <x:c r="U269" s="151"/>
      <x:c r="V269" s="151"/>
      <x:c r="W269" s="151"/>
      <x:c r="X269" s="151"/>
      <x:c r="Y269" s="151"/>
      <x:c r="Z269" s="151"/>
    </x:row>
    <x:row r="270" ht="22" customHeight="1">
      <x:c r="A270" s="5" t="s">
        <x:v>237</x:v>
      </x:c>
      <x:c r="B270" s="5" t="s">
        <x:v>238</x:v>
      </x:c>
      <x:c r="C270" s="6">
        <x:v>45504</x:v>
      </x:c>
      <x:c r="D270" s="5">
        <x:v>2024</x:v>
      </x:c>
      <x:c r="E270" s="5" t="s">
        <x:v>501</x:v>
      </x:c>
      <x:c r="F270" s="5" t="s">
        <x:v>0</x:v>
      </x:c>
      <x:c r="G270" s="5" t="s">
        <x:v>354</x:v>
      </x:c>
      <x:c r="H270" s="8"/>
      <x:c r="I270" s="8"/>
      <x:c r="J270" s="5" t="s">
        <x:v>345</x:v>
      </x:c>
      <x:c r="K270" s="7"/>
      <x:c r="L270" s="9" t="str">
        <x:f t="shared" si="8"/>
      </x:c>
      <x:c r="M270" s="8">
        <x:v>8333</x:v>
      </x:c>
      <x:c r="N270" s="8">
        <x:v>14553448</x:v>
      </x:c>
      <x:c r="O270" s="7"/>
      <x:c r="P270" s="9">
        <x:f t="shared" si="9"/>
        <x:v>5.7257908916155122E-4</x:v>
      </x:c>
      <x:c r="Q270" s="10" t="s">
        <x:v>476</x:v>
      </x:c>
      <x:c r="R270" s="5" t="s">
        <x:v>477</x:v>
      </x:c>
      <x:c r="S270" s="5" t="s">
        <x:v>357</x:v>
      </x:c>
      <x:c r="T270" s="5" t="s">
        <x:v>478</x:v>
      </x:c>
      <x:c r="U270" s="151"/>
      <x:c r="V270" s="151"/>
      <x:c r="W270" s="151"/>
      <x:c r="X270" s="151"/>
      <x:c r="Y270" s="151"/>
      <x:c r="Z270" s="151"/>
    </x:row>
    <x:row r="271" ht="22" customHeight="1">
      <x:c r="A271" s="5" t="s">
        <x:v>237</x:v>
      </x:c>
      <x:c r="B271" s="5" t="s">
        <x:v>238</x:v>
      </x:c>
      <x:c r="C271" s="6">
        <x:v>45504</x:v>
      </x:c>
      <x:c r="D271" s="5">
        <x:v>2024</x:v>
      </x:c>
      <x:c r="E271" s="5" t="s">
        <x:v>502</x:v>
      </x:c>
      <x:c r="F271" s="5" t="s">
        <x:v>0</x:v>
      </x:c>
      <x:c r="G271" s="5" t="s">
        <x:v>354</x:v>
      </x:c>
      <x:c r="H271" s="8"/>
      <x:c r="I271" s="8"/>
      <x:c r="J271" s="5" t="s">
        <x:v>345</x:v>
      </x:c>
      <x:c r="K271" s="7"/>
      <x:c r="L271" s="9" t="str">
        <x:f t="shared" si="8"/>
      </x:c>
      <x:c r="M271" s="8">
        <x:v>94395</x:v>
      </x:c>
      <x:c r="N271" s="8">
        <x:v>14553448</x:v>
      </x:c>
      <x:c r="O271" s="7"/>
      <x:c r="P271" s="9">
        <x:f t="shared" si="9"/>
        <x:v>6.4860918182412857E-3</x:v>
      </x:c>
      <x:c r="Q271" s="10" t="s">
        <x:v>476</x:v>
      </x:c>
      <x:c r="R271" s="5" t="s">
        <x:v>477</x:v>
      </x:c>
      <x:c r="S271" s="5" t="s">
        <x:v>357</x:v>
      </x:c>
      <x:c r="T271" s="5" t="s">
        <x:v>478</x:v>
      </x:c>
      <x:c r="U271" s="151"/>
      <x:c r="V271" s="151"/>
      <x:c r="W271" s="151"/>
      <x:c r="X271" s="151"/>
      <x:c r="Y271" s="151"/>
      <x:c r="Z271" s="151"/>
    </x:row>
    <x:row r="272" ht="22" customHeight="1">
      <x:c r="A272" s="5" t="s">
        <x:v>237</x:v>
      </x:c>
      <x:c r="B272" s="5" t="s">
        <x:v>238</x:v>
      </x:c>
      <x:c r="C272" s="6">
        <x:v>45504</x:v>
      </x:c>
      <x:c r="D272" s="5">
        <x:v>2024</x:v>
      </x:c>
      <x:c r="E272" s="5" t="s">
        <x:v>460</x:v>
      </x:c>
      <x:c r="F272" s="5" t="s">
        <x:v>0</x:v>
      </x:c>
      <x:c r="G272" s="5" t="s">
        <x:v>354</x:v>
      </x:c>
      <x:c r="H272" s="8"/>
      <x:c r="I272" s="8"/>
      <x:c r="J272" s="5" t="s">
        <x:v>345</x:v>
      </x:c>
      <x:c r="K272" s="7"/>
      <x:c r="L272" s="9" t="str">
        <x:f t="shared" si="8"/>
      </x:c>
      <x:c r="M272" s="8">
        <x:v>690853</x:v>
      </x:c>
      <x:c r="N272" s="8">
        <x:v>14553448</x:v>
      </x:c>
      <x:c r="O272" s="7"/>
      <x:c r="P272" s="9">
        <x:f t="shared" si="9"/>
        <x:v>4.747005658040624E-2</x:v>
      </x:c>
      <x:c r="Q272" s="10" t="s">
        <x:v>476</x:v>
      </x:c>
      <x:c r="R272" s="5" t="s">
        <x:v>477</x:v>
      </x:c>
      <x:c r="S272" s="5" t="s">
        <x:v>357</x:v>
      </x:c>
      <x:c r="T272" s="5" t="s">
        <x:v>478</x:v>
      </x:c>
      <x:c r="U272" s="151"/>
      <x:c r="V272" s="151"/>
      <x:c r="W272" s="151"/>
      <x:c r="X272" s="151"/>
      <x:c r="Y272" s="151"/>
      <x:c r="Z272" s="151"/>
    </x:row>
    <x:row r="273" ht="22" customHeight="1">
      <x:c r="A273" s="5" t="s">
        <x:v>237</x:v>
      </x:c>
      <x:c r="B273" s="5" t="s">
        <x:v>238</x:v>
      </x:c>
      <x:c r="C273" s="6">
        <x:v>45504</x:v>
      </x:c>
      <x:c r="D273" s="5">
        <x:v>2024</x:v>
      </x:c>
      <x:c r="E273" s="5" t="s">
        <x:v>503</x:v>
      </x:c>
      <x:c r="F273" s="5" t="s">
        <x:v>0</x:v>
      </x:c>
      <x:c r="G273" s="5" t="s">
        <x:v>354</x:v>
      </x:c>
      <x:c r="H273" s="8"/>
      <x:c r="I273" s="8"/>
      <x:c r="J273" s="5" t="s">
        <x:v>345</x:v>
      </x:c>
      <x:c r="K273" s="7"/>
      <x:c r="L273" s="9" t="str">
        <x:f t="shared" si="8"/>
      </x:c>
      <x:c r="M273" s="8">
        <x:v>84789</x:v>
      </x:c>
      <x:c r="N273" s="8">
        <x:v>14553448</x:v>
      </x:c>
      <x:c r="O273" s="7"/>
      <x:c r="P273" s="9">
        <x:f t="shared" si="9"/>
        <x:v>5.8260420485921963E-3</x:v>
      </x:c>
      <x:c r="Q273" s="10" t="s">
        <x:v>476</x:v>
      </x:c>
      <x:c r="R273" s="5" t="s">
        <x:v>477</x:v>
      </x:c>
      <x:c r="S273" s="5" t="s">
        <x:v>357</x:v>
      </x:c>
      <x:c r="T273" s="5" t="s">
        <x:v>478</x:v>
      </x:c>
      <x:c r="U273" s="151"/>
      <x:c r="V273" s="151"/>
      <x:c r="W273" s="151"/>
      <x:c r="X273" s="151"/>
      <x:c r="Y273" s="151"/>
      <x:c r="Z273" s="151"/>
    </x:row>
    <x:row r="274" ht="22" customHeight="1">
      <x:c r="A274" s="5" t="s">
        <x:v>237</x:v>
      </x:c>
      <x:c r="B274" s="5" t="s">
        <x:v>238</x:v>
      </x:c>
      <x:c r="C274" s="6">
        <x:v>45504</x:v>
      </x:c>
      <x:c r="D274" s="5">
        <x:v>2024</x:v>
      </x:c>
      <x:c r="E274" s="5" t="s">
        <x:v>504</x:v>
      </x:c>
      <x:c r="F274" s="5" t="s">
        <x:v>0</x:v>
      </x:c>
      <x:c r="G274" s="5" t="s">
        <x:v>354</x:v>
      </x:c>
      <x:c r="H274" s="8"/>
      <x:c r="I274" s="8"/>
      <x:c r="J274" s="5" t="s">
        <x:v>345</x:v>
      </x:c>
      <x:c r="K274" s="7"/>
      <x:c r="L274" s="9" t="str">
        <x:f t="shared" si="8"/>
      </x:c>
      <x:c r="M274" s="8">
        <x:v>50182</x:v>
      </x:c>
      <x:c r="N274" s="8">
        <x:v>14553448</x:v>
      </x:c>
      <x:c r="O274" s="7"/>
      <x:c r="P274" s="9">
        <x:f t="shared" si="9"/>
        <x:v>3.4481175869800749E-3</x:v>
      </x:c>
      <x:c r="Q274" s="10" t="s">
        <x:v>476</x:v>
      </x:c>
      <x:c r="R274" s="5" t="s">
        <x:v>477</x:v>
      </x:c>
      <x:c r="S274" s="5" t="s">
        <x:v>357</x:v>
      </x:c>
      <x:c r="T274" s="5" t="s">
        <x:v>478</x:v>
      </x:c>
      <x:c r="U274" s="151"/>
      <x:c r="V274" s="151"/>
      <x:c r="W274" s="151"/>
      <x:c r="X274" s="151"/>
      <x:c r="Y274" s="151"/>
      <x:c r="Z274" s="151"/>
    </x:row>
    <x:row r="275" ht="22" customHeight="1">
      <x:c r="A275" s="5" t="s">
        <x:v>237</x:v>
      </x:c>
      <x:c r="B275" s="5" t="s">
        <x:v>238</x:v>
      </x:c>
      <x:c r="C275" s="6">
        <x:v>45504</x:v>
      </x:c>
      <x:c r="D275" s="5">
        <x:v>2024</x:v>
      </x:c>
      <x:c r="E275" s="5" t="s">
        <x:v>505</x:v>
      </x:c>
      <x:c r="F275" s="5" t="s">
        <x:v>0</x:v>
      </x:c>
      <x:c r="G275" s="5" t="s">
        <x:v>354</x:v>
      </x:c>
      <x:c r="H275" s="8"/>
      <x:c r="I275" s="8"/>
      <x:c r="J275" s="5" t="s">
        <x:v>345</x:v>
      </x:c>
      <x:c r="K275" s="7"/>
      <x:c r="L275" s="9" t="str">
        <x:f t="shared" si="8"/>
      </x:c>
      <x:c r="M275" s="8">
        <x:v>31149</x:v>
      </x:c>
      <x:c r="N275" s="8">
        <x:v>14553448</x:v>
      </x:c>
      <x:c r="O275" s="7"/>
      <x:c r="P275" s="9">
        <x:f t="shared" si="9"/>
        <x:v>2.1403175384967191E-3</x:v>
      </x:c>
      <x:c r="Q275" s="10" t="s">
        <x:v>476</x:v>
      </x:c>
      <x:c r="R275" s="5" t="s">
        <x:v>477</x:v>
      </x:c>
      <x:c r="S275" s="5" t="s">
        <x:v>357</x:v>
      </x:c>
      <x:c r="T275" s="5" t="s">
        <x:v>478</x:v>
      </x:c>
      <x:c r="U275" s="151"/>
      <x:c r="V275" s="151"/>
      <x:c r="W275" s="151"/>
      <x:c r="X275" s="151"/>
      <x:c r="Y275" s="151"/>
      <x:c r="Z275" s="151"/>
    </x:row>
    <x:row r="276" ht="22" customHeight="1">
      <x:c r="A276" s="5" t="s">
        <x:v>237</x:v>
      </x:c>
      <x:c r="B276" s="5" t="s">
        <x:v>238</x:v>
      </x:c>
      <x:c r="C276" s="6">
        <x:v>45504</x:v>
      </x:c>
      <x:c r="D276" s="5">
        <x:v>2024</x:v>
      </x:c>
      <x:c r="E276" s="5" t="s">
        <x:v>506</x:v>
      </x:c>
      <x:c r="F276" s="5" t="s">
        <x:v>0</x:v>
      </x:c>
      <x:c r="G276" s="5" t="s">
        <x:v>354</x:v>
      </x:c>
      <x:c r="H276" s="8"/>
      <x:c r="I276" s="8"/>
      <x:c r="J276" s="5" t="s">
        <x:v>345</x:v>
      </x:c>
      <x:c r="K276" s="7"/>
      <x:c r="L276" s="9" t="str">
        <x:f t="shared" si="8"/>
      </x:c>
      <x:c r="M276" s="8">
        <x:v>1266138</x:v>
      </x:c>
      <x:c r="N276" s="8">
        <x:v>14553448</x:v>
      </x:c>
      <x:c r="O276" s="7"/>
      <x:c r="P276" s="9">
        <x:f t="shared" si="9"/>
        <x:v>8.6999177102223477E-2</x:v>
      </x:c>
      <x:c r="Q276" s="10" t="s">
        <x:v>476</x:v>
      </x:c>
      <x:c r="R276" s="5" t="s">
        <x:v>477</x:v>
      </x:c>
      <x:c r="S276" s="5" t="s">
        <x:v>357</x:v>
      </x:c>
      <x:c r="T276" s="5" t="s">
        <x:v>478</x:v>
      </x:c>
      <x:c r="U276" s="151"/>
      <x:c r="V276" s="151"/>
      <x:c r="W276" s="151"/>
      <x:c r="X276" s="151"/>
      <x:c r="Y276" s="151"/>
      <x:c r="Z276" s="151"/>
    </x:row>
    <x:row r="277" ht="22" customHeight="1">
      <x:c r="A277" s="5" t="s">
        <x:v>237</x:v>
      </x:c>
      <x:c r="B277" s="5" t="s">
        <x:v>238</x:v>
      </x:c>
      <x:c r="C277" s="6">
        <x:v>45504</x:v>
      </x:c>
      <x:c r="D277" s="5">
        <x:v>2024</x:v>
      </x:c>
      <x:c r="E277" s="5" t="s">
        <x:v>467</x:v>
      </x:c>
      <x:c r="F277" s="5" t="s">
        <x:v>0</x:v>
      </x:c>
      <x:c r="G277" s="5" t="s">
        <x:v>354</x:v>
      </x:c>
      <x:c r="H277" s="8"/>
      <x:c r="I277" s="8"/>
      <x:c r="J277" s="5" t="s">
        <x:v>345</x:v>
      </x:c>
      <x:c r="K277" s="7"/>
      <x:c r="L277" s="9" t="str">
        <x:f t="shared" si="8"/>
      </x:c>
      <x:c r="M277" s="8">
        <x:v>20219</x:v>
      </x:c>
      <x:c r="N277" s="8">
        <x:v>14553448</x:v>
      </x:c>
      <x:c r="O277" s="7"/>
      <x:c r="P277" s="9">
        <x:f t="shared" si="9"/>
        <x:v>1.3892927641614551E-3</x:v>
      </x:c>
      <x:c r="Q277" s="10" t="s">
        <x:v>476</x:v>
      </x:c>
      <x:c r="R277" s="5" t="s">
        <x:v>477</x:v>
      </x:c>
      <x:c r="S277" s="5" t="s">
        <x:v>357</x:v>
      </x:c>
      <x:c r="T277" s="5" t="s">
        <x:v>478</x:v>
      </x:c>
      <x:c r="U277" s="151"/>
      <x:c r="V277" s="151"/>
      <x:c r="W277" s="151"/>
      <x:c r="X277" s="151"/>
      <x:c r="Y277" s="151"/>
      <x:c r="Z277" s="151"/>
    </x:row>
    <x:row r="278" ht="22" customHeight="1">
      <x:c r="A278" s="5" t="s">
        <x:v>237</x:v>
      </x:c>
      <x:c r="B278" s="5" t="s">
        <x:v>238</x:v>
      </x:c>
      <x:c r="C278" s="6">
        <x:v>45504</x:v>
      </x:c>
      <x:c r="D278" s="5">
        <x:v>2024</x:v>
      </x:c>
      <x:c r="E278" s="5" t="s">
        <x:v>507</x:v>
      </x:c>
      <x:c r="F278" s="5" t="s">
        <x:v>0</x:v>
      </x:c>
      <x:c r="G278" s="5" t="s">
        <x:v>354</x:v>
      </x:c>
      <x:c r="H278" s="8"/>
      <x:c r="I278" s="8"/>
      <x:c r="J278" s="5" t="s">
        <x:v>345</x:v>
      </x:c>
      <x:c r="K278" s="7"/>
      <x:c r="L278" s="9" t="str">
        <x:f t="shared" si="8"/>
      </x:c>
      <x:c r="M278" s="8">
        <x:v>9717</x:v>
      </x:c>
      <x:c r="N278" s="8">
        <x:v>14553448</x:v>
      </x:c>
      <x:c r="O278" s="7"/>
      <x:c r="P278" s="9">
        <x:f t="shared" si="9"/>
        <x:v>6.6767682819906323E-4</x:v>
      </x:c>
      <x:c r="Q278" s="10" t="s">
        <x:v>476</x:v>
      </x:c>
      <x:c r="R278" s="5" t="s">
        <x:v>477</x:v>
      </x:c>
      <x:c r="S278" s="5" t="s">
        <x:v>357</x:v>
      </x:c>
      <x:c r="T278" s="5" t="s">
        <x:v>478</x:v>
      </x:c>
      <x:c r="U278" s="151"/>
      <x:c r="V278" s="151"/>
      <x:c r="W278" s="151"/>
      <x:c r="X278" s="151"/>
      <x:c r="Y278" s="151"/>
      <x:c r="Z278" s="151"/>
    </x:row>
    <x:row r="279" ht="22" customHeight="1">
      <x:c r="A279" s="5" t="s">
        <x:v>237</x:v>
      </x:c>
      <x:c r="B279" s="5" t="s">
        <x:v>238</x:v>
      </x:c>
      <x:c r="C279" s="6">
        <x:v>45504</x:v>
      </x:c>
      <x:c r="D279" s="5">
        <x:v>2024</x:v>
      </x:c>
      <x:c r="E279" s="5" t="s">
        <x:v>508</x:v>
      </x:c>
      <x:c r="F279" s="5" t="s">
        <x:v>0</x:v>
      </x:c>
      <x:c r="G279" s="5" t="s">
        <x:v>354</x:v>
      </x:c>
      <x:c r="H279" s="8"/>
      <x:c r="I279" s="8"/>
      <x:c r="J279" s="5" t="s">
        <x:v>345</x:v>
      </x:c>
      <x:c r="K279" s="7"/>
      <x:c r="L279" s="9" t="str">
        <x:f t="shared" si="8"/>
      </x:c>
      <x:c r="M279" s="8">
        <x:v>144954</x:v>
      </x:c>
      <x:c r="N279" s="8">
        <x:v>14553448</x:v>
      </x:c>
      <x:c r="O279" s="7"/>
      <x:c r="P279" s="9">
        <x:f t="shared" si="9"/>
        <x:v>9.9601139193955957E-3</x:v>
      </x:c>
      <x:c r="Q279" s="10" t="s">
        <x:v>476</x:v>
      </x:c>
      <x:c r="R279" s="5" t="s">
        <x:v>477</x:v>
      </x:c>
      <x:c r="S279" s="5" t="s">
        <x:v>357</x:v>
      </x:c>
      <x:c r="T279" s="5" t="s">
        <x:v>478</x:v>
      </x:c>
      <x:c r="U279" s="151"/>
      <x:c r="V279" s="151"/>
      <x:c r="W279" s="151"/>
      <x:c r="X279" s="151"/>
      <x:c r="Y279" s="151"/>
      <x:c r="Z279" s="151"/>
    </x:row>
    <x:row r="280" ht="22" customHeight="1">
      <x:c r="A280" s="5" t="s">
        <x:v>237</x:v>
      </x:c>
      <x:c r="B280" s="5" t="s">
        <x:v>238</x:v>
      </x:c>
      <x:c r="C280" s="6">
        <x:v>45504</x:v>
      </x:c>
      <x:c r="D280" s="5">
        <x:v>2024</x:v>
      </x:c>
      <x:c r="E280" s="5" t="s">
        <x:v>509</x:v>
      </x:c>
      <x:c r="F280" s="5" t="s">
        <x:v>0</x:v>
      </x:c>
      <x:c r="G280" s="5" t="s">
        <x:v>354</x:v>
      </x:c>
      <x:c r="H280" s="8"/>
      <x:c r="I280" s="8"/>
      <x:c r="J280" s="5" t="s">
        <x:v>345</x:v>
      </x:c>
      <x:c r="K280" s="7"/>
      <x:c r="L280" s="9" t="str">
        <x:f t="shared" si="8"/>
      </x:c>
      <x:c r="M280" s="8">
        <x:v>4757</x:v>
      </x:c>
      <x:c r="N280" s="8">
        <x:v>14553448</x:v>
      </x:c>
      <x:c r="O280" s="7"/>
      <x:c r="P280" s="9">
        <x:f t="shared" si="9"/>
        <x:v>3.268641218218528E-4</x:v>
      </x:c>
      <x:c r="Q280" s="10" t="s">
        <x:v>476</x:v>
      </x:c>
      <x:c r="R280" s="5" t="s">
        <x:v>477</x:v>
      </x:c>
      <x:c r="S280" s="5" t="s">
        <x:v>357</x:v>
      </x:c>
      <x:c r="T280" s="5" t="s">
        <x:v>478</x:v>
      </x:c>
      <x:c r="U280" s="151"/>
      <x:c r="V280" s="151"/>
      <x:c r="W280" s="151"/>
      <x:c r="X280" s="151"/>
      <x:c r="Y280" s="151"/>
      <x:c r="Z280" s="151"/>
    </x:row>
    <x:row r="281" ht="22" customHeight="1">
      <x:c r="A281" s="5" t="s">
        <x:v>237</x:v>
      </x:c>
      <x:c r="B281" s="5" t="s">
        <x:v>238</x:v>
      </x:c>
      <x:c r="C281" s="6">
        <x:v>45504</x:v>
      </x:c>
      <x:c r="D281" s="5">
        <x:v>2024</x:v>
      </x:c>
      <x:c r="E281" s="5" t="s">
        <x:v>510</x:v>
      </x:c>
      <x:c r="F281" s="5" t="s">
        <x:v>0</x:v>
      </x:c>
      <x:c r="G281" s="5" t="s">
        <x:v>354</x:v>
      </x:c>
      <x:c r="H281" s="8"/>
      <x:c r="I281" s="8"/>
      <x:c r="J281" s="5" t="s">
        <x:v>345</x:v>
      </x:c>
      <x:c r="K281" s="7"/>
      <x:c r="L281" s="9" t="str">
        <x:f t="shared" si="8"/>
      </x:c>
      <x:c r="M281" s="8">
        <x:v>16518</x:v>
      </x:c>
      <x:c r="N281" s="8">
        <x:v>14553448</x:v>
      </x:c>
      <x:c r="O281" s="7"/>
      <x:c r="P281" s="9">
        <x:f t="shared" si="9"/>
        <x:v>1.1349887669231374E-3</x:v>
      </x:c>
      <x:c r="Q281" s="10" t="s">
        <x:v>476</x:v>
      </x:c>
      <x:c r="R281" s="5" t="s">
        <x:v>477</x:v>
      </x:c>
      <x:c r="S281" s="5" t="s">
        <x:v>357</x:v>
      </x:c>
      <x:c r="T281" s="5" t="s">
        <x:v>478</x:v>
      </x:c>
      <x:c r="U281" s="151"/>
      <x:c r="V281" s="151"/>
      <x:c r="W281" s="151"/>
      <x:c r="X281" s="151"/>
      <x:c r="Y281" s="151"/>
      <x:c r="Z281" s="151"/>
    </x:row>
    <x:row r="282" ht="22" customHeight="1">
      <x:c r="A282" s="5" t="s">
        <x:v>237</x:v>
      </x:c>
      <x:c r="B282" s="5" t="s">
        <x:v>238</x:v>
      </x:c>
      <x:c r="C282" s="6">
        <x:v>45504</x:v>
      </x:c>
      <x:c r="D282" s="5">
        <x:v>2024</x:v>
      </x:c>
      <x:c r="E282" s="5" t="s">
        <x:v>511</x:v>
      </x:c>
      <x:c r="F282" s="5" t="s">
        <x:v>0</x:v>
      </x:c>
      <x:c r="G282" s="5" t="s">
        <x:v>354</x:v>
      </x:c>
      <x:c r="H282" s="8"/>
      <x:c r="I282" s="8"/>
      <x:c r="J282" s="5" t="s">
        <x:v>345</x:v>
      </x:c>
      <x:c r="K282" s="7"/>
      <x:c r="L282" s="9" t="str">
        <x:f t="shared" si="8"/>
      </x:c>
      <x:c r="M282" s="8">
        <x:v>4888</x:v>
      </x:c>
      <x:c r="N282" s="8">
        <x:v>14553448</x:v>
      </x:c>
      <x:c r="O282" s="7"/>
      <x:c r="P282" s="9">
        <x:f t="shared" si="9"/>
        <x:v>3.3586542515560573E-4</x:v>
      </x:c>
      <x:c r="Q282" s="10" t="s">
        <x:v>476</x:v>
      </x:c>
      <x:c r="R282" s="5" t="s">
        <x:v>477</x:v>
      </x:c>
      <x:c r="S282" s="5" t="s">
        <x:v>357</x:v>
      </x:c>
      <x:c r="T282" s="5" t="s">
        <x:v>478</x:v>
      </x:c>
      <x:c r="U282" s="151"/>
      <x:c r="V282" s="151"/>
      <x:c r="W282" s="151"/>
      <x:c r="X282" s="151"/>
      <x:c r="Y282" s="151"/>
      <x:c r="Z282" s="151"/>
    </x:row>
    <x:row r="283" ht="22" customHeight="1">
      <x:c r="A283" s="5" t="s">
        <x:v>237</x:v>
      </x:c>
      <x:c r="B283" s="5" t="s">
        <x:v>238</x:v>
      </x:c>
      <x:c r="C283" s="6">
        <x:v>45504</x:v>
      </x:c>
      <x:c r="D283" s="5">
        <x:v>2024</x:v>
      </x:c>
      <x:c r="E283" s="5" t="s">
        <x:v>470</x:v>
      </x:c>
      <x:c r="F283" s="5" t="s">
        <x:v>0</x:v>
      </x:c>
      <x:c r="G283" s="5" t="s">
        <x:v>354</x:v>
      </x:c>
      <x:c r="H283" s="8"/>
      <x:c r="I283" s="8"/>
      <x:c r="J283" s="5" t="s">
        <x:v>345</x:v>
      </x:c>
      <x:c r="K283" s="7"/>
      <x:c r="L283" s="9" t="str">
        <x:f t="shared" si="8"/>
      </x:c>
      <x:c r="M283" s="8">
        <x:v>733553</x:v>
      </x:c>
      <x:c r="N283" s="8">
        <x:v>14553448</x:v>
      </x:c>
      <x:c r="O283" s="7"/>
      <x:c r="P283" s="9">
        <x:f t="shared" si="9"/>
        <x:v>5.0404069193774562E-2</x:v>
      </x:c>
      <x:c r="Q283" s="10" t="s">
        <x:v>476</x:v>
      </x:c>
      <x:c r="R283" s="5" t="s">
        <x:v>477</x:v>
      </x:c>
      <x:c r="S283" s="5" t="s">
        <x:v>357</x:v>
      </x:c>
      <x:c r="T283" s="5" t="s">
        <x:v>478</x:v>
      </x:c>
      <x:c r="U283" s="151"/>
      <x:c r="V283" s="151"/>
      <x:c r="W283" s="151"/>
      <x:c r="X283" s="151"/>
      <x:c r="Y283" s="151"/>
      <x:c r="Z283" s="151"/>
    </x:row>
    <x:row r="284" ht="22" customHeight="1">
      <x:c r="A284" s="5" t="s">
        <x:v>237</x:v>
      </x:c>
      <x:c r="B284" s="5" t="s">
        <x:v>238</x:v>
      </x:c>
      <x:c r="C284" s="6">
        <x:v>45504</x:v>
      </x:c>
      <x:c r="D284" s="5">
        <x:v>2024</x:v>
      </x:c>
      <x:c r="E284" s="5" t="s">
        <x:v>512</x:v>
      </x:c>
      <x:c r="F284" s="5" t="s">
        <x:v>0</x:v>
      </x:c>
      <x:c r="G284" s="5" t="s">
        <x:v>354</x:v>
      </x:c>
      <x:c r="H284" s="8"/>
      <x:c r="I284" s="8"/>
      <x:c r="J284" s="5" t="s">
        <x:v>345</x:v>
      </x:c>
      <x:c r="K284" s="7"/>
      <x:c r="L284" s="9" t="str">
        <x:f t="shared" si="8"/>
      </x:c>
      <x:c r="M284" s="8">
        <x:v>42891</x:v>
      </x:c>
      <x:c r="N284" s="8">
        <x:v>14553448</x:v>
      </x:c>
      <x:c r="O284" s="7"/>
      <x:c r="P284" s="9">
        <x:f t="shared" si="9"/>
        <x:v>2.9471366510534138E-3</x:v>
      </x:c>
      <x:c r="Q284" s="10" t="s">
        <x:v>476</x:v>
      </x:c>
      <x:c r="R284" s="5" t="s">
        <x:v>477</x:v>
      </x:c>
      <x:c r="S284" s="5" t="s">
        <x:v>357</x:v>
      </x:c>
      <x:c r="T284" s="5" t="s">
        <x:v>478</x:v>
      </x:c>
      <x:c r="U284" s="151"/>
      <x:c r="V284" s="151"/>
      <x:c r="W284" s="151"/>
      <x:c r="X284" s="151"/>
      <x:c r="Y284" s="151"/>
      <x:c r="Z284" s="151"/>
    </x:row>
    <x:row r="285" ht="22" customHeight="1">
      <x:c r="A285" s="5" t="s">
        <x:v>237</x:v>
      </x:c>
      <x:c r="B285" s="5" t="s">
        <x:v>238</x:v>
      </x:c>
      <x:c r="C285" s="6">
        <x:v>45504</x:v>
      </x:c>
      <x:c r="D285" s="5">
        <x:v>2024</x:v>
      </x:c>
      <x:c r="E285" s="5" t="s">
        <x:v>471</x:v>
      </x:c>
      <x:c r="F285" s="5" t="s">
        <x:v>0</x:v>
      </x:c>
      <x:c r="G285" s="5" t="s">
        <x:v>354</x:v>
      </x:c>
      <x:c r="H285" s="8"/>
      <x:c r="I285" s="8"/>
      <x:c r="J285" s="5" t="s">
        <x:v>345</x:v>
      </x:c>
      <x:c r="K285" s="7"/>
      <x:c r="L285" s="9" t="str">
        <x:f t="shared" si="8"/>
      </x:c>
      <x:c r="M285" s="8">
        <x:v>14659</x:v>
      </x:c>
      <x:c r="N285" s="8">
        <x:v>14553448</x:v>
      </x:c>
      <x:c r="O285" s="7"/>
      <x:c r="P285" s="9">
        <x:f t="shared" si="9"/>
        <x:v>1.0072527142708724E-3</x:v>
      </x:c>
      <x:c r="Q285" s="10" t="s">
        <x:v>476</x:v>
      </x:c>
      <x:c r="R285" s="5" t="s">
        <x:v>477</x:v>
      </x:c>
      <x:c r="S285" s="5" t="s">
        <x:v>357</x:v>
      </x:c>
      <x:c r="T285" s="5" t="s">
        <x:v>478</x:v>
      </x:c>
      <x:c r="U285" s="151"/>
      <x:c r="V285" s="151"/>
      <x:c r="W285" s="151"/>
      <x:c r="X285" s="151"/>
      <x:c r="Y285" s="151"/>
      <x:c r="Z285" s="151"/>
    </x:row>
    <x:row r="286" ht="22" customHeight="1">
      <x:c r="A286" s="5" t="s">
        <x:v>237</x:v>
      </x:c>
      <x:c r="B286" s="5" t="s">
        <x:v>238</x:v>
      </x:c>
      <x:c r="C286" s="6">
        <x:v>45504</x:v>
      </x:c>
      <x:c r="D286" s="5">
        <x:v>2024</x:v>
      </x:c>
      <x:c r="E286" s="5" t="s">
        <x:v>513</x:v>
      </x:c>
      <x:c r="F286" s="5" t="s">
        <x:v>0</x:v>
      </x:c>
      <x:c r="G286" s="5" t="s">
        <x:v>354</x:v>
      </x:c>
      <x:c r="H286" s="8"/>
      <x:c r="I286" s="8"/>
      <x:c r="J286" s="5" t="s">
        <x:v>345</x:v>
      </x:c>
      <x:c r="K286" s="7"/>
      <x:c r="L286" s="9" t="str">
        <x:f t="shared" si="8"/>
      </x:c>
      <x:c r="M286" s="8">
        <x:v>117716</x:v>
      </x:c>
      <x:c r="N286" s="8">
        <x:v>14553448</x:v>
      </x:c>
      <x:c r="O286" s="7"/>
      <x:c r="P286" s="9">
        <x:f t="shared" si="9"/>
        <x:v>8.0885299483668752E-3</x:v>
      </x:c>
      <x:c r="Q286" s="10" t="s">
        <x:v>476</x:v>
      </x:c>
      <x:c r="R286" s="5" t="s">
        <x:v>477</x:v>
      </x:c>
      <x:c r="S286" s="5" t="s">
        <x:v>357</x:v>
      </x:c>
      <x:c r="T286" s="5" t="s">
        <x:v>478</x:v>
      </x:c>
      <x:c r="U286" s="151"/>
      <x:c r="V286" s="151"/>
      <x:c r="W286" s="151"/>
      <x:c r="X286" s="151"/>
      <x:c r="Y286" s="151"/>
      <x:c r="Z286" s="151"/>
    </x:row>
    <x:row r="287" ht="22" customHeight="1">
      <x:c r="A287" s="5" t="s">
        <x:v>237</x:v>
      </x:c>
      <x:c r="B287" s="5" t="s">
        <x:v>238</x:v>
      </x:c>
      <x:c r="C287" s="6">
        <x:v>45504</x:v>
      </x:c>
      <x:c r="D287" s="5">
        <x:v>2024</x:v>
      </x:c>
      <x:c r="E287" s="5" t="s">
        <x:v>472</x:v>
      </x:c>
      <x:c r="F287" s="5" t="s">
        <x:v>0</x:v>
      </x:c>
      <x:c r="G287" s="5" t="s">
        <x:v>354</x:v>
      </x:c>
      <x:c r="H287" s="8"/>
      <x:c r="I287" s="8"/>
      <x:c r="J287" s="5" t="s">
        <x:v>345</x:v>
      </x:c>
      <x:c r="K287" s="7"/>
      <x:c r="L287" s="9" t="str">
        <x:f t="shared" si="8"/>
      </x:c>
      <x:c r="M287" s="8">
        <x:v>24429</x:v>
      </x:c>
      <x:c r="N287" s="8">
        <x:v>14553448</x:v>
      </x:c>
      <x:c r="O287" s="7"/>
      <x:c r="P287" s="9">
        <x:f t="shared" si="9"/>
        <x:v>1.6785712911469501E-3</x:v>
      </x:c>
      <x:c r="Q287" s="10" t="s">
        <x:v>476</x:v>
      </x:c>
      <x:c r="R287" s="5" t="s">
        <x:v>477</x:v>
      </x:c>
      <x:c r="S287" s="5" t="s">
        <x:v>357</x:v>
      </x:c>
      <x:c r="T287" s="5" t="s">
        <x:v>478</x:v>
      </x:c>
      <x:c r="U287" s="151"/>
      <x:c r="V287" s="151"/>
      <x:c r="W287" s="151"/>
      <x:c r="X287" s="151"/>
      <x:c r="Y287" s="151"/>
      <x:c r="Z287" s="151"/>
    </x:row>
    <x:row r="288" ht="22" customHeight="1">
      <x:c r="A288" s="5" t="s">
        <x:v>237</x:v>
      </x:c>
      <x:c r="B288" s="5" t="s">
        <x:v>238</x:v>
      </x:c>
      <x:c r="C288" s="6">
        <x:v>45504</x:v>
      </x:c>
      <x:c r="D288" s="5">
        <x:v>2024</x:v>
      </x:c>
      <x:c r="E288" s="5" t="s">
        <x:v>473</x:v>
      </x:c>
      <x:c r="F288" s="5" t="s">
        <x:v>0</x:v>
      </x:c>
      <x:c r="G288" s="5" t="s">
        <x:v>354</x:v>
      </x:c>
      <x:c r="H288" s="8"/>
      <x:c r="I288" s="8"/>
      <x:c r="J288" s="5" t="s">
        <x:v>345</x:v>
      </x:c>
      <x:c r="K288" s="7"/>
      <x:c r="L288" s="9" t="str">
        <x:f t="shared" si="8"/>
      </x:c>
      <x:c r="M288" s="8">
        <x:v>209786</x:v>
      </x:c>
      <x:c r="N288" s="8">
        <x:v>14553448</x:v>
      </x:c>
      <x:c r="O288" s="7"/>
      <x:c r="P288" s="9">
        <x:f t="shared" si="9"/>
        <x:v>1.4414865810493843E-2</x:v>
      </x:c>
      <x:c r="Q288" s="10" t="s">
        <x:v>476</x:v>
      </x:c>
      <x:c r="R288" s="5" t="s">
        <x:v>477</x:v>
      </x:c>
      <x:c r="S288" s="5" t="s">
        <x:v>357</x:v>
      </x:c>
      <x:c r="T288" s="5" t="s">
        <x:v>478</x:v>
      </x:c>
      <x:c r="U288" s="151"/>
      <x:c r="V288" s="151"/>
      <x:c r="W288" s="151"/>
      <x:c r="X288" s="151"/>
      <x:c r="Y288" s="151"/>
      <x:c r="Z288" s="151"/>
    </x:row>
    <x:row r="289" ht="22" customHeight="1">
      <x:c r="A289" s="5" t="s">
        <x:v>237</x:v>
      </x:c>
      <x:c r="B289" s="5" t="s">
        <x:v>238</x:v>
      </x:c>
      <x:c r="C289" s="6">
        <x:v>45504</x:v>
      </x:c>
      <x:c r="D289" s="5">
        <x:v>2024</x:v>
      </x:c>
      <x:c r="E289" s="5" t="s">
        <x:v>514</x:v>
      </x:c>
      <x:c r="F289" s="5" t="s">
        <x:v>0</x:v>
      </x:c>
      <x:c r="G289" s="5" t="s">
        <x:v>354</x:v>
      </x:c>
      <x:c r="H289" s="8"/>
      <x:c r="I289" s="8"/>
      <x:c r="J289" s="5" t="s">
        <x:v>345</x:v>
      </x:c>
      <x:c r="K289" s="7"/>
      <x:c r="L289" s="9" t="str">
        <x:f t="shared" si="8"/>
      </x:c>
      <x:c r="M289" s="8">
        <x:v>57083</x:v>
      </x:c>
      <x:c r="N289" s="8">
        <x:v>14553448</x:v>
      </x:c>
      <x:c r="O289" s="7"/>
      <x:c r="P289" s="9">
        <x:f t="shared" si="9"/>
        <x:v>3.9223007496230443E-3</x:v>
      </x:c>
      <x:c r="Q289" s="10" t="s">
        <x:v>476</x:v>
      </x:c>
      <x:c r="R289" s="5" t="s">
        <x:v>477</x:v>
      </x:c>
      <x:c r="S289" s="5" t="s">
        <x:v>357</x:v>
      </x:c>
      <x:c r="T289" s="5" t="s">
        <x:v>478</x:v>
      </x:c>
      <x:c r="U289" s="151"/>
      <x:c r="V289" s="151"/>
      <x:c r="W289" s="151"/>
      <x:c r="X289" s="151"/>
      <x:c r="Y289" s="151"/>
      <x:c r="Z289" s="151"/>
    </x:row>
    <x:row r="290" ht="22" customHeight="1">
      <x:c r="A290" s="5" t="s">
        <x:v>237</x:v>
      </x:c>
      <x:c r="B290" s="5" t="s">
        <x:v>238</x:v>
      </x:c>
      <x:c r="C290" s="6">
        <x:v>45504</x:v>
      </x:c>
      <x:c r="D290" s="5">
        <x:v>2024</x:v>
      </x:c>
      <x:c r="E290" s="5" t="s">
        <x:v>515</x:v>
      </x:c>
      <x:c r="F290" s="5" t="s">
        <x:v>0</x:v>
      </x:c>
      <x:c r="G290" s="5" t="s">
        <x:v>354</x:v>
      </x:c>
      <x:c r="H290" s="8"/>
      <x:c r="I290" s="8"/>
      <x:c r="J290" s="5" t="s">
        <x:v>345</x:v>
      </x:c>
      <x:c r="K290" s="7"/>
      <x:c r="L290" s="9" t="str">
        <x:f t="shared" si="8"/>
      </x:c>
      <x:c r="M290" s="8">
        <x:v>170452</x:v>
      </x:c>
      <x:c r="N290" s="8">
        <x:v>14553448</x:v>
      </x:c>
      <x:c r="O290" s="7"/>
      <x:c r="P290" s="9">
        <x:f t="shared" si="9"/>
        <x:v>1.1712138594235538E-2</x:v>
      </x:c>
      <x:c r="Q290" s="10" t="s">
        <x:v>476</x:v>
      </x:c>
      <x:c r="R290" s="5" t="s">
        <x:v>477</x:v>
      </x:c>
      <x:c r="S290" s="5" t="s">
        <x:v>357</x:v>
      </x:c>
      <x:c r="T290" s="5" t="s">
        <x:v>478</x:v>
      </x:c>
      <x:c r="U290" s="151"/>
      <x:c r="V290" s="151"/>
      <x:c r="W290" s="151"/>
      <x:c r="X290" s="151"/>
      <x:c r="Y290" s="151"/>
      <x:c r="Z290" s="151"/>
    </x:row>
    <x:row r="291" ht="22" customHeight="1">
      <x:c r="A291" s="5" t="s">
        <x:v>237</x:v>
      </x:c>
      <x:c r="B291" s="5" t="s">
        <x:v>238</x:v>
      </x:c>
      <x:c r="C291" s="6">
        <x:v>45504</x:v>
      </x:c>
      <x:c r="D291" s="5">
        <x:v>2024</x:v>
      </x:c>
      <x:c r="E291" s="5" t="s">
        <x:v>516</x:v>
      </x:c>
      <x:c r="F291" s="5" t="s">
        <x:v>0</x:v>
      </x:c>
      <x:c r="G291" s="5" t="s">
        <x:v>354</x:v>
      </x:c>
      <x:c r="H291" s="8"/>
      <x:c r="I291" s="8"/>
      <x:c r="J291" s="5" t="s">
        <x:v>345</x:v>
      </x:c>
      <x:c r="K291" s="7"/>
      <x:c r="L291" s="9" t="str">
        <x:f t="shared" si="8"/>
      </x:c>
      <x:c r="M291" s="8">
        <x:v>249383</x:v>
      </x:c>
      <x:c r="N291" s="8">
        <x:v>14553448</x:v>
      </x:c>
      <x:c r="O291" s="7"/>
      <x:c r="P291" s="9">
        <x:f t="shared" si="9"/>
        <x:v>1.7135664345658844E-2</x:v>
      </x:c>
      <x:c r="Q291" s="10" t="s">
        <x:v>476</x:v>
      </x:c>
      <x:c r="R291" s="5" t="s">
        <x:v>477</x:v>
      </x:c>
      <x:c r="S291" s="5" t="s">
        <x:v>357</x:v>
      </x:c>
      <x:c r="T291" s="5" t="s">
        <x:v>478</x:v>
      </x:c>
      <x:c r="U291" s="151"/>
      <x:c r="V291" s="151"/>
      <x:c r="W291" s="151"/>
      <x:c r="X291" s="151"/>
      <x:c r="Y291" s="151"/>
      <x:c r="Z291" s="151"/>
    </x:row>
    <x:row r="292" ht="22" customHeight="1">
      <x:c r="A292" s="5" t="s">
        <x:v>237</x:v>
      </x:c>
      <x:c r="B292" s="5" t="s">
        <x:v>238</x:v>
      </x:c>
      <x:c r="C292" s="6">
        <x:v>45504</x:v>
      </x:c>
      <x:c r="D292" s="5">
        <x:v>2024</x:v>
      </x:c>
      <x:c r="E292" s="5" t="s">
        <x:v>432</x:v>
      </x:c>
      <x:c r="F292" s="5" t="s">
        <x:v>0</x:v>
      </x:c>
      <x:c r="G292" s="5" t="s">
        <x:v>408</x:v>
      </x:c>
      <x:c r="H292" s="8"/>
      <x:c r="I292" s="8"/>
      <x:c r="J292" s="5" t="s">
        <x:v>345</x:v>
      </x:c>
      <x:c r="K292" s="7"/>
      <x:c r="L292" s="9" t="str">
        <x:f t="shared" si="8"/>
      </x:c>
      <x:c r="M292" s="8">
        <x:v>11649</x:v>
      </x:c>
      <x:c r="N292" s="8">
        <x:v>14553448</x:v>
      </x:c>
      <x:c r="O292" s="7"/>
      <x:c r="P292" s="9">
        <x:f t="shared" si="9"/>
        <x:v>8.0042887431212178E-4</x:v>
      </x:c>
      <x:c r="Q292" s="10" t="s">
        <x:v>476</x:v>
      </x:c>
      <x:c r="R292" s="5" t="s">
        <x:v>477</x:v>
      </x:c>
      <x:c r="S292" s="5" t="s">
        <x:v>357</x:v>
      </x:c>
      <x:c r="T292" s="5" t="s">
        <x:v>478</x:v>
      </x:c>
      <x:c r="U292" s="151"/>
      <x:c r="V292" s="151"/>
      <x:c r="W292" s="151"/>
      <x:c r="X292" s="151"/>
      <x:c r="Y292" s="151"/>
      <x:c r="Z292" s="151"/>
    </x:row>
    <x:row r="293" ht="22" customHeight="1">
      <x:c r="A293" s="5" t="s">
        <x:v>237</x:v>
      </x:c>
      <x:c r="B293" s="5" t="s">
        <x:v>238</x:v>
      </x:c>
      <x:c r="C293" s="6">
        <x:v>45504</x:v>
      </x:c>
      <x:c r="D293" s="5">
        <x:v>2024</x:v>
      </x:c>
      <x:c r="E293" s="5" t="s">
        <x:v>407</x:v>
      </x:c>
      <x:c r="F293" s="5" t="s">
        <x:v>0</x:v>
      </x:c>
      <x:c r="G293" s="5" t="s">
        <x:v>408</x:v>
      </x:c>
      <x:c r="H293" s="8"/>
      <x:c r="I293" s="8"/>
      <x:c r="J293" s="5" t="s">
        <x:v>345</x:v>
      </x:c>
      <x:c r="K293" s="7"/>
      <x:c r="L293" s="9" t="str">
        <x:f t="shared" si="8"/>
      </x:c>
      <x:c r="M293" s="8">
        <x:v>64608</x:v>
      </x:c>
      <x:c r="N293" s="8">
        <x:v>14553448</x:v>
      </x:c>
      <x:c r="O293" s="7"/>
      <x:c r="P293" s="9">
        <x:f t="shared" si="9"/>
        <x:v>4.4393603495199215E-3</x:v>
      </x:c>
      <x:c r="Q293" s="10" t="s">
        <x:v>476</x:v>
      </x:c>
      <x:c r="R293" s="5" t="s">
        <x:v>477</x:v>
      </x:c>
      <x:c r="S293" s="5" t="s">
        <x:v>357</x:v>
      </x:c>
      <x:c r="T293" s="5" t="s">
        <x:v>478</x:v>
      </x:c>
      <x:c r="U293" s="151"/>
      <x:c r="V293" s="151"/>
      <x:c r="W293" s="151"/>
      <x:c r="X293" s="151"/>
      <x:c r="Y293" s="151"/>
      <x:c r="Z293" s="151"/>
    </x:row>
    <x:row r="294" ht="22" customHeight="1">
      <x:c r="A294" s="5" t="s">
        <x:v>237</x:v>
      </x:c>
      <x:c r="B294" s="5" t="s">
        <x:v>238</x:v>
      </x:c>
      <x:c r="C294" s="6">
        <x:v>45504</x:v>
      </x:c>
      <x:c r="D294" s="5">
        <x:v>2024</x:v>
      </x:c>
      <x:c r="E294" s="5" t="s">
        <x:v>409</x:v>
      </x:c>
      <x:c r="F294" s="5" t="s">
        <x:v>0</x:v>
      </x:c>
      <x:c r="G294" s="5" t="s">
        <x:v>408</x:v>
      </x:c>
      <x:c r="H294" s="8"/>
      <x:c r="I294" s="8"/>
      <x:c r="J294" s="5" t="s">
        <x:v>345</x:v>
      </x:c>
      <x:c r="K294" s="7"/>
      <x:c r="L294" s="9" t="str">
        <x:f t="shared" si="8"/>
      </x:c>
      <x:c r="M294" s="8">
        <x:v>94173</x:v>
      </x:c>
      <x:c r="N294" s="8">
        <x:v>14553448</x:v>
      </x:c>
      <x:c r="O294" s="7"/>
      <x:c r="P294" s="9">
        <x:f t="shared" si="9"/>
        <x:v>6.4708377011413378E-3</x:v>
      </x:c>
      <x:c r="Q294" s="10" t="s">
        <x:v>476</x:v>
      </x:c>
      <x:c r="R294" s="5" t="s">
        <x:v>477</x:v>
      </x:c>
      <x:c r="S294" s="5" t="s">
        <x:v>357</x:v>
      </x:c>
      <x:c r="T294" s="5" t="s">
        <x:v>478</x:v>
      </x:c>
      <x:c r="U294" s="151"/>
      <x:c r="V294" s="151"/>
      <x:c r="W294" s="151"/>
      <x:c r="X294" s="151"/>
      <x:c r="Y294" s="151"/>
      <x:c r="Z294" s="151"/>
    </x:row>
    <x:row r="295" ht="22" customHeight="1">
      <x:c r="A295" s="5" t="s">
        <x:v>237</x:v>
      </x:c>
      <x:c r="B295" s="5" t="s">
        <x:v>238</x:v>
      </x:c>
      <x:c r="C295" s="6">
        <x:v>45504</x:v>
      </x:c>
      <x:c r="D295" s="5">
        <x:v>2024</x:v>
      </x:c>
      <x:c r="E295" s="5" t="s">
        <x:v>436</x:v>
      </x:c>
      <x:c r="F295" s="5" t="s">
        <x:v>0</x:v>
      </x:c>
      <x:c r="G295" s="5" t="s">
        <x:v>408</x:v>
      </x:c>
      <x:c r="H295" s="8"/>
      <x:c r="I295" s="8"/>
      <x:c r="J295" s="5" t="s">
        <x:v>345</x:v>
      </x:c>
      <x:c r="K295" s="7"/>
      <x:c r="L295" s="9" t="str">
        <x:f t="shared" si="8"/>
      </x:c>
      <x:c r="M295" s="8">
        <x:v>22416</x:v>
      </x:c>
      <x:c r="N295" s="8">
        <x:v>14553448</x:v>
      </x:c>
      <x:c r="O295" s="7"/>
      <x:c r="P295" s="9">
        <x:f t="shared" si="9"/>
        <x:v>1.5402535536595864E-3</x:v>
      </x:c>
      <x:c r="Q295" s="10" t="s">
        <x:v>476</x:v>
      </x:c>
      <x:c r="R295" s="5" t="s">
        <x:v>477</x:v>
      </x:c>
      <x:c r="S295" s="5" t="s">
        <x:v>357</x:v>
      </x:c>
      <x:c r="T295" s="5" t="s">
        <x:v>478</x:v>
      </x:c>
      <x:c r="U295" s="151"/>
      <x:c r="V295" s="151"/>
      <x:c r="W295" s="151"/>
      <x:c r="X295" s="151"/>
      <x:c r="Y295" s="151"/>
      <x:c r="Z295" s="151"/>
    </x:row>
    <x:row r="296" ht="22" customHeight="1">
      <x:c r="A296" s="5" t="s">
        <x:v>237</x:v>
      </x:c>
      <x:c r="B296" s="5" t="s">
        <x:v>238</x:v>
      </x:c>
      <x:c r="C296" s="6">
        <x:v>45504</x:v>
      </x:c>
      <x:c r="D296" s="5">
        <x:v>2024</x:v>
      </x:c>
      <x:c r="E296" s="5" t="s">
        <x:v>410</x:v>
      </x:c>
      <x:c r="F296" s="5" t="s">
        <x:v>0</x:v>
      </x:c>
      <x:c r="G296" s="5" t="s">
        <x:v>408</x:v>
      </x:c>
      <x:c r="H296" s="8"/>
      <x:c r="I296" s="8"/>
      <x:c r="J296" s="5" t="s">
        <x:v>345</x:v>
      </x:c>
      <x:c r="K296" s="7"/>
      <x:c r="L296" s="9" t="str">
        <x:f t="shared" si="8"/>
      </x:c>
      <x:c r="M296" s="8">
        <x:v>561232</x:v>
      </x:c>
      <x:c r="N296" s="8">
        <x:v>14553448</x:v>
      </x:c>
      <x:c r="O296" s="7"/>
      <x:c r="P296" s="9">
        <x:f t="shared" si="9"/>
        <x:v>3.8563507424494867E-2</x:v>
      </x:c>
      <x:c r="Q296" s="10" t="s">
        <x:v>476</x:v>
      </x:c>
      <x:c r="R296" s="5" t="s">
        <x:v>477</x:v>
      </x:c>
      <x:c r="S296" s="5" t="s">
        <x:v>357</x:v>
      </x:c>
      <x:c r="T296" s="5" t="s">
        <x:v>478</x:v>
      </x:c>
      <x:c r="U296" s="151"/>
      <x:c r="V296" s="151"/>
      <x:c r="W296" s="151"/>
      <x:c r="X296" s="151"/>
      <x:c r="Y296" s="151"/>
      <x:c r="Z296" s="151"/>
    </x:row>
    <x:row r="297" ht="22" customHeight="1">
      <x:c r="A297" s="5" t="s">
        <x:v>237</x:v>
      </x:c>
      <x:c r="B297" s="5" t="s">
        <x:v>238</x:v>
      </x:c>
      <x:c r="C297" s="6">
        <x:v>45504</x:v>
      </x:c>
      <x:c r="D297" s="5">
        <x:v>2024</x:v>
      </x:c>
      <x:c r="E297" s="5" t="s">
        <x:v>438</x:v>
      </x:c>
      <x:c r="F297" s="5" t="s">
        <x:v>0</x:v>
      </x:c>
      <x:c r="G297" s="5" t="s">
        <x:v>408</x:v>
      </x:c>
      <x:c r="H297" s="8"/>
      <x:c r="I297" s="8"/>
      <x:c r="J297" s="5" t="s">
        <x:v>345</x:v>
      </x:c>
      <x:c r="K297" s="7"/>
      <x:c r="L297" s="9" t="str">
        <x:f t="shared" si="8"/>
      </x:c>
      <x:c r="M297" s="8">
        <x:v>185547</x:v>
      </x:c>
      <x:c r="N297" s="8">
        <x:v>14553448</x:v>
      </x:c>
      <x:c r="O297" s="7"/>
      <x:c r="P297" s="9">
        <x:f t="shared" si="9"/>
        <x:v>1.2749349844792795E-2</x:v>
      </x:c>
      <x:c r="Q297" s="10" t="s">
        <x:v>476</x:v>
      </x:c>
      <x:c r="R297" s="5" t="s">
        <x:v>477</x:v>
      </x:c>
      <x:c r="S297" s="5" t="s">
        <x:v>357</x:v>
      </x:c>
      <x:c r="T297" s="5" t="s">
        <x:v>478</x:v>
      </x:c>
      <x:c r="U297" s="151"/>
      <x:c r="V297" s="151"/>
      <x:c r="W297" s="151"/>
      <x:c r="X297" s="151"/>
      <x:c r="Y297" s="151"/>
      <x:c r="Z297" s="151"/>
    </x:row>
    <x:row r="298" ht="22" customHeight="1">
      <x:c r="A298" s="5" t="s">
        <x:v>237</x:v>
      </x:c>
      <x:c r="B298" s="5" t="s">
        <x:v>238</x:v>
      </x:c>
      <x:c r="C298" s="6">
        <x:v>45504</x:v>
      </x:c>
      <x:c r="D298" s="5">
        <x:v>2024</x:v>
      </x:c>
      <x:c r="E298" s="5" t="s">
        <x:v>411</x:v>
      </x:c>
      <x:c r="F298" s="5" t="s">
        <x:v>0</x:v>
      </x:c>
      <x:c r="G298" s="5" t="s">
        <x:v>408</x:v>
      </x:c>
      <x:c r="H298" s="8"/>
      <x:c r="I298" s="8"/>
      <x:c r="J298" s="5" t="s">
        <x:v>345</x:v>
      </x:c>
      <x:c r="K298" s="7"/>
      <x:c r="L298" s="9" t="str">
        <x:f t="shared" si="8"/>
      </x:c>
      <x:c r="M298" s="8">
        <x:v>169285</x:v>
      </x:c>
      <x:c r="N298" s="8">
        <x:v>14553448</x:v>
      </x:c>
      <x:c r="O298" s="7"/>
      <x:c r="P298" s="9">
        <x:f t="shared" si="9"/>
        <x:v>1.1631951411102029E-2</x:v>
      </x:c>
      <x:c r="Q298" s="10" t="s">
        <x:v>476</x:v>
      </x:c>
      <x:c r="R298" s="5" t="s">
        <x:v>477</x:v>
      </x:c>
      <x:c r="S298" s="5" t="s">
        <x:v>357</x:v>
      </x:c>
      <x:c r="T298" s="5" t="s">
        <x:v>478</x:v>
      </x:c>
      <x:c r="U298" s="151"/>
      <x:c r="V298" s="151"/>
      <x:c r="W298" s="151"/>
      <x:c r="X298" s="151"/>
      <x:c r="Y298" s="151"/>
      <x:c r="Z298" s="151"/>
    </x:row>
    <x:row r="299" ht="22" customHeight="1">
      <x:c r="A299" s="5" t="s">
        <x:v>237</x:v>
      </x:c>
      <x:c r="B299" s="5" t="s">
        <x:v>238</x:v>
      </x:c>
      <x:c r="C299" s="6">
        <x:v>45504</x:v>
      </x:c>
      <x:c r="D299" s="5">
        <x:v>2024</x:v>
      </x:c>
      <x:c r="E299" s="5" t="s">
        <x:v>412</x:v>
      </x:c>
      <x:c r="F299" s="5" t="s">
        <x:v>0</x:v>
      </x:c>
      <x:c r="G299" s="5" t="s">
        <x:v>408</x:v>
      </x:c>
      <x:c r="H299" s="8"/>
      <x:c r="I299" s="8"/>
      <x:c r="J299" s="5" t="s">
        <x:v>345</x:v>
      </x:c>
      <x:c r="K299" s="7"/>
      <x:c r="L299" s="9" t="str">
        <x:f t="shared" si="8"/>
      </x:c>
      <x:c r="M299" s="8">
        <x:v>70671</x:v>
      </x:c>
      <x:c r="N299" s="8">
        <x:v>14553448</x:v>
      </x:c>
      <x:c r="O299" s="7"/>
      <x:c r="P299" s="9">
        <x:f t="shared" si="9"/>
        <x:v>4.8559626557225476E-3</x:v>
      </x:c>
      <x:c r="Q299" s="10" t="s">
        <x:v>476</x:v>
      </x:c>
      <x:c r="R299" s="5" t="s">
        <x:v>477</x:v>
      </x:c>
      <x:c r="S299" s="5" t="s">
        <x:v>357</x:v>
      </x:c>
      <x:c r="T299" s="5" t="s">
        <x:v>478</x:v>
      </x:c>
      <x:c r="U299" s="151"/>
      <x:c r="V299" s="151"/>
      <x:c r="W299" s="151"/>
      <x:c r="X299" s="151"/>
      <x:c r="Y299" s="151"/>
      <x:c r="Z299" s="151"/>
    </x:row>
    <x:row r="300" ht="22" customHeight="1">
      <x:c r="A300" s="5" t="s">
        <x:v>237</x:v>
      </x:c>
      <x:c r="B300" s="5" t="s">
        <x:v>238</x:v>
      </x:c>
      <x:c r="C300" s="6">
        <x:v>45504</x:v>
      </x:c>
      <x:c r="D300" s="5">
        <x:v>2024</x:v>
      </x:c>
      <x:c r="E300" s="5" t="s">
        <x:v>413</x:v>
      </x:c>
      <x:c r="F300" s="5" t="s">
        <x:v>0</x:v>
      </x:c>
      <x:c r="G300" s="5" t="s">
        <x:v>408</x:v>
      </x:c>
      <x:c r="H300" s="8"/>
      <x:c r="I300" s="8"/>
      <x:c r="J300" s="5" t="s">
        <x:v>345</x:v>
      </x:c>
      <x:c r="K300" s="7"/>
      <x:c r="L300" s="9" t="str">
        <x:f t="shared" si="8"/>
      </x:c>
      <x:c r="M300" s="8">
        <x:v>538796</x:v>
      </x:c>
      <x:c r="N300" s="8">
        <x:v>14553448</x:v>
      </x:c>
      <x:c r="O300" s="7"/>
      <x:c r="P300" s="9">
        <x:f t="shared" si="9"/>
        <x:v>3.7021879626051503E-2</x:v>
      </x:c>
      <x:c r="Q300" s="10" t="s">
        <x:v>476</x:v>
      </x:c>
      <x:c r="R300" s="5" t="s">
        <x:v>477</x:v>
      </x:c>
      <x:c r="S300" s="5" t="s">
        <x:v>357</x:v>
      </x:c>
      <x:c r="T300" s="5" t="s">
        <x:v>478</x:v>
      </x:c>
      <x:c r="U300" s="151"/>
      <x:c r="V300" s="151"/>
      <x:c r="W300" s="151"/>
      <x:c r="X300" s="151"/>
      <x:c r="Y300" s="151"/>
      <x:c r="Z300" s="151"/>
    </x:row>
    <x:row r="301" ht="22" customHeight="1">
      <x:c r="A301" s="5" t="s">
        <x:v>237</x:v>
      </x:c>
      <x:c r="B301" s="5" t="s">
        <x:v>238</x:v>
      </x:c>
      <x:c r="C301" s="6">
        <x:v>45504</x:v>
      </x:c>
      <x:c r="D301" s="5">
        <x:v>2024</x:v>
      </x:c>
      <x:c r="E301" s="5" t="s">
        <x:v>414</x:v>
      </x:c>
      <x:c r="F301" s="5" t="s">
        <x:v>0</x:v>
      </x:c>
      <x:c r="G301" s="5" t="s">
        <x:v>408</x:v>
      </x:c>
      <x:c r="H301" s="8"/>
      <x:c r="I301" s="8"/>
      <x:c r="J301" s="5" t="s">
        <x:v>345</x:v>
      </x:c>
      <x:c r="K301" s="7"/>
      <x:c r="L301" s="9" t="str">
        <x:f t="shared" si="8"/>
      </x:c>
      <x:c r="M301" s="8">
        <x:v>600590</x:v>
      </x:c>
      <x:c r="N301" s="8">
        <x:v>14553448</x:v>
      </x:c>
      <x:c r="O301" s="7"/>
      <x:c r="P301" s="9">
        <x:f t="shared" si="9"/>
        <x:v>4.1267883734493707E-2</x:v>
      </x:c>
      <x:c r="Q301" s="10" t="s">
        <x:v>476</x:v>
      </x:c>
      <x:c r="R301" s="5" t="s">
        <x:v>477</x:v>
      </x:c>
      <x:c r="S301" s="5" t="s">
        <x:v>357</x:v>
      </x:c>
      <x:c r="T301" s="5" t="s">
        <x:v>478</x:v>
      </x:c>
      <x:c r="U301" s="151"/>
      <x:c r="V301" s="151"/>
      <x:c r="W301" s="151"/>
      <x:c r="X301" s="151"/>
      <x:c r="Y301" s="151"/>
      <x:c r="Z301" s="151"/>
    </x:row>
    <x:row r="302" ht="22" customHeight="1">
      <x:c r="A302" s="5" t="s">
        <x:v>237</x:v>
      </x:c>
      <x:c r="B302" s="5" t="s">
        <x:v>238</x:v>
      </x:c>
      <x:c r="C302" s="6">
        <x:v>45504</x:v>
      </x:c>
      <x:c r="D302" s="5">
        <x:v>2024</x:v>
      </x:c>
      <x:c r="E302" s="5" t="s">
        <x:v>371</x:v>
      </x:c>
      <x:c r="F302" s="5" t="s">
        <x:v>0</x:v>
      </x:c>
      <x:c r="G302" s="5" t="s">
        <x:v>408</x:v>
      </x:c>
      <x:c r="H302" s="8"/>
      <x:c r="I302" s="8"/>
      <x:c r="J302" s="5" t="s">
        <x:v>345</x:v>
      </x:c>
      <x:c r="K302" s="7"/>
      <x:c r="L302" s="9" t="str">
        <x:f t="shared" si="8"/>
      </x:c>
      <x:c r="M302" s="8">
        <x:v>41828</x:v>
      </x:c>
      <x:c r="N302" s="8">
        <x:v>14553448</x:v>
      </x:c>
      <x:c r="O302" s="7"/>
      <x:c r="P302" s="9">
        <x:f t="shared" si="9"/>
        <x:v>2.8740955407955556E-3</x:v>
      </x:c>
      <x:c r="Q302" s="10" t="s">
        <x:v>476</x:v>
      </x:c>
      <x:c r="R302" s="5" t="s">
        <x:v>477</x:v>
      </x:c>
      <x:c r="S302" s="5" t="s">
        <x:v>357</x:v>
      </x:c>
      <x:c r="T302" s="5" t="s">
        <x:v>478</x:v>
      </x:c>
      <x:c r="U302" s="151"/>
      <x:c r="V302" s="151"/>
      <x:c r="W302" s="151"/>
      <x:c r="X302" s="151"/>
      <x:c r="Y302" s="151"/>
      <x:c r="Z302" s="151"/>
    </x:row>
    <x:row r="303" ht="22" customHeight="1">
      <x:c r="A303" s="5" t="s">
        <x:v>237</x:v>
      </x:c>
      <x:c r="B303" s="5" t="s">
        <x:v>238</x:v>
      </x:c>
      <x:c r="C303" s="6">
        <x:v>45504</x:v>
      </x:c>
      <x:c r="D303" s="5">
        <x:v>2024</x:v>
      </x:c>
      <x:c r="E303" s="5" t="s">
        <x:v>415</x:v>
      </x:c>
      <x:c r="F303" s="5" t="s">
        <x:v>0</x:v>
      </x:c>
      <x:c r="G303" s="5" t="s">
        <x:v>408</x:v>
      </x:c>
      <x:c r="H303" s="8"/>
      <x:c r="I303" s="8"/>
      <x:c r="J303" s="5" t="s">
        <x:v>345</x:v>
      </x:c>
      <x:c r="K303" s="7"/>
      <x:c r="L303" s="9" t="str">
        <x:f t="shared" si="8"/>
      </x:c>
      <x:c r="M303" s="8">
        <x:v>117195</x:v>
      </x:c>
      <x:c r="N303" s="8">
        <x:v>14553448</x:v>
      </x:c>
      <x:c r="O303" s="7"/>
      <x:c r="P303" s="9">
        <x:f t="shared" si="9"/>
        <x:v>8.0527308717494306E-3</x:v>
      </x:c>
      <x:c r="Q303" s="10" t="s">
        <x:v>476</x:v>
      </x:c>
      <x:c r="R303" s="5" t="s">
        <x:v>477</x:v>
      </x:c>
      <x:c r="S303" s="5" t="s">
        <x:v>357</x:v>
      </x:c>
      <x:c r="T303" s="5" t="s">
        <x:v>478</x:v>
      </x:c>
      <x:c r="U303" s="151"/>
      <x:c r="V303" s="151"/>
      <x:c r="W303" s="151"/>
      <x:c r="X303" s="151"/>
      <x:c r="Y303" s="151"/>
      <x:c r="Z303" s="151"/>
    </x:row>
    <x:row r="304" ht="22" customHeight="1">
      <x:c r="A304" s="5" t="s">
        <x:v>237</x:v>
      </x:c>
      <x:c r="B304" s="5" t="s">
        <x:v>238</x:v>
      </x:c>
      <x:c r="C304" s="6">
        <x:v>45504</x:v>
      </x:c>
      <x:c r="D304" s="5">
        <x:v>2024</x:v>
      </x:c>
      <x:c r="E304" s="5" t="s">
        <x:v>416</x:v>
      </x:c>
      <x:c r="F304" s="5" t="s">
        <x:v>0</x:v>
      </x:c>
      <x:c r="G304" s="5" t="s">
        <x:v>408</x:v>
      </x:c>
      <x:c r="H304" s="8"/>
      <x:c r="I304" s="8"/>
      <x:c r="J304" s="5" t="s">
        <x:v>345</x:v>
      </x:c>
      <x:c r="K304" s="7"/>
      <x:c r="L304" s="9" t="str">
        <x:f t="shared" si="8"/>
      </x:c>
      <x:c r="M304" s="8">
        <x:v>348393</x:v>
      </x:c>
      <x:c r="N304" s="8">
        <x:v>14553448</x:v>
      </x:c>
      <x:c r="O304" s="7"/>
      <x:c r="P304" s="9">
        <x:f t="shared" si="9"/>
        <x:v>2.3938863147757151E-2</x:v>
      </x:c>
      <x:c r="Q304" s="10" t="s">
        <x:v>476</x:v>
      </x:c>
      <x:c r="R304" s="5" t="s">
        <x:v>477</x:v>
      </x:c>
      <x:c r="S304" s="5" t="s">
        <x:v>357</x:v>
      </x:c>
      <x:c r="T304" s="5" t="s">
        <x:v>478</x:v>
      </x:c>
      <x:c r="U304" s="151"/>
      <x:c r="V304" s="151"/>
      <x:c r="W304" s="151"/>
      <x:c r="X304" s="151"/>
      <x:c r="Y304" s="151"/>
      <x:c r="Z304" s="151"/>
    </x:row>
    <x:row r="305" ht="22" customHeight="1">
      <x:c r="A305" s="5" t="s">
        <x:v>237</x:v>
      </x:c>
      <x:c r="B305" s="5" t="s">
        <x:v>238</x:v>
      </x:c>
      <x:c r="C305" s="6">
        <x:v>45504</x:v>
      </x:c>
      <x:c r="D305" s="5">
        <x:v>2024</x:v>
      </x:c>
      <x:c r="E305" s="5" t="s">
        <x:v>373</x:v>
      </x:c>
      <x:c r="F305" s="5" t="s">
        <x:v>0</x:v>
      </x:c>
      <x:c r="G305" s="5" t="s">
        <x:v>408</x:v>
      </x:c>
      <x:c r="H305" s="8"/>
      <x:c r="I305" s="8"/>
      <x:c r="J305" s="5" t="s">
        <x:v>345</x:v>
      </x:c>
      <x:c r="K305" s="7"/>
      <x:c r="L305" s="9" t="str">
        <x:f t="shared" si="8"/>
      </x:c>
      <x:c r="M305" s="8">
        <x:v>789802</x:v>
      </x:c>
      <x:c r="N305" s="8">
        <x:v>14553448</x:v>
      </x:c>
      <x:c r="O305" s="7"/>
      <x:c r="P305" s="9">
        <x:f t="shared" si="9"/>
        <x:v>5.4269063935914019E-2</x:v>
      </x:c>
      <x:c r="Q305" s="10" t="s">
        <x:v>476</x:v>
      </x:c>
      <x:c r="R305" s="5" t="s">
        <x:v>477</x:v>
      </x:c>
      <x:c r="S305" s="5" t="s">
        <x:v>357</x:v>
      </x:c>
      <x:c r="T305" s="5" t="s">
        <x:v>478</x:v>
      </x:c>
      <x:c r="U305" s="151"/>
      <x:c r="V305" s="151"/>
      <x:c r="W305" s="151"/>
      <x:c r="X305" s="151"/>
      <x:c r="Y305" s="151"/>
      <x:c r="Z305" s="151"/>
    </x:row>
    <x:row r="306" ht="22" customHeight="1">
      <x:c r="A306" s="5" t="s">
        <x:v>237</x:v>
      </x:c>
      <x:c r="B306" s="5" t="s">
        <x:v>238</x:v>
      </x:c>
      <x:c r="C306" s="6">
        <x:v>45504</x:v>
      </x:c>
      <x:c r="D306" s="5">
        <x:v>2024</x:v>
      </x:c>
      <x:c r="E306" s="5" t="s">
        <x:v>454</x:v>
      </x:c>
      <x:c r="F306" s="5" t="s">
        <x:v>0</x:v>
      </x:c>
      <x:c r="G306" s="5" t="s">
        <x:v>408</x:v>
      </x:c>
      <x:c r="H306" s="8"/>
      <x:c r="I306" s="8"/>
      <x:c r="J306" s="5" t="s">
        <x:v>345</x:v>
      </x:c>
      <x:c r="K306" s="7"/>
      <x:c r="L306" s="9" t="str">
        <x:f t="shared" si="8"/>
      </x:c>
      <x:c r="M306" s="8">
        <x:v>69593</x:v>
      </x:c>
      <x:c r="N306" s="8">
        <x:v>14553448</x:v>
      </x:c>
      <x:c r="O306" s="7"/>
      <x:c r="P306" s="9">
        <x:f t="shared" si="9"/>
        <x:v>4.7818908618768559E-3</x:v>
      </x:c>
      <x:c r="Q306" s="10" t="s">
        <x:v>476</x:v>
      </x:c>
      <x:c r="R306" s="5" t="s">
        <x:v>477</x:v>
      </x:c>
      <x:c r="S306" s="5" t="s">
        <x:v>357</x:v>
      </x:c>
      <x:c r="T306" s="5" t="s">
        <x:v>478</x:v>
      </x:c>
      <x:c r="U306" s="151"/>
      <x:c r="V306" s="151"/>
      <x:c r="W306" s="151"/>
      <x:c r="X306" s="151"/>
      <x:c r="Y306" s="151"/>
      <x:c r="Z306" s="151"/>
    </x:row>
    <x:row r="307" ht="22" customHeight="1">
      <x:c r="A307" s="5" t="s">
        <x:v>237</x:v>
      </x:c>
      <x:c r="B307" s="5" t="s">
        <x:v>238</x:v>
      </x:c>
      <x:c r="C307" s="6">
        <x:v>45504</x:v>
      </x:c>
      <x:c r="D307" s="5">
        <x:v>2024</x:v>
      </x:c>
      <x:c r="E307" s="5" t="s">
        <x:v>517</x:v>
      </x:c>
      <x:c r="F307" s="5" t="s">
        <x:v>0</x:v>
      </x:c>
      <x:c r="G307" s="5" t="s">
        <x:v>408</x:v>
      </x:c>
      <x:c r="H307" s="8"/>
      <x:c r="I307" s="8"/>
      <x:c r="J307" s="5" t="s">
        <x:v>345</x:v>
      </x:c>
      <x:c r="K307" s="7"/>
      <x:c r="L307" s="9" t="str">
        <x:f t="shared" si="8"/>
      </x:c>
      <x:c r="M307" s="8">
        <x:v>64608</x:v>
      </x:c>
      <x:c r="N307" s="8">
        <x:v>14553448</x:v>
      </x:c>
      <x:c r="O307" s="7"/>
      <x:c r="P307" s="9">
        <x:f t="shared" si="9"/>
        <x:v>4.4393603495199215E-3</x:v>
      </x:c>
      <x:c r="Q307" s="10" t="s">
        <x:v>476</x:v>
      </x:c>
      <x:c r="R307" s="5" t="s">
        <x:v>477</x:v>
      </x:c>
      <x:c r="S307" s="5" t="s">
        <x:v>357</x:v>
      </x:c>
      <x:c r="T307" s="5" t="s">
        <x:v>478</x:v>
      </x:c>
      <x:c r="U307" s="151"/>
      <x:c r="V307" s="151"/>
      <x:c r="W307" s="151"/>
      <x:c r="X307" s="151"/>
      <x:c r="Y307" s="151"/>
      <x:c r="Z307" s="151"/>
    </x:row>
    <x:row r="308" ht="22" customHeight="1">
      <x:c r="A308" s="5" t="s">
        <x:v>237</x:v>
      </x:c>
      <x:c r="B308" s="5" t="s">
        <x:v>238</x:v>
      </x:c>
      <x:c r="C308" s="6">
        <x:v>45504</x:v>
      </x:c>
      <x:c r="D308" s="5">
        <x:v>2024</x:v>
      </x:c>
      <x:c r="E308" s="5" t="s">
        <x:v>417</x:v>
      </x:c>
      <x:c r="F308" s="5" t="s">
        <x:v>0</x:v>
      </x:c>
      <x:c r="G308" s="5" t="s">
        <x:v>408</x:v>
      </x:c>
      <x:c r="H308" s="8"/>
      <x:c r="I308" s="8"/>
      <x:c r="J308" s="5" t="s">
        <x:v>345</x:v>
      </x:c>
      <x:c r="K308" s="7"/>
      <x:c r="L308" s="9" t="str">
        <x:f t="shared" si="8"/>
      </x:c>
      <x:c r="M308" s="8">
        <x:v>30334</x:v>
      </x:c>
      <x:c r="N308" s="8">
        <x:v>14553448</x:v>
      </x:c>
      <x:c r="O308" s="7"/>
      <x:c r="P308" s="9">
        <x:f t="shared" si="9"/>
        <x:v>2.084317063557722E-3</x:v>
      </x:c>
      <x:c r="Q308" s="10" t="s">
        <x:v>476</x:v>
      </x:c>
      <x:c r="R308" s="5" t="s">
        <x:v>477</x:v>
      </x:c>
      <x:c r="S308" s="5" t="s">
        <x:v>357</x:v>
      </x:c>
      <x:c r="T308" s="5" t="s">
        <x:v>478</x:v>
      </x:c>
      <x:c r="U308" s="151"/>
      <x:c r="V308" s="151"/>
      <x:c r="W308" s="151"/>
      <x:c r="X308" s="151"/>
      <x:c r="Y308" s="151"/>
      <x:c r="Z308" s="151"/>
    </x:row>
    <x:row r="309" ht="22" customHeight="1">
      <x:c r="A309" s="5" t="s">
        <x:v>237</x:v>
      </x:c>
      <x:c r="B309" s="5" t="s">
        <x:v>238</x:v>
      </x:c>
      <x:c r="C309" s="6">
        <x:v>45504</x:v>
      </x:c>
      <x:c r="D309" s="5">
        <x:v>2024</x:v>
      </x:c>
      <x:c r="E309" s="5" t="s">
        <x:v>418</x:v>
      </x:c>
      <x:c r="F309" s="5" t="s">
        <x:v>0</x:v>
      </x:c>
      <x:c r="G309" s="5" t="s">
        <x:v>408</x:v>
      </x:c>
      <x:c r="H309" s="8"/>
      <x:c r="I309" s="8"/>
      <x:c r="J309" s="5" t="s">
        <x:v>345</x:v>
      </x:c>
      <x:c r="K309" s="7"/>
      <x:c r="L309" s="9" t="str">
        <x:f t="shared" si="8"/>
      </x:c>
      <x:c r="M309" s="8">
        <x:v>127685</x:v>
      </x:c>
      <x:c r="N309" s="8">
        <x:v>14553448</x:v>
      </x:c>
      <x:c r="O309" s="7"/>
      <x:c r="P309" s="9">
        <x:f t="shared" si="9"/>
        <x:v>8.7735222608415538E-3</x:v>
      </x:c>
      <x:c r="Q309" s="10" t="s">
        <x:v>476</x:v>
      </x:c>
      <x:c r="R309" s="5" t="s">
        <x:v>477</x:v>
      </x:c>
      <x:c r="S309" s="5" t="s">
        <x:v>357</x:v>
      </x:c>
      <x:c r="T309" s="5" t="s">
        <x:v>478</x:v>
      </x:c>
      <x:c r="U309" s="151"/>
      <x:c r="V309" s="151"/>
      <x:c r="W309" s="151"/>
      <x:c r="X309" s="151"/>
      <x:c r="Y309" s="151"/>
      <x:c r="Z309" s="151"/>
    </x:row>
    <x:row r="310" ht="22" customHeight="1">
      <x:c r="A310" s="5" t="s">
        <x:v>237</x:v>
      </x:c>
      <x:c r="B310" s="5" t="s">
        <x:v>238</x:v>
      </x:c>
      <x:c r="C310" s="6">
        <x:v>45504</x:v>
      </x:c>
      <x:c r="D310" s="5">
        <x:v>2024</x:v>
      </x:c>
      <x:c r="E310" s="5" t="s">
        <x:v>419</x:v>
      </x:c>
      <x:c r="F310" s="5" t="s">
        <x:v>0</x:v>
      </x:c>
      <x:c r="G310" s="5" t="s">
        <x:v>408</x:v>
      </x:c>
      <x:c r="H310" s="8"/>
      <x:c r="I310" s="8"/>
      <x:c r="J310" s="5" t="s">
        <x:v>345</x:v>
      </x:c>
      <x:c r="K310" s="7"/>
      <x:c r="L310" s="9" t="str">
        <x:f t="shared" si="8"/>
      </x:c>
      <x:c r="M310" s="8">
        <x:v>170221</x:v>
      </x:c>
      <x:c r="N310" s="8">
        <x:v>14553448</x:v>
      </x:c>
      <x:c r="O310" s="7"/>
      <x:c r="P310" s="9">
        <x:f t="shared" si="9"/>
        <x:v>1.169626606698289E-2</x:v>
      </x:c>
      <x:c r="Q310" s="10" t="s">
        <x:v>476</x:v>
      </x:c>
      <x:c r="R310" s="5" t="s">
        <x:v>477</x:v>
      </x:c>
      <x:c r="S310" s="5" t="s">
        <x:v>357</x:v>
      </x:c>
      <x:c r="T310" s="5" t="s">
        <x:v>478</x:v>
      </x:c>
      <x:c r="U310" s="151"/>
      <x:c r="V310" s="151"/>
      <x:c r="W310" s="151"/>
      <x:c r="X310" s="151"/>
      <x:c r="Y310" s="151"/>
      <x:c r="Z310" s="151"/>
    </x:row>
    <x:row r="311" ht="22" customHeight="1">
      <x:c r="A311" s="5" t="s">
        <x:v>237</x:v>
      </x:c>
      <x:c r="B311" s="5" t="s">
        <x:v>238</x:v>
      </x:c>
      <x:c r="C311" s="6">
        <x:v>45504</x:v>
      </x:c>
      <x:c r="D311" s="5">
        <x:v>2024</x:v>
      </x:c>
      <x:c r="E311" s="5" t="s">
        <x:v>420</x:v>
      </x:c>
      <x:c r="F311" s="5" t="s">
        <x:v>0</x:v>
      </x:c>
      <x:c r="G311" s="5" t="s">
        <x:v>408</x:v>
      </x:c>
      <x:c r="H311" s="8"/>
      <x:c r="I311" s="8"/>
      <x:c r="J311" s="5" t="s">
        <x:v>345</x:v>
      </x:c>
      <x:c r="K311" s="7"/>
      <x:c r="L311" s="9" t="str">
        <x:f t="shared" si="8"/>
      </x:c>
      <x:c r="M311" s="8">
        <x:v>35096</x:v>
      </x:c>
      <x:c r="N311" s="8">
        <x:v>14553448</x:v>
      </x:c>
      <x:c r="O311" s="7"/>
      <x:c r="P311" s="9">
        <x:f t="shared" si="9"/>
        <x:v>2.4115247465755192E-3</x:v>
      </x:c>
      <x:c r="Q311" s="10" t="s">
        <x:v>476</x:v>
      </x:c>
      <x:c r="R311" s="5" t="s">
        <x:v>477</x:v>
      </x:c>
      <x:c r="S311" s="5" t="s">
        <x:v>357</x:v>
      </x:c>
      <x:c r="T311" s="5" t="s">
        <x:v>478</x:v>
      </x:c>
      <x:c r="U311" s="151"/>
      <x:c r="V311" s="151"/>
      <x:c r="W311" s="151"/>
      <x:c r="X311" s="151"/>
      <x:c r="Y311" s="151"/>
      <x:c r="Z311" s="151"/>
    </x:row>
    <x:row r="312" ht="22" customHeight="1">
      <x:c r="A312" s="5" t="s">
        <x:v>237</x:v>
      </x:c>
      <x:c r="B312" s="5" t="s">
        <x:v>238</x:v>
      </x:c>
      <x:c r="C312" s="6">
        <x:v>45504</x:v>
      </x:c>
      <x:c r="D312" s="5">
        <x:v>2024</x:v>
      </x:c>
      <x:c r="E312" s="5" t="s">
        <x:v>468</x:v>
      </x:c>
      <x:c r="F312" s="5" t="s">
        <x:v>0</x:v>
      </x:c>
      <x:c r="G312" s="5" t="s">
        <x:v>408</x:v>
      </x:c>
      <x:c r="H312" s="8"/>
      <x:c r="I312" s="8"/>
      <x:c r="J312" s="5" t="s">
        <x:v>345</x:v>
      </x:c>
      <x:c r="K312" s="7"/>
      <x:c r="L312" s="9" t="str">
        <x:f t="shared" si="8"/>
      </x:c>
      <x:c r="M312" s="8">
        <x:v>28388</x:v>
      </x:c>
      <x:c r="N312" s="8">
        <x:v>14553448</x:v>
      </x:c>
      <x:c r="O312" s="7"/>
      <x:c r="P312" s="9">
        <x:f t="shared" si="9"/>
        <x:v>1.950603046096018E-3</x:v>
      </x:c>
      <x:c r="Q312" s="10" t="s">
        <x:v>476</x:v>
      </x:c>
      <x:c r="R312" s="5" t="s">
        <x:v>477</x:v>
      </x:c>
      <x:c r="S312" s="5" t="s">
        <x:v>357</x:v>
      </x:c>
      <x:c r="T312" s="5" t="s">
        <x:v>478</x:v>
      </x:c>
      <x:c r="U312" s="151"/>
      <x:c r="V312" s="151"/>
      <x:c r="W312" s="151"/>
      <x:c r="X312" s="151"/>
      <x:c r="Y312" s="151"/>
      <x:c r="Z312" s="151"/>
    </x:row>
    <x:row r="313" ht="22" customHeight="1">
      <x:c r="A313" s="5" t="s">
        <x:v>237</x:v>
      </x:c>
      <x:c r="B313" s="5" t="s">
        <x:v>238</x:v>
      </x:c>
      <x:c r="C313" s="6">
        <x:v>45504</x:v>
      </x:c>
      <x:c r="D313" s="5">
        <x:v>2024</x:v>
      </x:c>
      <x:c r="E313" s="5" t="s">
        <x:v>421</x:v>
      </x:c>
      <x:c r="F313" s="5" t="s">
        <x:v>0</x:v>
      </x:c>
      <x:c r="G313" s="5" t="s">
        <x:v>408</x:v>
      </x:c>
      <x:c r="H313" s="8"/>
      <x:c r="I313" s="8"/>
      <x:c r="J313" s="5" t="s">
        <x:v>345</x:v>
      </x:c>
      <x:c r="K313" s="7"/>
      <x:c r="L313" s="9" t="str">
        <x:f t="shared" si="8"/>
      </x:c>
      <x:c r="M313" s="8">
        <x:v>155002</x:v>
      </x:c>
      <x:c r="N313" s="8">
        <x:v>14553448</x:v>
      </x:c>
      <x:c r="O313" s="7"/>
      <x:c r="P313" s="9">
        <x:f t="shared" si="9"/>
        <x:v>1.0650534498766203E-2</x:v>
      </x:c>
      <x:c r="Q313" s="10" t="s">
        <x:v>476</x:v>
      </x:c>
      <x:c r="R313" s="5" t="s">
        <x:v>477</x:v>
      </x:c>
      <x:c r="S313" s="5" t="s">
        <x:v>357</x:v>
      </x:c>
      <x:c r="T313" s="5" t="s">
        <x:v>478</x:v>
      </x:c>
      <x:c r="U313" s="151"/>
      <x:c r="V313" s="151"/>
      <x:c r="W313" s="151"/>
      <x:c r="X313" s="151"/>
      <x:c r="Y313" s="151"/>
      <x:c r="Z313" s="151"/>
    </x:row>
    <x:row r="314" ht="22" customHeight="1">
      <x:c r="A314" s="5" t="s">
        <x:v>237</x:v>
      </x:c>
      <x:c r="B314" s="5" t="s">
        <x:v>238</x:v>
      </x:c>
      <x:c r="C314" s="6">
        <x:v>45504</x:v>
      </x:c>
      <x:c r="D314" s="5">
        <x:v>2024</x:v>
      </x:c>
      <x:c r="E314" s="5" t="s">
        <x:v>422</x:v>
      </x:c>
      <x:c r="F314" s="5" t="s">
        <x:v>0</x:v>
      </x:c>
      <x:c r="G314" s="5" t="s">
        <x:v>408</x:v>
      </x:c>
      <x:c r="H314" s="8"/>
      <x:c r="I314" s="8"/>
      <x:c r="J314" s="5" t="s">
        <x:v>345</x:v>
      </x:c>
      <x:c r="K314" s="7"/>
      <x:c r="L314" s="9" t="str">
        <x:f t="shared" si="8"/>
      </x:c>
      <x:c r="M314" s="8">
        <x:v>225837</x:v>
      </x:c>
      <x:c r="N314" s="8">
        <x:v>14553448</x:v>
      </x:c>
      <x:c r="O314" s="7"/>
      <x:c r="P314" s="9">
        <x:f t="shared" si="9"/>
        <x:v>1.5517765961715739E-2</x:v>
      </x:c>
      <x:c r="Q314" s="10" t="s">
        <x:v>476</x:v>
      </x:c>
      <x:c r="R314" s="5" t="s">
        <x:v>477</x:v>
      </x:c>
      <x:c r="S314" s="5" t="s">
        <x:v>357</x:v>
      </x:c>
      <x:c r="T314" s="5" t="s">
        <x:v>478</x:v>
      </x:c>
      <x:c r="U314" s="151"/>
      <x:c r="V314" s="151"/>
      <x:c r="W314" s="151"/>
      <x:c r="X314" s="151"/>
      <x:c r="Y314" s="151"/>
      <x:c r="Z314" s="151"/>
    </x:row>
    <x:row r="315" ht="22" customHeight="1">
      <x:c r="A315" s="5" t="s">
        <x:v>237</x:v>
      </x:c>
      <x:c r="B315" s="5" t="s">
        <x:v>238</x:v>
      </x:c>
      <x:c r="C315" s="6">
        <x:v>45504</x:v>
      </x:c>
      <x:c r="D315" s="5">
        <x:v>2024</x:v>
      </x:c>
      <x:c r="E315" s="5" t="s">
        <x:v>423</x:v>
      </x:c>
      <x:c r="F315" s="5" t="s">
        <x:v>0</x:v>
      </x:c>
      <x:c r="G315" s="5" t="s">
        <x:v>408</x:v>
      </x:c>
      <x:c r="H315" s="8"/>
      <x:c r="I315" s="8"/>
      <x:c r="J315" s="5" t="s">
        <x:v>345</x:v>
      </x:c>
      <x:c r="K315" s="7"/>
      <x:c r="L315" s="9" t="str">
        <x:f t="shared" si="8"/>
      </x:c>
      <x:c r="M315" s="8">
        <x:v>211282</x:v>
      </x:c>
      <x:c r="N315" s="8">
        <x:v>14553448</x:v>
      </x:c>
      <x:c r="O315" s="7"/>
      <x:c r="P315" s="9">
        <x:f t="shared" si="9"/>
        <x:v>1.4517659320320517E-2</x:v>
      </x:c>
      <x:c r="Q315" s="10" t="s">
        <x:v>476</x:v>
      </x:c>
      <x:c r="R315" s="5" t="s">
        <x:v>477</x:v>
      </x:c>
      <x:c r="S315" s="5" t="s">
        <x:v>357</x:v>
      </x:c>
      <x:c r="T315" s="5" t="s">
        <x:v>478</x:v>
      </x:c>
      <x:c r="U315" s="151"/>
      <x:c r="V315" s="151"/>
      <x:c r="W315" s="151"/>
      <x:c r="X315" s="151"/>
      <x:c r="Y315" s="151"/>
      <x:c r="Z315" s="151"/>
    </x:row>
    <x:row r="316" ht="22" customHeight="1">
      <x:c r="A316" s="5" t="s">
        <x:v>237</x:v>
      </x:c>
      <x:c r="B316" s="5" t="s">
        <x:v>238</x:v>
      </x:c>
      <x:c r="C316" s="6">
        <x:v>45504</x:v>
      </x:c>
      <x:c r="D316" s="5">
        <x:v>2024</x:v>
      </x:c>
      <x:c r="E316" s="5" t="s">
        <x:v>424</x:v>
      </x:c>
      <x:c r="F316" s="5" t="s">
        <x:v>0</x:v>
      </x:c>
      <x:c r="G316" s="5" t="s">
        <x:v>408</x:v>
      </x:c>
      <x:c r="H316" s="8"/>
      <x:c r="I316" s="8"/>
      <x:c r="J316" s="5" t="s">
        <x:v>345</x:v>
      </x:c>
      <x:c r="K316" s="7"/>
      <x:c r="L316" s="9" t="str">
        <x:f t="shared" si="8"/>
      </x:c>
      <x:c r="M316" s="8">
        <x:v>57464</x:v>
      </x:c>
      <x:c r="N316" s="8">
        <x:v>14553448</x:v>
      </x:c>
      <x:c r="O316" s="7"/>
      <x:c r="P316" s="9">
        <x:f t="shared" si="9"/>
        <x:v>3.948480112754036E-3</x:v>
      </x:c>
      <x:c r="Q316" s="10" t="s">
        <x:v>476</x:v>
      </x:c>
      <x:c r="R316" s="5" t="s">
        <x:v>477</x:v>
      </x:c>
      <x:c r="S316" s="5" t="s">
        <x:v>357</x:v>
      </x:c>
      <x:c r="T316" s="5" t="s">
        <x:v>478</x:v>
      </x:c>
      <x:c r="U316" s="151"/>
      <x:c r="V316" s="151"/>
      <x:c r="W316" s="151"/>
      <x:c r="X316" s="151"/>
      <x:c r="Y316" s="151"/>
      <x:c r="Z316" s="151"/>
    </x:row>
    <x:row r="317" ht="22" customHeight="1">
      <x:c r="A317" s="5" t="s">
        <x:v>237</x:v>
      </x:c>
      <x:c r="B317" s="5" t="s">
        <x:v>238</x:v>
      </x:c>
      <x:c r="C317" s="6">
        <x:v>45504</x:v>
      </x:c>
      <x:c r="D317" s="5">
        <x:v>2024</x:v>
      </x:c>
      <x:c r="E317" s="5" t="s">
        <x:v>425</x:v>
      </x:c>
      <x:c r="F317" s="5" t="s">
        <x:v>0</x:v>
      </x:c>
      <x:c r="G317" s="5" t="s">
        <x:v>408</x:v>
      </x:c>
      <x:c r="H317" s="8"/>
      <x:c r="I317" s="8"/>
      <x:c r="J317" s="5" t="s">
        <x:v>345</x:v>
      </x:c>
      <x:c r="K317" s="7"/>
      <x:c r="L317" s="9" t="str">
        <x:f t="shared" si="8"/>
      </x:c>
      <x:c r="M317" s="8">
        <x:v>272214</x:v>
      </x:c>
      <x:c r="N317" s="8">
        <x:v>14553448</x:v>
      </x:c>
      <x:c r="O317" s="7"/>
      <x:c r="P317" s="9">
        <x:f t="shared" si="9"/>
        <x:v>1.8704433478581844E-2</x:v>
      </x:c>
      <x:c r="Q317" s="10" t="s">
        <x:v>476</x:v>
      </x:c>
      <x:c r="R317" s="5" t="s">
        <x:v>477</x:v>
      </x:c>
      <x:c r="S317" s="5" t="s">
        <x:v>357</x:v>
      </x:c>
      <x:c r="T317" s="5" t="s">
        <x:v>478</x:v>
      </x:c>
      <x:c r="U317" s="151"/>
      <x:c r="V317" s="151"/>
      <x:c r="W317" s="151"/>
      <x:c r="X317" s="151"/>
      <x:c r="Y317" s="151"/>
      <x:c r="Z317" s="151"/>
    </x:row>
    <x:row r="318" ht="22" customHeight="1">
      <x:c r="A318" s="5" t="s">
        <x:v>237</x:v>
      </x:c>
      <x:c r="B318" s="5" t="s">
        <x:v>238</x:v>
      </x:c>
      <x:c r="C318" s="6">
        <x:v>45504</x:v>
      </x:c>
      <x:c r="D318" s="5">
        <x:v>2024</x:v>
      </x:c>
      <x:c r="E318" s="5" t="s">
        <x:v>426</x:v>
      </x:c>
      <x:c r="F318" s="5" t="s">
        <x:v>0</x:v>
      </x:c>
      <x:c r="G318" s="5" t="s">
        <x:v>408</x:v>
      </x:c>
      <x:c r="H318" s="8"/>
      <x:c r="I318" s="8"/>
      <x:c r="J318" s="5" t="s">
        <x:v>345</x:v>
      </x:c>
      <x:c r="K318" s="7"/>
      <x:c r="L318" s="9" t="str">
        <x:f t="shared" si="8"/>
      </x:c>
      <x:c r="M318" s="8">
        <x:v>950131</x:v>
      </x:c>
      <x:c r="N318" s="8">
        <x:v>14553448</x:v>
      </x:c>
      <x:c r="O318" s="7"/>
      <x:c r="P318" s="9">
        <x:f t="shared" si="9"/>
        <x:v>6.5285628532839785E-2</x:v>
      </x:c>
      <x:c r="Q318" s="10" t="s">
        <x:v>476</x:v>
      </x:c>
      <x:c r="R318" s="5" t="s">
        <x:v>477</x:v>
      </x:c>
      <x:c r="S318" s="5" t="s">
        <x:v>357</x:v>
      </x:c>
      <x:c r="T318" s="5" t="s">
        <x:v>478</x:v>
      </x:c>
      <x:c r="U318" s="151"/>
      <x:c r="V318" s="151"/>
      <x:c r="W318" s="151"/>
      <x:c r="X318" s="151"/>
      <x:c r="Y318" s="151"/>
      <x:c r="Z318" s="151"/>
    </x:row>
    <x:row r="319" ht="22" customHeight="1">
      <x:c r="A319" s="5" t="s">
        <x:v>247</x:v>
      </x:c>
      <x:c r="B319" s="5" t="s">
        <x:v>248</x:v>
      </x:c>
      <x:c r="C319" s="6">
        <x:v>45291</x:v>
      </x:c>
      <x:c r="D319" s="5">
        <x:v>2023</x:v>
      </x:c>
      <x:c r="E319" s="5" t="s">
        <x:v>453</x:v>
      </x:c>
      <x:c r="F319" s="5" t="s">
        <x:v>0</x:v>
      </x:c>
      <x:c r="G319" s="5" t="s">
        <x:v>337</x:v>
      </x:c>
      <x:c r="H319" s="8">
        <x:v>10704</x:v>
      </x:c>
      <x:c r="I319" s="8">
        <x:v>5000000</x:v>
      </x:c>
      <x:c r="J319" s="5" t="s">
        <x:v>518</x:v>
      </x:c>
      <x:c r="K319" s="7"/>
      <x:c r="L319" s="9">
        <x:f t="shared" si="8"/>
        <x:v>2.1408E-3</x:v>
      </x:c>
      <x:c r="M319" s="8"/>
      <x:c r="N319" s="8"/>
      <x:c r="O319" s="7"/>
      <x:c r="P319" s="9" t="str">
        <x:f t="shared" si="9"/>
      </x:c>
      <x:c r="Q319" s="10" t="s">
        <x:v>250</x:v>
      </x:c>
      <x:c r="R319" s="5" t="s">
        <x:v>519</x:v>
      </x:c>
      <x:c r="S319" s="5" t="s">
        <x:v>357</x:v>
      </x:c>
      <x:c r="T319" s="5" t="s">
        <x:v>520</x:v>
      </x:c>
      <x:c r="U319" s="151"/>
      <x:c r="V319" s="151"/>
      <x:c r="W319" s="151"/>
      <x:c r="X319" s="151"/>
      <x:c r="Y319" s="151"/>
      <x:c r="Z319" s="151"/>
    </x:row>
    <x:row r="320" ht="22" customHeight="1">
      <x:c r="A320" s="5" t="s">
        <x:v>247</x:v>
      </x:c>
      <x:c r="B320" s="5" t="s">
        <x:v>248</x:v>
      </x:c>
      <x:c r="C320" s="6">
        <x:v>45291</x:v>
      </x:c>
      <x:c r="D320" s="5">
        <x:v>2023</x:v>
      </x:c>
      <x:c r="E320" s="5" t="s">
        <x:v>474</x:v>
      </x:c>
      <x:c r="F320" s="5" t="s">
        <x:v>0</x:v>
      </x:c>
      <x:c r="G320" s="5" t="s">
        <x:v>337</x:v>
      </x:c>
      <x:c r="H320" s="8">
        <x:v>535217</x:v>
      </x:c>
      <x:c r="I320" s="8">
        <x:v>5000000</x:v>
      </x:c>
      <x:c r="J320" s="5" t="s">
        <x:v>518</x:v>
      </x:c>
      <x:c r="K320" s="7"/>
      <x:c r="L320" s="9">
        <x:f t="shared" si="8"/>
        <x:v>0.1070434</x:v>
      </x:c>
      <x:c r="M320" s="8"/>
      <x:c r="N320" s="8"/>
      <x:c r="O320" s="7"/>
      <x:c r="P320" s="9" t="str">
        <x:f t="shared" si="9"/>
      </x:c>
      <x:c r="Q320" s="10" t="s">
        <x:v>250</x:v>
      </x:c>
      <x:c r="R320" s="5" t="s">
        <x:v>519</x:v>
      </x:c>
      <x:c r="S320" s="5" t="s">
        <x:v>357</x:v>
      </x:c>
      <x:c r="T320" s="5" t="s">
        <x:v>520</x:v>
      </x:c>
      <x:c r="U320" s="151"/>
      <x:c r="V320" s="151"/>
      <x:c r="W320" s="151"/>
      <x:c r="X320" s="151"/>
      <x:c r="Y320" s="151"/>
      <x:c r="Z320" s="151"/>
    </x:row>
    <x:row r="321" ht="22" customHeight="1">
      <x:c r="A321" s="5" t="s">
        <x:v>247</x:v>
      </x:c>
      <x:c r="B321" s="5" t="s">
        <x:v>248</x:v>
      </x:c>
      <x:c r="C321" s="6">
        <x:v>45291</x:v>
      </x:c>
      <x:c r="D321" s="5">
        <x:v>2023</x:v>
      </x:c>
      <x:c r="E321" s="5" t="s">
        <x:v>433</x:v>
      </x:c>
      <x:c r="F321" s="5" t="s">
        <x:v>0</x:v>
      </x:c>
      <x:c r="G321" s="5" t="s">
        <x:v>337</x:v>
      </x:c>
      <x:c r="H321" s="8">
        <x:v>10704</x:v>
      </x:c>
      <x:c r="I321" s="8">
        <x:v>5000000</x:v>
      </x:c>
      <x:c r="J321" s="5" t="s">
        <x:v>518</x:v>
      </x:c>
      <x:c r="K321" s="7"/>
      <x:c r="L321" s="9">
        <x:f t="shared" si="8"/>
        <x:v>2.1408E-3</x:v>
      </x:c>
      <x:c r="M321" s="8"/>
      <x:c r="N321" s="8"/>
      <x:c r="O321" s="7"/>
      <x:c r="P321" s="9" t="str">
        <x:f t="shared" si="9"/>
      </x:c>
      <x:c r="Q321" s="10" t="s">
        <x:v>250</x:v>
      </x:c>
      <x:c r="R321" s="5" t="s">
        <x:v>519</x:v>
      </x:c>
      <x:c r="S321" s="5" t="s">
        <x:v>357</x:v>
      </x:c>
      <x:c r="T321" s="5" t="s">
        <x:v>520</x:v>
      </x:c>
      <x:c r="U321" s="151"/>
      <x:c r="V321" s="151"/>
      <x:c r="W321" s="151"/>
      <x:c r="X321" s="151"/>
      <x:c r="Y321" s="151"/>
      <x:c r="Z321" s="151"/>
    </x:row>
    <x:row r="322" ht="22" customHeight="1">
      <x:c r="A322" s="5" t="s">
        <x:v>247</x:v>
      </x:c>
      <x:c r="B322" s="5" t="s">
        <x:v>248</x:v>
      </x:c>
      <x:c r="C322" s="6">
        <x:v>45291</x:v>
      </x:c>
      <x:c r="D322" s="5">
        <x:v>2023</x:v>
      </x:c>
      <x:c r="E322" s="5" t="s">
        <x:v>473</x:v>
      </x:c>
      <x:c r="F322" s="5" t="s">
        <x:v>0</x:v>
      </x:c>
      <x:c r="G322" s="5" t="s">
        <x:v>337</x:v>
      </x:c>
      <x:c r="H322" s="8">
        <x:v>44601</x:v>
      </x:c>
      <x:c r="I322" s="8">
        <x:v>5000000</x:v>
      </x:c>
      <x:c r="J322" s="5" t="s">
        <x:v>518</x:v>
      </x:c>
      <x:c r="K322" s="7"/>
      <x:c r="L322" s="9">
        <x:f t="shared" si="8"/>
        <x:v>8.9201999999999997E-3</x:v>
      </x:c>
      <x:c r="M322" s="8"/>
      <x:c r="N322" s="8"/>
      <x:c r="O322" s="7"/>
      <x:c r="P322" s="9" t="str">
        <x:f t="shared" si="9"/>
      </x:c>
      <x:c r="Q322" s="10" t="s">
        <x:v>250</x:v>
      </x:c>
      <x:c r="R322" s="5" t="s">
        <x:v>519</x:v>
      </x:c>
      <x:c r="S322" s="5" t="s">
        <x:v>357</x:v>
      </x:c>
      <x:c r="T322" s="5" t="s">
        <x:v>520</x:v>
      </x:c>
      <x:c r="U322" s="151"/>
      <x:c r="V322" s="151"/>
      <x:c r="W322" s="151"/>
      <x:c r="X322" s="151"/>
      <x:c r="Y322" s="151"/>
      <x:c r="Z322" s="151"/>
    </x:row>
    <x:row r="323" ht="22" customHeight="1">
      <x:c r="A323" s="5" t="s">
        <x:v>247</x:v>
      </x:c>
      <x:c r="B323" s="5" t="s">
        <x:v>248</x:v>
      </x:c>
      <x:c r="C323" s="6">
        <x:v>45291</x:v>
      </x:c>
      <x:c r="D323" s="5">
        <x:v>2023</x:v>
      </x:c>
      <x:c r="E323" s="5" t="s">
        <x:v>431</x:v>
      </x:c>
      <x:c r="F323" s="5" t="s">
        <x:v>0</x:v>
      </x:c>
      <x:c r="G323" s="5" t="s">
        <x:v>337</x:v>
      </x:c>
      <x:c r="H323" s="8">
        <x:v>214087</x:v>
      </x:c>
      <x:c r="I323" s="8">
        <x:v>5000000</x:v>
      </x:c>
      <x:c r="J323" s="5" t="s">
        <x:v>518</x:v>
      </x:c>
      <x:c r="K323" s="7"/>
      <x:c r="L323" s="9">
        <x:f t="shared" si="8"/>
        <x:v>4.2817399999999999E-2</x:v>
      </x:c>
      <x:c r="M323" s="8"/>
      <x:c r="N323" s="8"/>
      <x:c r="O323" s="7"/>
      <x:c r="P323" s="9" t="str">
        <x:f t="shared" si="9"/>
      </x:c>
      <x:c r="Q323" s="10" t="s">
        <x:v>250</x:v>
      </x:c>
      <x:c r="R323" s="5" t="s">
        <x:v>519</x:v>
      </x:c>
      <x:c r="S323" s="5" t="s">
        <x:v>357</x:v>
      </x:c>
      <x:c r="T323" s="5" t="s">
        <x:v>520</x:v>
      </x:c>
      <x:c r="U323" s="151"/>
      <x:c r="V323" s="151"/>
      <x:c r="W323" s="151"/>
      <x:c r="X323" s="151"/>
      <x:c r="Y323" s="151"/>
      <x:c r="Z323" s="151"/>
    </x:row>
    <x:row r="324" ht="22" customHeight="1">
      <x:c r="A324" s="5" t="s">
        <x:v>247</x:v>
      </x:c>
      <x:c r="B324" s="5" t="s">
        <x:v>248</x:v>
      </x:c>
      <x:c r="C324" s="6">
        <x:v>45291</x:v>
      </x:c>
      <x:c r="D324" s="5">
        <x:v>2023</x:v>
      </x:c>
      <x:c r="E324" s="5" t="s">
        <x:v>468</x:v>
      </x:c>
      <x:c r="F324" s="5" t="s">
        <x:v>0</x:v>
      </x:c>
      <x:c r="G324" s="5" t="s">
        <x:v>337</x:v>
      </x:c>
      <x:c r="H324" s="8">
        <x:v>1284520</x:v>
      </x:c>
      <x:c r="I324" s="8">
        <x:v>5000000</x:v>
      </x:c>
      <x:c r="J324" s="5" t="s">
        <x:v>518</x:v>
      </x:c>
      <x:c r="K324" s="7"/>
      <x:c r="L324" s="9">
        <x:f t="shared" si="8"/>
        <x:v>0.25690400000000002</x:v>
      </x:c>
      <x:c r="M324" s="8"/>
      <x:c r="N324" s="8"/>
      <x:c r="O324" s="7"/>
      <x:c r="P324" s="9" t="str">
        <x:f t="shared" si="9"/>
      </x:c>
      <x:c r="Q324" s="10" t="s">
        <x:v>250</x:v>
      </x:c>
      <x:c r="R324" s="5" t="s">
        <x:v>519</x:v>
      </x:c>
      <x:c r="S324" s="5" t="s">
        <x:v>357</x:v>
      </x:c>
      <x:c r="T324" s="5" t="s">
        <x:v>520</x:v>
      </x:c>
      <x:c r="U324" s="151"/>
      <x:c r="V324" s="151"/>
      <x:c r="W324" s="151"/>
      <x:c r="X324" s="151"/>
      <x:c r="Y324" s="151"/>
      <x:c r="Z324" s="151"/>
    </x:row>
    <x:row r="325" ht="22" customHeight="1">
      <x:c r="A325" s="5" t="s">
        <x:v>247</x:v>
      </x:c>
      <x:c r="B325" s="5" t="s">
        <x:v>248</x:v>
      </x:c>
      <x:c r="C325" s="6">
        <x:v>45291</x:v>
      </x:c>
      <x:c r="D325" s="5">
        <x:v>2023</x:v>
      </x:c>
      <x:c r="E325" s="5" t="s">
        <x:v>471</x:v>
      </x:c>
      <x:c r="F325" s="5" t="s">
        <x:v>0</x:v>
      </x:c>
      <x:c r="G325" s="5" t="s">
        <x:v>337</x:v>
      </x:c>
      <x:c r="H325" s="8">
        <x:v>10704</x:v>
      </x:c>
      <x:c r="I325" s="8">
        <x:v>5000000</x:v>
      </x:c>
      <x:c r="J325" s="5" t="s">
        <x:v>518</x:v>
      </x:c>
      <x:c r="K325" s="7"/>
      <x:c r="L325" s="9">
        <x:f t="shared" si="8"/>
        <x:v>2.1408E-3</x:v>
      </x:c>
      <x:c r="M325" s="8"/>
      <x:c r="N325" s="8"/>
      <x:c r="O325" s="7"/>
      <x:c r="P325" s="9" t="str">
        <x:f t="shared" si="9"/>
      </x:c>
      <x:c r="Q325" s="10" t="s">
        <x:v>250</x:v>
      </x:c>
      <x:c r="R325" s="5" t="s">
        <x:v>519</x:v>
      </x:c>
      <x:c r="S325" s="5" t="s">
        <x:v>357</x:v>
      </x:c>
      <x:c r="T325" s="5" t="s">
        <x:v>520</x:v>
      </x:c>
      <x:c r="U325" s="151"/>
      <x:c r="V325" s="151"/>
      <x:c r="W325" s="151"/>
      <x:c r="X325" s="151"/>
      <x:c r="Y325" s="151"/>
      <x:c r="Z325" s="151"/>
    </x:row>
    <x:row r="326" ht="22" customHeight="1">
      <x:c r="A326" s="5" t="s">
        <x:v>247</x:v>
      </x:c>
      <x:c r="B326" s="5" t="s">
        <x:v>248</x:v>
      </x:c>
      <x:c r="C326" s="6">
        <x:v>45291</x:v>
      </x:c>
      <x:c r="D326" s="5">
        <x:v>2023</x:v>
      </x:c>
      <x:c r="E326" s="5" t="s">
        <x:v>521</x:v>
      </x:c>
      <x:c r="F326" s="5" t="s">
        <x:v>0</x:v>
      </x:c>
      <x:c r="G326" s="5" t="s">
        <x:v>337</x:v>
      </x:c>
      <x:c r="H326" s="8">
        <x:v>5947</x:v>
      </x:c>
      <x:c r="I326" s="8">
        <x:v>5000000</x:v>
      </x:c>
      <x:c r="J326" s="5" t="s">
        <x:v>518</x:v>
      </x:c>
      <x:c r="K326" s="7"/>
      <x:c r="L326" s="9" t="n">
        <x:f t="shared" ref="L326:L389" si="10">IF(AND(H326&lt;&gt;"",I326&lt;&gt;""),H326/I326,IF(K326&lt;&gt;"",K326,""))</x:f>
        <x:v>0.0011894</x:v>
      </x:c>
      <x:c r="M326" s="8"/>
      <x:c r="N326" s="8"/>
      <x:c r="O326" s="7"/>
      <x:c r="P326" s="9" t="str">
        <x:f t="shared" ref="P326:P389" si="11">IF(AND(M326&lt;&gt;"",N326&lt;&gt;""),M326/N326,IF(O326&lt;&gt;"",O326,""))</x:f>
      </x:c>
      <x:c r="Q326" s="10" t="s">
        <x:v>250</x:v>
      </x:c>
      <x:c r="R326" s="5" t="s">
        <x:v>519</x:v>
      </x:c>
      <x:c r="S326" s="5" t="s">
        <x:v>357</x:v>
      </x:c>
      <x:c r="T326" s="5" t="s">
        <x:v>520</x:v>
      </x:c>
      <x:c r="U326" s="151"/>
      <x:c r="V326" s="151"/>
      <x:c r="W326" s="151"/>
      <x:c r="X326" s="151"/>
      <x:c r="Y326" s="151"/>
      <x:c r="Z326" s="151"/>
    </x:row>
    <x:row r="327" ht="22" customHeight="1">
      <x:c r="A327" s="5" t="s">
        <x:v>247</x:v>
      </x:c>
      <x:c r="B327" s="5" t="s">
        <x:v>248</x:v>
      </x:c>
      <x:c r="C327" s="6">
        <x:v>45291</x:v>
      </x:c>
      <x:c r="D327" s="5">
        <x:v>2023</x:v>
      </x:c>
      <x:c r="E327" s="5" t="s">
        <x:v>451</x:v>
      </x:c>
      <x:c r="F327" s="5" t="s">
        <x:v>0</x:v>
      </x:c>
      <x:c r="G327" s="5" t="s">
        <x:v>337</x:v>
      </x:c>
      <x:c r="H327" s="8">
        <x:v>749304</x:v>
      </x:c>
      <x:c r="I327" s="8">
        <x:v>5000000</x:v>
      </x:c>
      <x:c r="J327" s="5" t="s">
        <x:v>518</x:v>
      </x:c>
      <x:c r="K327" s="7"/>
      <x:c r="L327" s="9">
        <x:f t="shared" si="10"/>
        <x:v>0.14986079999999999</x:v>
      </x:c>
      <x:c r="M327" s="8"/>
      <x:c r="N327" s="8"/>
      <x:c r="O327" s="7"/>
      <x:c r="P327" s="9" t="str">
        <x:f t="shared" si="11"/>
      </x:c>
      <x:c r="Q327" s="10" t="s">
        <x:v>250</x:v>
      </x:c>
      <x:c r="R327" s="5" t="s">
        <x:v>519</x:v>
      </x:c>
      <x:c r="S327" s="5" t="s">
        <x:v>357</x:v>
      </x:c>
      <x:c r="T327" s="5" t="s">
        <x:v>520</x:v>
      </x:c>
      <x:c r="U327" s="151"/>
      <x:c r="V327" s="151"/>
      <x:c r="W327" s="151"/>
      <x:c r="X327" s="151"/>
      <x:c r="Y327" s="151"/>
      <x:c r="Z327" s="151"/>
    </x:row>
    <x:row r="328" ht="22" customHeight="1">
      <x:c r="A328" s="5" t="s">
        <x:v>247</x:v>
      </x:c>
      <x:c r="B328" s="5" t="s">
        <x:v>248</x:v>
      </x:c>
      <x:c r="C328" s="6">
        <x:v>45291</x:v>
      </x:c>
      <x:c r="D328" s="5">
        <x:v>2023</x:v>
      </x:c>
      <x:c r="E328" s="5" t="s">
        <x:v>461</x:v>
      </x:c>
      <x:c r="F328" s="5" t="s">
        <x:v>0</x:v>
      </x:c>
      <x:c r="G328" s="5" t="s">
        <x:v>337</x:v>
      </x:c>
      <x:c r="H328" s="8">
        <x:v>64226</x:v>
      </x:c>
      <x:c r="I328" s="8">
        <x:v>5000000</x:v>
      </x:c>
      <x:c r="J328" s="5" t="s">
        <x:v>518</x:v>
      </x:c>
      <x:c r="K328" s="7"/>
      <x:c r="L328" s="9">
        <x:f t="shared" si="10"/>
        <x:v>1.2845199999999999E-2</x:v>
      </x:c>
      <x:c r="M328" s="8"/>
      <x:c r="N328" s="8"/>
      <x:c r="O328" s="7"/>
      <x:c r="P328" s="9" t="str">
        <x:f t="shared" si="11"/>
      </x:c>
      <x:c r="Q328" s="10" t="s">
        <x:v>250</x:v>
      </x:c>
      <x:c r="R328" s="5" t="s">
        <x:v>519</x:v>
      </x:c>
      <x:c r="S328" s="5" t="s">
        <x:v>357</x:v>
      </x:c>
      <x:c r="T328" s="5" t="s">
        <x:v>520</x:v>
      </x:c>
      <x:c r="U328" s="151"/>
      <x:c r="V328" s="151"/>
      <x:c r="W328" s="151"/>
      <x:c r="X328" s="151"/>
      <x:c r="Y328" s="151"/>
      <x:c r="Z328" s="151"/>
    </x:row>
    <x:row r="329" ht="22" customHeight="1">
      <x:c r="A329" s="5" t="s">
        <x:v>247</x:v>
      </x:c>
      <x:c r="B329" s="5" t="s">
        <x:v>248</x:v>
      </x:c>
      <x:c r="C329" s="6">
        <x:v>45291</x:v>
      </x:c>
      <x:c r="D329" s="5">
        <x:v>2023</x:v>
      </x:c>
      <x:c r="E329" s="5" t="s">
        <x:v>522</x:v>
      </x:c>
      <x:c r="F329" s="5" t="s">
        <x:v>0</x:v>
      </x:c>
      <x:c r="G329" s="5" t="s">
        <x:v>337</x:v>
      </x:c>
      <x:c r="H329" s="8">
        <x:v>10704</x:v>
      </x:c>
      <x:c r="I329" s="8">
        <x:v>5000000</x:v>
      </x:c>
      <x:c r="J329" s="5" t="s">
        <x:v>518</x:v>
      </x:c>
      <x:c r="K329" s="7"/>
      <x:c r="L329" s="9">
        <x:f t="shared" si="10"/>
        <x:v>2.1408E-3</x:v>
      </x:c>
      <x:c r="M329" s="8"/>
      <x:c r="N329" s="8"/>
      <x:c r="O329" s="7"/>
      <x:c r="P329" s="9" t="str">
        <x:f t="shared" si="11"/>
      </x:c>
      <x:c r="Q329" s="10" t="s">
        <x:v>250</x:v>
      </x:c>
      <x:c r="R329" s="5" t="s">
        <x:v>519</x:v>
      </x:c>
      <x:c r="S329" s="5" t="s">
        <x:v>357</x:v>
      </x:c>
      <x:c r="T329" s="5" t="s">
        <x:v>520</x:v>
      </x:c>
      <x:c r="U329" s="151"/>
      <x:c r="V329" s="151"/>
      <x:c r="W329" s="151"/>
      <x:c r="X329" s="151"/>
      <x:c r="Y329" s="151"/>
      <x:c r="Z329" s="151"/>
    </x:row>
    <x:row r="330" ht="22" customHeight="1">
      <x:c r="A330" s="5" t="s">
        <x:v>247</x:v>
      </x:c>
      <x:c r="B330" s="5" t="s">
        <x:v>248</x:v>
      </x:c>
      <x:c r="C330" s="6">
        <x:v>45291</x:v>
      </x:c>
      <x:c r="D330" s="5">
        <x:v>2023</x:v>
      </x:c>
      <x:c r="E330" s="5" t="s">
        <x:v>464</x:v>
      </x:c>
      <x:c r="F330" s="5" t="s">
        <x:v>0</x:v>
      </x:c>
      <x:c r="G330" s="5" t="s">
        <x:v>337</x:v>
      </x:c>
      <x:c r="H330" s="8">
        <x:v>428174</x:v>
      </x:c>
      <x:c r="I330" s="8">
        <x:v>5000000</x:v>
      </x:c>
      <x:c r="J330" s="5" t="s">
        <x:v>518</x:v>
      </x:c>
      <x:c r="K330" s="7"/>
      <x:c r="L330" s="9">
        <x:f t="shared" si="10"/>
        <x:v>8.5634799999999997E-2</x:v>
      </x:c>
      <x:c r="M330" s="8"/>
      <x:c r="N330" s="8"/>
      <x:c r="O330" s="7"/>
      <x:c r="P330" s="9" t="str">
        <x:f t="shared" si="11"/>
      </x:c>
      <x:c r="Q330" s="10" t="s">
        <x:v>250</x:v>
      </x:c>
      <x:c r="R330" s="5" t="s">
        <x:v>519</x:v>
      </x:c>
      <x:c r="S330" s="5" t="s">
        <x:v>357</x:v>
      </x:c>
      <x:c r="T330" s="5" t="s">
        <x:v>520</x:v>
      </x:c>
      <x:c r="U330" s="151"/>
      <x:c r="V330" s="151"/>
      <x:c r="W330" s="151"/>
      <x:c r="X330" s="151"/>
      <x:c r="Y330" s="151"/>
      <x:c r="Z330" s="151"/>
    </x:row>
    <x:row r="331" ht="22" customHeight="1">
      <x:c r="A331" s="5" t="s">
        <x:v>247</x:v>
      </x:c>
      <x:c r="B331" s="5" t="s">
        <x:v>248</x:v>
      </x:c>
      <x:c r="C331" s="6">
        <x:v>45291</x:v>
      </x:c>
      <x:c r="D331" s="5">
        <x:v>2023</x:v>
      </x:c>
      <x:c r="E331" s="5" t="s">
        <x:v>517</x:v>
      </x:c>
      <x:c r="F331" s="5" t="s">
        <x:v>0</x:v>
      </x:c>
      <x:c r="G331" s="5" t="s">
        <x:v>337</x:v>
      </x:c>
      <x:c r="H331" s="8">
        <x:v>784985</x:v>
      </x:c>
      <x:c r="I331" s="8">
        <x:v>5000000</x:v>
      </x:c>
      <x:c r="J331" s="5" t="s">
        <x:v>518</x:v>
      </x:c>
      <x:c r="K331" s="7"/>
      <x:c r="L331" s="9">
        <x:f t="shared" si="10"/>
        <x:v>0.156997</x:v>
      </x:c>
      <x:c r="M331" s="8"/>
      <x:c r="N331" s="8"/>
      <x:c r="O331" s="7"/>
      <x:c r="P331" s="9" t="str">
        <x:f t="shared" si="11"/>
      </x:c>
      <x:c r="Q331" s="10" t="s">
        <x:v>250</x:v>
      </x:c>
      <x:c r="R331" s="5" t="s">
        <x:v>519</x:v>
      </x:c>
      <x:c r="S331" s="5" t="s">
        <x:v>357</x:v>
      </x:c>
      <x:c r="T331" s="5" t="s">
        <x:v>520</x:v>
      </x:c>
      <x:c r="U331" s="151"/>
      <x:c r="V331" s="151"/>
      <x:c r="W331" s="151"/>
      <x:c r="X331" s="151"/>
      <x:c r="Y331" s="151"/>
      <x:c r="Z331" s="151"/>
    </x:row>
    <x:row r="332" ht="22" customHeight="1">
      <x:c r="A332" s="5" t="s">
        <x:v>247</x:v>
      </x:c>
      <x:c r="B332" s="5" t="s">
        <x:v>248</x:v>
      </x:c>
      <x:c r="C332" s="6">
        <x:v>45291</x:v>
      </x:c>
      <x:c r="D332" s="5">
        <x:v>2023</x:v>
      </x:c>
      <x:c r="E332" s="5" t="s">
        <x:v>523</x:v>
      </x:c>
      <x:c r="F332" s="5" t="s">
        <x:v>0</x:v>
      </x:c>
      <x:c r="G332" s="5" t="s">
        <x:v>337</x:v>
      </x:c>
      <x:c r="H332" s="8">
        <x:v>35681</x:v>
      </x:c>
      <x:c r="I332" s="8">
        <x:v>5000000</x:v>
      </x:c>
      <x:c r="J332" s="5" t="s">
        <x:v>518</x:v>
      </x:c>
      <x:c r="K332" s="7"/>
      <x:c r="L332" s="9">
        <x:f t="shared" si="10"/>
        <x:v>7.1361999999999997E-3</x:v>
      </x:c>
      <x:c r="M332" s="8"/>
      <x:c r="N332" s="8"/>
      <x:c r="O332" s="7"/>
      <x:c r="P332" s="9" t="str">
        <x:f t="shared" si="11"/>
      </x:c>
      <x:c r="Q332" s="10" t="s">
        <x:v>250</x:v>
      </x:c>
      <x:c r="R332" s="5" t="s">
        <x:v>519</x:v>
      </x:c>
      <x:c r="S332" s="5" t="s">
        <x:v>357</x:v>
      </x:c>
      <x:c r="T332" s="5" t="s">
        <x:v>520</x:v>
      </x:c>
      <x:c r="U332" s="151"/>
      <x:c r="V332" s="151"/>
      <x:c r="W332" s="151"/>
      <x:c r="X332" s="151"/>
      <x:c r="Y332" s="151"/>
      <x:c r="Z332" s="151"/>
    </x:row>
    <x:row r="333" ht="22" customHeight="1">
      <x:c r="A333" s="5" t="s">
        <x:v>247</x:v>
      </x:c>
      <x:c r="B333" s="5" t="s">
        <x:v>248</x:v>
      </x:c>
      <x:c r="C333" s="6">
        <x:v>45291</x:v>
      </x:c>
      <x:c r="D333" s="5">
        <x:v>2023</x:v>
      </x:c>
      <x:c r="E333" s="5" t="s">
        <x:v>457</x:v>
      </x:c>
      <x:c r="F333" s="5" t="s">
        <x:v>0</x:v>
      </x:c>
      <x:c r="G333" s="5" t="s">
        <x:v>337</x:v>
      </x:c>
      <x:c r="H333" s="8">
        <x:v>713622</x:v>
      </x:c>
      <x:c r="I333" s="8">
        <x:v>5000000</x:v>
      </x:c>
      <x:c r="J333" s="5" t="s">
        <x:v>518</x:v>
      </x:c>
      <x:c r="K333" s="7"/>
      <x:c r="L333" s="9">
        <x:f t="shared" si="10"/>
        <x:v>0.1427244</x:v>
      </x:c>
      <x:c r="M333" s="8"/>
      <x:c r="N333" s="8"/>
      <x:c r="O333" s="7"/>
      <x:c r="P333" s="9" t="str">
        <x:f t="shared" si="11"/>
      </x:c>
      <x:c r="Q333" s="10" t="s">
        <x:v>250</x:v>
      </x:c>
      <x:c r="R333" s="5" t="s">
        <x:v>519</x:v>
      </x:c>
      <x:c r="S333" s="5" t="s">
        <x:v>357</x:v>
      </x:c>
      <x:c r="T333" s="5" t="s">
        <x:v>520</x:v>
      </x:c>
      <x:c r="U333" s="151"/>
      <x:c r="V333" s="151"/>
      <x:c r="W333" s="151"/>
      <x:c r="X333" s="151"/>
      <x:c r="Y333" s="151"/>
      <x:c r="Z333" s="151"/>
    </x:row>
    <x:row r="334" ht="22" customHeight="1">
      <x:c r="A334" s="5" t="s">
        <x:v>247</x:v>
      </x:c>
      <x:c r="B334" s="5" t="s">
        <x:v>248</x:v>
      </x:c>
      <x:c r="C334" s="6">
        <x:v>45291</x:v>
      </x:c>
      <x:c r="D334" s="5">
        <x:v>2023</x:v>
      </x:c>
      <x:c r="E334" s="5" t="s">
        <x:v>443</x:v>
      </x:c>
      <x:c r="F334" s="5" t="s">
        <x:v>0</x:v>
      </x:c>
      <x:c r="G334" s="5" t="s">
        <x:v>337</x:v>
      </x:c>
      <x:c r="H334" s="8">
        <x:v>10704</x:v>
      </x:c>
      <x:c r="I334" s="8">
        <x:v>5000000</x:v>
      </x:c>
      <x:c r="J334" s="5" t="s">
        <x:v>518</x:v>
      </x:c>
      <x:c r="K334" s="7"/>
      <x:c r="L334" s="9">
        <x:f t="shared" si="10"/>
        <x:v>2.1408E-3</x:v>
      </x:c>
      <x:c r="M334" s="8"/>
      <x:c r="N334" s="8"/>
      <x:c r="O334" s="7"/>
      <x:c r="P334" s="9" t="str">
        <x:f t="shared" si="11"/>
      </x:c>
      <x:c r="Q334" s="10" t="s">
        <x:v>250</x:v>
      </x:c>
      <x:c r="R334" s="5" t="s">
        <x:v>519</x:v>
      </x:c>
      <x:c r="S334" s="5" t="s">
        <x:v>357</x:v>
      </x:c>
      <x:c r="T334" s="5" t="s">
        <x:v>520</x:v>
      </x:c>
      <x:c r="U334" s="151"/>
      <x:c r="V334" s="151"/>
      <x:c r="W334" s="151"/>
      <x:c r="X334" s="151"/>
      <x:c r="Y334" s="151"/>
      <x:c r="Z334" s="151"/>
    </x:row>
    <x:row r="335" ht="22" customHeight="1">
      <x:c r="A335" s="5" t="s">
        <x:v>247</x:v>
      </x:c>
      <x:c r="B335" s="5" t="s">
        <x:v>248</x:v>
      </x:c>
      <x:c r="C335" s="6">
        <x:v>45291</x:v>
      </x:c>
      <x:c r="D335" s="5">
        <x:v>2023</x:v>
      </x:c>
      <x:c r="E335" s="5" t="s">
        <x:v>460</x:v>
      </x:c>
      <x:c r="F335" s="5" t="s">
        <x:v>0</x:v>
      </x:c>
      <x:c r="G335" s="5" t="s">
        <x:v>337</x:v>
      </x:c>
      <x:c r="H335" s="8">
        <x:v>78498</x:v>
      </x:c>
      <x:c r="I335" s="8">
        <x:v>5000000</x:v>
      </x:c>
      <x:c r="J335" s="5" t="s">
        <x:v>518</x:v>
      </x:c>
      <x:c r="K335" s="7"/>
      <x:c r="L335" s="9">
        <x:f t="shared" si="10"/>
        <x:v>1.5699600000000001E-2</x:v>
      </x:c>
      <x:c r="M335" s="8"/>
      <x:c r="N335" s="8"/>
      <x:c r="O335" s="7"/>
      <x:c r="P335" s="9" t="str">
        <x:f t="shared" si="11"/>
      </x:c>
      <x:c r="Q335" s="10" t="s">
        <x:v>250</x:v>
      </x:c>
      <x:c r="R335" s="5" t="s">
        <x:v>519</x:v>
      </x:c>
      <x:c r="S335" s="5" t="s">
        <x:v>357</x:v>
      </x:c>
      <x:c r="T335" s="5" t="s">
        <x:v>520</x:v>
      </x:c>
      <x:c r="U335" s="151"/>
      <x:c r="V335" s="151"/>
      <x:c r="W335" s="151"/>
      <x:c r="X335" s="151"/>
      <x:c r="Y335" s="151"/>
      <x:c r="Z335" s="151"/>
    </x:row>
    <x:row r="336" ht="22" customHeight="1">
      <x:c r="A336" s="5" t="s">
        <x:v>247</x:v>
      </x:c>
      <x:c r="B336" s="5" t="s">
        <x:v>248</x:v>
      </x:c>
      <x:c r="C336" s="6">
        <x:v>45291</x:v>
      </x:c>
      <x:c r="D336" s="5">
        <x:v>2023</x:v>
      </x:c>
      <x:c r="E336" s="5" t="s">
        <x:v>501</x:v>
      </x:c>
      <x:c r="F336" s="5" t="s">
        <x:v>0</x:v>
      </x:c>
      <x:c r="G336" s="5" t="s">
        <x:v>337</x:v>
      </x:c>
      <x:c r="H336" s="8">
        <x:v>7618</x:v>
      </x:c>
      <x:c r="I336" s="8">
        <x:v>5000000</x:v>
      </x:c>
      <x:c r="J336" s="5" t="s">
        <x:v>518</x:v>
      </x:c>
      <x:c r="K336" s="7"/>
      <x:c r="L336" s="9">
        <x:f t="shared" si="10"/>
        <x:v>1.5236E-3</x:v>
      </x:c>
      <x:c r="M336" s="8"/>
      <x:c r="N336" s="8"/>
      <x:c r="O336" s="7"/>
      <x:c r="P336" s="9" t="str">
        <x:f t="shared" si="11"/>
      </x:c>
      <x:c r="Q336" s="10" t="s">
        <x:v>250</x:v>
      </x:c>
      <x:c r="R336" s="5" t="s">
        <x:v>519</x:v>
      </x:c>
      <x:c r="S336" s="5" t="s">
        <x:v>357</x:v>
      </x:c>
      <x:c r="T336" s="5" t="s">
        <x:v>520</x:v>
      </x:c>
      <x:c r="U336" s="151"/>
      <x:c r="V336" s="151"/>
      <x:c r="W336" s="151"/>
      <x:c r="X336" s="151"/>
      <x:c r="Y336" s="151"/>
      <x:c r="Z336" s="151"/>
    </x:row>
    <x:row r="337" ht="22" customHeight="1">
      <x:c r="A337" s="5" t="s">
        <x:v>247</x:v>
      </x:c>
      <x:c r="B337" s="5" t="s">
        <x:v>248</x:v>
      </x:c>
      <x:c r="C337" s="6">
        <x:v>45657</x:v>
      </x:c>
      <x:c r="D337" s="5">
        <x:v>2024</x:v>
      </x:c>
      <x:c r="E337" s="5" t="s">
        <x:v>453</x:v>
      </x:c>
      <x:c r="F337" s="5" t="s">
        <x:v>0</x:v>
      </x:c>
      <x:c r="G337" s="5" t="s">
        <x:v>337</x:v>
      </x:c>
      <x:c r="H337" s="8">
        <x:v>10704</x:v>
      </x:c>
      <x:c r="I337" s="8">
        <x:v>5000000</x:v>
      </x:c>
      <x:c r="J337" s="5" t="s">
        <x:v>518</x:v>
      </x:c>
      <x:c r="K337" s="7"/>
      <x:c r="L337" s="9">
        <x:f t="shared" si="10"/>
        <x:v>2.1408E-3</x:v>
      </x:c>
      <x:c r="M337" s="8"/>
      <x:c r="N337" s="8"/>
      <x:c r="O337" s="7"/>
      <x:c r="P337" s="9" t="str">
        <x:f t="shared" si="11"/>
      </x:c>
      <x:c r="Q337" s="10" t="s">
        <x:v>250</x:v>
      </x:c>
      <x:c r="R337" s="5" t="s">
        <x:v>519</x:v>
      </x:c>
      <x:c r="S337" s="5" t="s">
        <x:v>357</x:v>
      </x:c>
      <x:c r="T337" s="5" t="s">
        <x:v>520</x:v>
      </x:c>
      <x:c r="U337" s="151"/>
      <x:c r="V337" s="151"/>
      <x:c r="W337" s="151"/>
      <x:c r="X337" s="151"/>
      <x:c r="Y337" s="151"/>
      <x:c r="Z337" s="151"/>
    </x:row>
    <x:row r="338" ht="22" customHeight="1">
      <x:c r="A338" s="5" t="s">
        <x:v>247</x:v>
      </x:c>
      <x:c r="B338" s="5" t="s">
        <x:v>248</x:v>
      </x:c>
      <x:c r="C338" s="6">
        <x:v>45657</x:v>
      </x:c>
      <x:c r="D338" s="5">
        <x:v>2024</x:v>
      </x:c>
      <x:c r="E338" s="5" t="s">
        <x:v>474</x:v>
      </x:c>
      <x:c r="F338" s="5" t="s">
        <x:v>0</x:v>
      </x:c>
      <x:c r="G338" s="5" t="s">
        <x:v>337</x:v>
      </x:c>
      <x:c r="H338" s="8">
        <x:v>535217</x:v>
      </x:c>
      <x:c r="I338" s="8">
        <x:v>5000000</x:v>
      </x:c>
      <x:c r="J338" s="5" t="s">
        <x:v>518</x:v>
      </x:c>
      <x:c r="K338" s="7"/>
      <x:c r="L338" s="9">
        <x:f t="shared" si="10"/>
        <x:v>0.1070434</x:v>
      </x:c>
      <x:c r="M338" s="8"/>
      <x:c r="N338" s="8"/>
      <x:c r="O338" s="7"/>
      <x:c r="P338" s="9" t="str">
        <x:f t="shared" si="11"/>
      </x:c>
      <x:c r="Q338" s="10" t="s">
        <x:v>250</x:v>
      </x:c>
      <x:c r="R338" s="5" t="s">
        <x:v>519</x:v>
      </x:c>
      <x:c r="S338" s="5" t="s">
        <x:v>357</x:v>
      </x:c>
      <x:c r="T338" s="5" t="s">
        <x:v>520</x:v>
      </x:c>
      <x:c r="U338" s="151"/>
      <x:c r="V338" s="151"/>
      <x:c r="W338" s="151"/>
      <x:c r="X338" s="151"/>
      <x:c r="Y338" s="151"/>
      <x:c r="Z338" s="151"/>
    </x:row>
    <x:row r="339" ht="22" customHeight="1">
      <x:c r="A339" s="5" t="s">
        <x:v>247</x:v>
      </x:c>
      <x:c r="B339" s="5" t="s">
        <x:v>248</x:v>
      </x:c>
      <x:c r="C339" s="6">
        <x:v>45657</x:v>
      </x:c>
      <x:c r="D339" s="5">
        <x:v>2024</x:v>
      </x:c>
      <x:c r="E339" s="5" t="s">
        <x:v>433</x:v>
      </x:c>
      <x:c r="F339" s="5" t="s">
        <x:v>0</x:v>
      </x:c>
      <x:c r="G339" s="5" t="s">
        <x:v>337</x:v>
      </x:c>
      <x:c r="H339" s="8">
        <x:v>10704</x:v>
      </x:c>
      <x:c r="I339" s="8">
        <x:v>5000000</x:v>
      </x:c>
      <x:c r="J339" s="5" t="s">
        <x:v>518</x:v>
      </x:c>
      <x:c r="K339" s="7"/>
      <x:c r="L339" s="9">
        <x:f t="shared" si="10"/>
        <x:v>2.1408E-3</x:v>
      </x:c>
      <x:c r="M339" s="8"/>
      <x:c r="N339" s="8"/>
      <x:c r="O339" s="7"/>
      <x:c r="P339" s="9" t="str">
        <x:f t="shared" si="11"/>
      </x:c>
      <x:c r="Q339" s="10" t="s">
        <x:v>250</x:v>
      </x:c>
      <x:c r="R339" s="5" t="s">
        <x:v>519</x:v>
      </x:c>
      <x:c r="S339" s="5" t="s">
        <x:v>357</x:v>
      </x:c>
      <x:c r="T339" s="5" t="s">
        <x:v>520</x:v>
      </x:c>
      <x:c r="U339" s="151"/>
      <x:c r="V339" s="151"/>
      <x:c r="W339" s="151"/>
      <x:c r="X339" s="151"/>
      <x:c r="Y339" s="151"/>
      <x:c r="Z339" s="151"/>
    </x:row>
    <x:row r="340" ht="22" customHeight="1">
      <x:c r="A340" s="5" t="s">
        <x:v>247</x:v>
      </x:c>
      <x:c r="B340" s="5" t="s">
        <x:v>248</x:v>
      </x:c>
      <x:c r="C340" s="6">
        <x:v>45657</x:v>
      </x:c>
      <x:c r="D340" s="5">
        <x:v>2024</x:v>
      </x:c>
      <x:c r="E340" s="5" t="s">
        <x:v>473</x:v>
      </x:c>
      <x:c r="F340" s="5" t="s">
        <x:v>0</x:v>
      </x:c>
      <x:c r="G340" s="5" t="s">
        <x:v>337</x:v>
      </x:c>
      <x:c r="H340" s="8">
        <x:v>44601</x:v>
      </x:c>
      <x:c r="I340" s="8">
        <x:v>5000000</x:v>
      </x:c>
      <x:c r="J340" s="5" t="s">
        <x:v>518</x:v>
      </x:c>
      <x:c r="K340" s="7"/>
      <x:c r="L340" s="9">
        <x:f t="shared" si="10"/>
        <x:v>8.9201999999999997E-3</x:v>
      </x:c>
      <x:c r="M340" s="8"/>
      <x:c r="N340" s="8"/>
      <x:c r="O340" s="7"/>
      <x:c r="P340" s="9" t="str">
        <x:f t="shared" si="11"/>
      </x:c>
      <x:c r="Q340" s="10" t="s">
        <x:v>250</x:v>
      </x:c>
      <x:c r="R340" s="5" t="s">
        <x:v>519</x:v>
      </x:c>
      <x:c r="S340" s="5" t="s">
        <x:v>357</x:v>
      </x:c>
      <x:c r="T340" s="5" t="s">
        <x:v>520</x:v>
      </x:c>
      <x:c r="U340" s="151"/>
      <x:c r="V340" s="151"/>
      <x:c r="W340" s="151"/>
      <x:c r="X340" s="151"/>
      <x:c r="Y340" s="151"/>
      <x:c r="Z340" s="151"/>
    </x:row>
    <x:row r="341" ht="22" customHeight="1">
      <x:c r="A341" s="5" t="s">
        <x:v>247</x:v>
      </x:c>
      <x:c r="B341" s="5" t="s">
        <x:v>248</x:v>
      </x:c>
      <x:c r="C341" s="6">
        <x:v>45657</x:v>
      </x:c>
      <x:c r="D341" s="5">
        <x:v>2024</x:v>
      </x:c>
      <x:c r="E341" s="5" t="s">
        <x:v>431</x:v>
      </x:c>
      <x:c r="F341" s="5" t="s">
        <x:v>0</x:v>
      </x:c>
      <x:c r="G341" s="5" t="s">
        <x:v>337</x:v>
      </x:c>
      <x:c r="H341" s="8">
        <x:v>214087</x:v>
      </x:c>
      <x:c r="I341" s="8">
        <x:v>5000000</x:v>
      </x:c>
      <x:c r="J341" s="5" t="s">
        <x:v>518</x:v>
      </x:c>
      <x:c r="K341" s="7"/>
      <x:c r="L341" s="9">
        <x:f t="shared" si="10"/>
        <x:v>4.2817399999999999E-2</x:v>
      </x:c>
      <x:c r="M341" s="8"/>
      <x:c r="N341" s="8"/>
      <x:c r="O341" s="7"/>
      <x:c r="P341" s="9" t="str">
        <x:f t="shared" si="11"/>
      </x:c>
      <x:c r="Q341" s="10" t="s">
        <x:v>250</x:v>
      </x:c>
      <x:c r="R341" s="5" t="s">
        <x:v>519</x:v>
      </x:c>
      <x:c r="S341" s="5" t="s">
        <x:v>357</x:v>
      </x:c>
      <x:c r="T341" s="5" t="s">
        <x:v>520</x:v>
      </x:c>
      <x:c r="U341" s="151"/>
      <x:c r="V341" s="151"/>
      <x:c r="W341" s="151"/>
      <x:c r="X341" s="151"/>
      <x:c r="Y341" s="151"/>
      <x:c r="Z341" s="151"/>
    </x:row>
    <x:row r="342" ht="22" customHeight="1">
      <x:c r="A342" s="5" t="s">
        <x:v>247</x:v>
      </x:c>
      <x:c r="B342" s="5" t="s">
        <x:v>248</x:v>
      </x:c>
      <x:c r="C342" s="6">
        <x:v>45657</x:v>
      </x:c>
      <x:c r="D342" s="5">
        <x:v>2024</x:v>
      </x:c>
      <x:c r="E342" s="5" t="s">
        <x:v>468</x:v>
      </x:c>
      <x:c r="F342" s="5" t="s">
        <x:v>0</x:v>
      </x:c>
      <x:c r="G342" s="5" t="s">
        <x:v>337</x:v>
      </x:c>
      <x:c r="H342" s="8">
        <x:v>1284520</x:v>
      </x:c>
      <x:c r="I342" s="8">
        <x:v>5000000</x:v>
      </x:c>
      <x:c r="J342" s="5" t="s">
        <x:v>518</x:v>
      </x:c>
      <x:c r="K342" s="7"/>
      <x:c r="L342" s="9">
        <x:f t="shared" si="10"/>
        <x:v>0.25690400000000002</x:v>
      </x:c>
      <x:c r="M342" s="8"/>
      <x:c r="N342" s="8"/>
      <x:c r="O342" s="7"/>
      <x:c r="P342" s="9" t="str">
        <x:f t="shared" si="11"/>
      </x:c>
      <x:c r="Q342" s="10" t="s">
        <x:v>250</x:v>
      </x:c>
      <x:c r="R342" s="5" t="s">
        <x:v>519</x:v>
      </x:c>
      <x:c r="S342" s="5" t="s">
        <x:v>357</x:v>
      </x:c>
      <x:c r="T342" s="5" t="s">
        <x:v>520</x:v>
      </x:c>
      <x:c r="U342" s="151"/>
      <x:c r="V342" s="151"/>
      <x:c r="W342" s="151"/>
      <x:c r="X342" s="151"/>
      <x:c r="Y342" s="151"/>
      <x:c r="Z342" s="151"/>
    </x:row>
    <x:row r="343" ht="22" customHeight="1">
      <x:c r="A343" s="5" t="s">
        <x:v>247</x:v>
      </x:c>
      <x:c r="B343" s="5" t="s">
        <x:v>248</x:v>
      </x:c>
      <x:c r="C343" s="6">
        <x:v>45657</x:v>
      </x:c>
      <x:c r="D343" s="5">
        <x:v>2024</x:v>
      </x:c>
      <x:c r="E343" s="5" t="s">
        <x:v>471</x:v>
      </x:c>
      <x:c r="F343" s="5" t="s">
        <x:v>0</x:v>
      </x:c>
      <x:c r="G343" s="5" t="s">
        <x:v>337</x:v>
      </x:c>
      <x:c r="H343" s="8">
        <x:v>10704</x:v>
      </x:c>
      <x:c r="I343" s="8">
        <x:v>5000000</x:v>
      </x:c>
      <x:c r="J343" s="5" t="s">
        <x:v>518</x:v>
      </x:c>
      <x:c r="K343" s="7"/>
      <x:c r="L343" s="9">
        <x:f t="shared" si="10"/>
        <x:v>2.1408E-3</x:v>
      </x:c>
      <x:c r="M343" s="8"/>
      <x:c r="N343" s="8"/>
      <x:c r="O343" s="7"/>
      <x:c r="P343" s="9" t="str">
        <x:f t="shared" si="11"/>
      </x:c>
      <x:c r="Q343" s="10" t="s">
        <x:v>250</x:v>
      </x:c>
      <x:c r="R343" s="5" t="s">
        <x:v>519</x:v>
      </x:c>
      <x:c r="S343" s="5" t="s">
        <x:v>357</x:v>
      </x:c>
      <x:c r="T343" s="5" t="s">
        <x:v>520</x:v>
      </x:c>
      <x:c r="U343" s="151"/>
      <x:c r="V343" s="151"/>
      <x:c r="W343" s="151"/>
      <x:c r="X343" s="151"/>
      <x:c r="Y343" s="151"/>
      <x:c r="Z343" s="151"/>
    </x:row>
    <x:row r="344" ht="22" customHeight="1">
      <x:c r="A344" s="5" t="s">
        <x:v>247</x:v>
      </x:c>
      <x:c r="B344" s="5" t="s">
        <x:v>248</x:v>
      </x:c>
      <x:c r="C344" s="6">
        <x:v>45657</x:v>
      </x:c>
      <x:c r="D344" s="5">
        <x:v>2024</x:v>
      </x:c>
      <x:c r="E344" s="5" t="s">
        <x:v>521</x:v>
      </x:c>
      <x:c r="F344" s="5" t="s">
        <x:v>0</x:v>
      </x:c>
      <x:c r="G344" s="5" t="s">
        <x:v>337</x:v>
      </x:c>
      <x:c r="H344" s="8">
        <x:v>5947</x:v>
      </x:c>
      <x:c r="I344" s="8">
        <x:v>5000000</x:v>
      </x:c>
      <x:c r="J344" s="5" t="s">
        <x:v>518</x:v>
      </x:c>
      <x:c r="K344" s="7"/>
      <x:c r="L344" s="9">
        <x:f t="shared" si="10"/>
        <x:v>1.1894E-3</x:v>
      </x:c>
      <x:c r="M344" s="8"/>
      <x:c r="N344" s="8"/>
      <x:c r="O344" s="7"/>
      <x:c r="P344" s="9" t="str">
        <x:f t="shared" si="11"/>
      </x:c>
      <x:c r="Q344" s="10" t="s">
        <x:v>250</x:v>
      </x:c>
      <x:c r="R344" s="5" t="s">
        <x:v>519</x:v>
      </x:c>
      <x:c r="S344" s="5" t="s">
        <x:v>357</x:v>
      </x:c>
      <x:c r="T344" s="5" t="s">
        <x:v>520</x:v>
      </x:c>
      <x:c r="U344" s="151"/>
      <x:c r="V344" s="151"/>
      <x:c r="W344" s="151"/>
      <x:c r="X344" s="151"/>
      <x:c r="Y344" s="151"/>
      <x:c r="Z344" s="151"/>
    </x:row>
    <x:row r="345" ht="22" customHeight="1">
      <x:c r="A345" s="5" t="s">
        <x:v>247</x:v>
      </x:c>
      <x:c r="B345" s="5" t="s">
        <x:v>248</x:v>
      </x:c>
      <x:c r="C345" s="6">
        <x:v>45657</x:v>
      </x:c>
      <x:c r="D345" s="5">
        <x:v>2024</x:v>
      </x:c>
      <x:c r="E345" s="5" t="s">
        <x:v>451</x:v>
      </x:c>
      <x:c r="F345" s="5" t="s">
        <x:v>0</x:v>
      </x:c>
      <x:c r="G345" s="5" t="s">
        <x:v>337</x:v>
      </x:c>
      <x:c r="H345" s="8">
        <x:v>749304</x:v>
      </x:c>
      <x:c r="I345" s="8">
        <x:v>5000000</x:v>
      </x:c>
      <x:c r="J345" s="5" t="s">
        <x:v>518</x:v>
      </x:c>
      <x:c r="K345" s="7"/>
      <x:c r="L345" s="9">
        <x:f t="shared" si="10"/>
        <x:v>0.14986079999999999</x:v>
      </x:c>
      <x:c r="M345" s="8"/>
      <x:c r="N345" s="8"/>
      <x:c r="O345" s="7"/>
      <x:c r="P345" s="9" t="str">
        <x:f t="shared" si="11"/>
      </x:c>
      <x:c r="Q345" s="10" t="s">
        <x:v>250</x:v>
      </x:c>
      <x:c r="R345" s="5" t="s">
        <x:v>519</x:v>
      </x:c>
      <x:c r="S345" s="5" t="s">
        <x:v>357</x:v>
      </x:c>
      <x:c r="T345" s="5" t="s">
        <x:v>520</x:v>
      </x:c>
      <x:c r="U345" s="151"/>
      <x:c r="V345" s="151"/>
      <x:c r="W345" s="151"/>
      <x:c r="X345" s="151"/>
      <x:c r="Y345" s="151"/>
      <x:c r="Z345" s="151"/>
    </x:row>
    <x:row r="346" ht="22" customHeight="1">
      <x:c r="A346" s="5" t="s">
        <x:v>247</x:v>
      </x:c>
      <x:c r="B346" s="5" t="s">
        <x:v>248</x:v>
      </x:c>
      <x:c r="C346" s="6">
        <x:v>45657</x:v>
      </x:c>
      <x:c r="D346" s="5">
        <x:v>2024</x:v>
      </x:c>
      <x:c r="E346" s="5" t="s">
        <x:v>461</x:v>
      </x:c>
      <x:c r="F346" s="5" t="s">
        <x:v>0</x:v>
      </x:c>
      <x:c r="G346" s="5" t="s">
        <x:v>337</x:v>
      </x:c>
      <x:c r="H346" s="8">
        <x:v>64226</x:v>
      </x:c>
      <x:c r="I346" s="8">
        <x:v>5000000</x:v>
      </x:c>
      <x:c r="J346" s="5" t="s">
        <x:v>518</x:v>
      </x:c>
      <x:c r="K346" s="7"/>
      <x:c r="L346" s="9">
        <x:f t="shared" si="10"/>
        <x:v>1.2845199999999999E-2</x:v>
      </x:c>
      <x:c r="M346" s="8"/>
      <x:c r="N346" s="8"/>
      <x:c r="O346" s="7"/>
      <x:c r="P346" s="9" t="str">
        <x:f t="shared" si="11"/>
      </x:c>
      <x:c r="Q346" s="10" t="s">
        <x:v>250</x:v>
      </x:c>
      <x:c r="R346" s="5" t="s">
        <x:v>519</x:v>
      </x:c>
      <x:c r="S346" s="5" t="s">
        <x:v>357</x:v>
      </x:c>
      <x:c r="T346" s="5" t="s">
        <x:v>520</x:v>
      </x:c>
      <x:c r="U346" s="151"/>
      <x:c r="V346" s="151"/>
      <x:c r="W346" s="151"/>
      <x:c r="X346" s="151"/>
      <x:c r="Y346" s="151"/>
      <x:c r="Z346" s="151"/>
    </x:row>
    <x:row r="347" ht="22" customHeight="1">
      <x:c r="A347" s="5" t="s">
        <x:v>247</x:v>
      </x:c>
      <x:c r="B347" s="5" t="s">
        <x:v>248</x:v>
      </x:c>
      <x:c r="C347" s="6">
        <x:v>45657</x:v>
      </x:c>
      <x:c r="D347" s="5">
        <x:v>2024</x:v>
      </x:c>
      <x:c r="E347" s="5" t="s">
        <x:v>522</x:v>
      </x:c>
      <x:c r="F347" s="5" t="s">
        <x:v>0</x:v>
      </x:c>
      <x:c r="G347" s="5" t="s">
        <x:v>337</x:v>
      </x:c>
      <x:c r="H347" s="8">
        <x:v>10704</x:v>
      </x:c>
      <x:c r="I347" s="8">
        <x:v>5000000</x:v>
      </x:c>
      <x:c r="J347" s="5" t="s">
        <x:v>518</x:v>
      </x:c>
      <x:c r="K347" s="7"/>
      <x:c r="L347" s="9">
        <x:f t="shared" si="10"/>
        <x:v>2.1408E-3</x:v>
      </x:c>
      <x:c r="M347" s="8"/>
      <x:c r="N347" s="8"/>
      <x:c r="O347" s="7"/>
      <x:c r="P347" s="9" t="str">
        <x:f t="shared" si="11"/>
      </x:c>
      <x:c r="Q347" s="10" t="s">
        <x:v>250</x:v>
      </x:c>
      <x:c r="R347" s="5" t="s">
        <x:v>519</x:v>
      </x:c>
      <x:c r="S347" s="5" t="s">
        <x:v>357</x:v>
      </x:c>
      <x:c r="T347" s="5" t="s">
        <x:v>520</x:v>
      </x:c>
      <x:c r="U347" s="151"/>
      <x:c r="V347" s="151"/>
      <x:c r="W347" s="151"/>
      <x:c r="X347" s="151"/>
      <x:c r="Y347" s="151"/>
      <x:c r="Z347" s="151"/>
    </x:row>
    <x:row r="348" ht="22" customHeight="1">
      <x:c r="A348" s="5" t="s">
        <x:v>247</x:v>
      </x:c>
      <x:c r="B348" s="5" t="s">
        <x:v>248</x:v>
      </x:c>
      <x:c r="C348" s="6">
        <x:v>45657</x:v>
      </x:c>
      <x:c r="D348" s="5">
        <x:v>2024</x:v>
      </x:c>
      <x:c r="E348" s="5" t="s">
        <x:v>464</x:v>
      </x:c>
      <x:c r="F348" s="5" t="s">
        <x:v>0</x:v>
      </x:c>
      <x:c r="G348" s="5" t="s">
        <x:v>337</x:v>
      </x:c>
      <x:c r="H348" s="8">
        <x:v>428174</x:v>
      </x:c>
      <x:c r="I348" s="8">
        <x:v>5000000</x:v>
      </x:c>
      <x:c r="J348" s="5" t="s">
        <x:v>518</x:v>
      </x:c>
      <x:c r="K348" s="7"/>
      <x:c r="L348" s="9">
        <x:f t="shared" si="10"/>
        <x:v>8.5634799999999997E-2</x:v>
      </x:c>
      <x:c r="M348" s="8"/>
      <x:c r="N348" s="8"/>
      <x:c r="O348" s="7"/>
      <x:c r="P348" s="9" t="str">
        <x:f t="shared" si="11"/>
      </x:c>
      <x:c r="Q348" s="10" t="s">
        <x:v>250</x:v>
      </x:c>
      <x:c r="R348" s="5" t="s">
        <x:v>519</x:v>
      </x:c>
      <x:c r="S348" s="5" t="s">
        <x:v>357</x:v>
      </x:c>
      <x:c r="T348" s="5" t="s">
        <x:v>520</x:v>
      </x:c>
      <x:c r="U348" s="151"/>
      <x:c r="V348" s="151"/>
      <x:c r="W348" s="151"/>
      <x:c r="X348" s="151"/>
      <x:c r="Y348" s="151"/>
      <x:c r="Z348" s="151"/>
    </x:row>
    <x:row r="349" ht="22" customHeight="1">
      <x:c r="A349" s="5" t="s">
        <x:v>247</x:v>
      </x:c>
      <x:c r="B349" s="5" t="s">
        <x:v>248</x:v>
      </x:c>
      <x:c r="C349" s="6">
        <x:v>45657</x:v>
      </x:c>
      <x:c r="D349" s="5">
        <x:v>2024</x:v>
      </x:c>
      <x:c r="E349" s="5" t="s">
        <x:v>517</x:v>
      </x:c>
      <x:c r="F349" s="5" t="s">
        <x:v>0</x:v>
      </x:c>
      <x:c r="G349" s="5" t="s">
        <x:v>337</x:v>
      </x:c>
      <x:c r="H349" s="8">
        <x:v>784985</x:v>
      </x:c>
      <x:c r="I349" s="8">
        <x:v>5000000</x:v>
      </x:c>
      <x:c r="J349" s="5" t="s">
        <x:v>518</x:v>
      </x:c>
      <x:c r="K349" s="7"/>
      <x:c r="L349" s="9">
        <x:f t="shared" si="10"/>
        <x:v>0.156997</x:v>
      </x:c>
      <x:c r="M349" s="8"/>
      <x:c r="N349" s="8"/>
      <x:c r="O349" s="7"/>
      <x:c r="P349" s="9" t="str">
        <x:f t="shared" si="11"/>
      </x:c>
      <x:c r="Q349" s="10" t="s">
        <x:v>250</x:v>
      </x:c>
      <x:c r="R349" s="5" t="s">
        <x:v>519</x:v>
      </x:c>
      <x:c r="S349" s="5" t="s">
        <x:v>357</x:v>
      </x:c>
      <x:c r="T349" s="5" t="s">
        <x:v>520</x:v>
      </x:c>
      <x:c r="U349" s="151"/>
      <x:c r="V349" s="151"/>
      <x:c r="W349" s="151"/>
      <x:c r="X349" s="151"/>
      <x:c r="Y349" s="151"/>
      <x:c r="Z349" s="151"/>
    </x:row>
    <x:row r="350" ht="22" customHeight="1">
      <x:c r="A350" s="5" t="s">
        <x:v>247</x:v>
      </x:c>
      <x:c r="B350" s="5" t="s">
        <x:v>248</x:v>
      </x:c>
      <x:c r="C350" s="6">
        <x:v>45657</x:v>
      </x:c>
      <x:c r="D350" s="5">
        <x:v>2024</x:v>
      </x:c>
      <x:c r="E350" s="5" t="s">
        <x:v>523</x:v>
      </x:c>
      <x:c r="F350" s="5" t="s">
        <x:v>0</x:v>
      </x:c>
      <x:c r="G350" s="5" t="s">
        <x:v>337</x:v>
      </x:c>
      <x:c r="H350" s="8">
        <x:v>35681</x:v>
      </x:c>
      <x:c r="I350" s="8">
        <x:v>5000000</x:v>
      </x:c>
      <x:c r="J350" s="5" t="s">
        <x:v>518</x:v>
      </x:c>
      <x:c r="K350" s="7"/>
      <x:c r="L350" s="9">
        <x:f t="shared" si="10"/>
        <x:v>7.1361999999999997E-3</x:v>
      </x:c>
      <x:c r="M350" s="8"/>
      <x:c r="N350" s="8"/>
      <x:c r="O350" s="7"/>
      <x:c r="P350" s="9" t="str">
        <x:f t="shared" si="11"/>
      </x:c>
      <x:c r="Q350" s="10" t="s">
        <x:v>250</x:v>
      </x:c>
      <x:c r="R350" s="5" t="s">
        <x:v>519</x:v>
      </x:c>
      <x:c r="S350" s="5" t="s">
        <x:v>357</x:v>
      </x:c>
      <x:c r="T350" s="5" t="s">
        <x:v>520</x:v>
      </x:c>
      <x:c r="U350" s="151"/>
      <x:c r="V350" s="151"/>
      <x:c r="W350" s="151"/>
      <x:c r="X350" s="151"/>
      <x:c r="Y350" s="151"/>
      <x:c r="Z350" s="151"/>
    </x:row>
    <x:row r="351" ht="22" customHeight="1">
      <x:c r="A351" s="5" t="s">
        <x:v>247</x:v>
      </x:c>
      <x:c r="B351" s="5" t="s">
        <x:v>248</x:v>
      </x:c>
      <x:c r="C351" s="6">
        <x:v>45657</x:v>
      </x:c>
      <x:c r="D351" s="5">
        <x:v>2024</x:v>
      </x:c>
      <x:c r="E351" s="5" t="s">
        <x:v>457</x:v>
      </x:c>
      <x:c r="F351" s="5" t="s">
        <x:v>0</x:v>
      </x:c>
      <x:c r="G351" s="5" t="s">
        <x:v>337</x:v>
      </x:c>
      <x:c r="H351" s="8">
        <x:v>713622</x:v>
      </x:c>
      <x:c r="I351" s="8">
        <x:v>5000000</x:v>
      </x:c>
      <x:c r="J351" s="5" t="s">
        <x:v>518</x:v>
      </x:c>
      <x:c r="K351" s="7"/>
      <x:c r="L351" s="9">
        <x:f t="shared" si="10"/>
        <x:v>0.1427244</x:v>
      </x:c>
      <x:c r="M351" s="8"/>
      <x:c r="N351" s="8"/>
      <x:c r="O351" s="7"/>
      <x:c r="P351" s="9" t="str">
        <x:f t="shared" si="11"/>
      </x:c>
      <x:c r="Q351" s="10" t="s">
        <x:v>250</x:v>
      </x:c>
      <x:c r="R351" s="5" t="s">
        <x:v>519</x:v>
      </x:c>
      <x:c r="S351" s="5" t="s">
        <x:v>357</x:v>
      </x:c>
      <x:c r="T351" s="5" t="s">
        <x:v>520</x:v>
      </x:c>
      <x:c r="U351" s="151"/>
      <x:c r="V351" s="151"/>
      <x:c r="W351" s="151"/>
      <x:c r="X351" s="151"/>
      <x:c r="Y351" s="151"/>
      <x:c r="Z351" s="151"/>
    </x:row>
    <x:row r="352" ht="22" customHeight="1">
      <x:c r="A352" s="5" t="s">
        <x:v>247</x:v>
      </x:c>
      <x:c r="B352" s="5" t="s">
        <x:v>248</x:v>
      </x:c>
      <x:c r="C352" s="6">
        <x:v>45657</x:v>
      </x:c>
      <x:c r="D352" s="5">
        <x:v>2024</x:v>
      </x:c>
      <x:c r="E352" s="5" t="s">
        <x:v>443</x:v>
      </x:c>
      <x:c r="F352" s="5" t="s">
        <x:v>0</x:v>
      </x:c>
      <x:c r="G352" s="5" t="s">
        <x:v>337</x:v>
      </x:c>
      <x:c r="H352" s="8">
        <x:v>10704</x:v>
      </x:c>
      <x:c r="I352" s="8">
        <x:v>5000000</x:v>
      </x:c>
      <x:c r="J352" s="5" t="s">
        <x:v>518</x:v>
      </x:c>
      <x:c r="K352" s="7"/>
      <x:c r="L352" s="9">
        <x:f t="shared" si="10"/>
        <x:v>2.1408E-3</x:v>
      </x:c>
      <x:c r="M352" s="8"/>
      <x:c r="N352" s="8"/>
      <x:c r="O352" s="7"/>
      <x:c r="P352" s="9" t="str">
        <x:f t="shared" si="11"/>
      </x:c>
      <x:c r="Q352" s="10" t="s">
        <x:v>250</x:v>
      </x:c>
      <x:c r="R352" s="5" t="s">
        <x:v>519</x:v>
      </x:c>
      <x:c r="S352" s="5" t="s">
        <x:v>357</x:v>
      </x:c>
      <x:c r="T352" s="5" t="s">
        <x:v>520</x:v>
      </x:c>
      <x:c r="U352" s="151"/>
      <x:c r="V352" s="151"/>
      <x:c r="W352" s="151"/>
      <x:c r="X352" s="151"/>
      <x:c r="Y352" s="151"/>
      <x:c r="Z352" s="151"/>
    </x:row>
    <x:row r="353" ht="22" customHeight="1">
      <x:c r="A353" s="5" t="s">
        <x:v>247</x:v>
      </x:c>
      <x:c r="B353" s="5" t="s">
        <x:v>248</x:v>
      </x:c>
      <x:c r="C353" s="6">
        <x:v>45657</x:v>
      </x:c>
      <x:c r="D353" s="5">
        <x:v>2024</x:v>
      </x:c>
      <x:c r="E353" s="5" t="s">
        <x:v>460</x:v>
      </x:c>
      <x:c r="F353" s="5" t="s">
        <x:v>0</x:v>
      </x:c>
      <x:c r="G353" s="5" t="s">
        <x:v>337</x:v>
      </x:c>
      <x:c r="H353" s="8">
        <x:v>78498</x:v>
      </x:c>
      <x:c r="I353" s="8">
        <x:v>5000000</x:v>
      </x:c>
      <x:c r="J353" s="5" t="s">
        <x:v>518</x:v>
      </x:c>
      <x:c r="K353" s="7"/>
      <x:c r="L353" s="9">
        <x:f t="shared" si="10"/>
        <x:v>1.5699600000000001E-2</x:v>
      </x:c>
      <x:c r="M353" s="8"/>
      <x:c r="N353" s="8"/>
      <x:c r="O353" s="7"/>
      <x:c r="P353" s="9" t="str">
        <x:f t="shared" si="11"/>
      </x:c>
      <x:c r="Q353" s="10" t="s">
        <x:v>250</x:v>
      </x:c>
      <x:c r="R353" s="5" t="s">
        <x:v>519</x:v>
      </x:c>
      <x:c r="S353" s="5" t="s">
        <x:v>357</x:v>
      </x:c>
      <x:c r="T353" s="5" t="s">
        <x:v>520</x:v>
      </x:c>
      <x:c r="U353" s="151"/>
      <x:c r="V353" s="151"/>
      <x:c r="W353" s="151"/>
      <x:c r="X353" s="151"/>
      <x:c r="Y353" s="151"/>
      <x:c r="Z353" s="151"/>
    </x:row>
    <x:row r="354" ht="22" customHeight="1">
      <x:c r="A354" s="5" t="s">
        <x:v>247</x:v>
      </x:c>
      <x:c r="B354" s="5" t="s">
        <x:v>248</x:v>
      </x:c>
      <x:c r="C354" s="6">
        <x:v>45657</x:v>
      </x:c>
      <x:c r="D354" s="5">
        <x:v>2024</x:v>
      </x:c>
      <x:c r="E354" s="5" t="s">
        <x:v>501</x:v>
      </x:c>
      <x:c r="F354" s="5" t="s">
        <x:v>0</x:v>
      </x:c>
      <x:c r="G354" s="5" t="s">
        <x:v>337</x:v>
      </x:c>
      <x:c r="H354" s="8">
        <x:v>7618</x:v>
      </x:c>
      <x:c r="I354" s="8">
        <x:v>5000000</x:v>
      </x:c>
      <x:c r="J354" s="5" t="s">
        <x:v>518</x:v>
      </x:c>
      <x:c r="K354" s="7"/>
      <x:c r="L354" s="9">
        <x:f t="shared" si="10"/>
        <x:v>1.5236E-3</x:v>
      </x:c>
      <x:c r="M354" s="8"/>
      <x:c r="N354" s="8"/>
      <x:c r="O354" s="7"/>
      <x:c r="P354" s="9" t="str">
        <x:f t="shared" si="11"/>
      </x:c>
      <x:c r="Q354" s="10" t="s">
        <x:v>250</x:v>
      </x:c>
      <x:c r="R354" s="5" t="s">
        <x:v>519</x:v>
      </x:c>
      <x:c r="S354" s="5" t="s">
        <x:v>357</x:v>
      </x:c>
      <x:c r="T354" s="5" t="s">
        <x:v>520</x:v>
      </x:c>
      <x:c r="U354" s="151"/>
      <x:c r="V354" s="151"/>
      <x:c r="W354" s="151"/>
      <x:c r="X354" s="151"/>
      <x:c r="Y354" s="151"/>
      <x:c r="Z354" s="151"/>
    </x:row>
    <x:row r="355" ht="22" customHeight="1">
      <x:c r="A355" s="5" t="s">
        <x:v>261</x:v>
      </x:c>
      <x:c r="B355" s="5" t="s">
        <x:v>262</x:v>
      </x:c>
      <x:c r="C355" s="6">
        <x:v>45291</x:v>
      </x:c>
      <x:c r="D355" s="5">
        <x:v>2023</x:v>
      </x:c>
      <x:c r="E355" s="5" t="s">
        <x:v>524</x:v>
      </x:c>
      <x:c r="F355" s="5" t="s">
        <x:v>0</x:v>
      </x:c>
      <x:c r="G355" s="5" t="s">
        <x:v>354</x:v>
      </x:c>
      <x:c r="H355" s="8">
        <x:v>48354</x:v>
      </x:c>
      <x:c r="I355" s="8">
        <x:v>279399</x:v>
      </x:c>
      <x:c r="J355" s="5" t="s">
        <x:v>428</x:v>
      </x:c>
      <x:c r="K355" s="7"/>
      <x:c r="L355" s="9">
        <x:f t="shared" si="10"/>
        <x:v>0.17306432735979727</x:v>
      </x:c>
      <x:c r="M355" s="8">
        <x:v>48504</x:v>
      </x:c>
      <x:c r="N355" s="8">
        <x:v>282999</x:v>
      </x:c>
      <x:c r="O355" s="7"/>
      <x:c r="P355" s="9">
        <x:f t="shared" si="11"/>
        <x:v>0.17139283177679074</x:v>
      </x:c>
      <x:c r="Q355" s="10" t="s">
        <x:v>264</x:v>
      </x:c>
      <x:c r="R355" s="5" t="s">
        <x:v>525</x:v>
      </x:c>
      <x:c r="S355" s="5" t="s">
        <x:v>357</x:v>
      </x:c>
      <x:c r="T355" s="5"/>
      <x:c r="U355" s="151"/>
      <x:c r="V355" s="151"/>
      <x:c r="W355" s="151"/>
      <x:c r="X355" s="151"/>
      <x:c r="Y355" s="151"/>
      <x:c r="Z355" s="151"/>
    </x:row>
    <x:row r="356" ht="22" customHeight="1">
      <x:c r="A356" s="5" t="s">
        <x:v>261</x:v>
      </x:c>
      <x:c r="B356" s="5" t="s">
        <x:v>262</x:v>
      </x:c>
      <x:c r="C356" s="6">
        <x:v>45291</x:v>
      </x:c>
      <x:c r="D356" s="5">
        <x:v>2023</x:v>
      </x:c>
      <x:c r="E356" s="5" t="s">
        <x:v>526</x:v>
      </x:c>
      <x:c r="F356" s="5" t="s">
        <x:v>0</x:v>
      </x:c>
      <x:c r="G356" s="5" t="s">
        <x:v>354</x:v>
      </x:c>
      <x:c r="H356" s="8">
        <x:v>48354</x:v>
      </x:c>
      <x:c r="I356" s="8">
        <x:v>279399</x:v>
      </x:c>
      <x:c r="J356" s="5" t="s">
        <x:v>428</x:v>
      </x:c>
      <x:c r="K356" s="7"/>
      <x:c r="L356" s="9">
        <x:f t="shared" si="10"/>
        <x:v>0.17306432735979727</x:v>
      </x:c>
      <x:c r="M356" s="8">
        <x:v>48504</x:v>
      </x:c>
      <x:c r="N356" s="8">
        <x:v>282999</x:v>
      </x:c>
      <x:c r="O356" s="7"/>
      <x:c r="P356" s="9">
        <x:f t="shared" si="11"/>
        <x:v>0.17139283177679074</x:v>
      </x:c>
      <x:c r="Q356" s="10" t="s">
        <x:v>264</x:v>
      </x:c>
      <x:c r="R356" s="5" t="s">
        <x:v>525</x:v>
      </x:c>
      <x:c r="S356" s="5" t="s">
        <x:v>357</x:v>
      </x:c>
      <x:c r="T356" s="5"/>
      <x:c r="U356" s="151"/>
      <x:c r="V356" s="151"/>
      <x:c r="W356" s="151"/>
      <x:c r="X356" s="151"/>
      <x:c r="Y356" s="151"/>
      <x:c r="Z356" s="151"/>
    </x:row>
    <x:row r="357" ht="22" customHeight="1">
      <x:c r="A357" s="5" t="s">
        <x:v>261</x:v>
      </x:c>
      <x:c r="B357" s="5" t="s">
        <x:v>262</x:v>
      </x:c>
      <x:c r="C357" s="6">
        <x:v>45291</x:v>
      </x:c>
      <x:c r="D357" s="5">
        <x:v>2023</x:v>
      </x:c>
      <x:c r="E357" s="5" t="s">
        <x:v>527</x:v>
      </x:c>
      <x:c r="F357" s="5" t="s">
        <x:v>0</x:v>
      </x:c>
      <x:c r="G357" s="5" t="s">
        <x:v>354</x:v>
      </x:c>
      <x:c r="H357" s="8">
        <x:v>14258</x:v>
      </x:c>
      <x:c r="I357" s="8">
        <x:v>279399</x:v>
      </x:c>
      <x:c r="J357" s="5" t="s">
        <x:v>428</x:v>
      </x:c>
      <x:c r="K357" s="7"/>
      <x:c r="L357" s="9">
        <x:f t="shared" si="10"/>
        <x:v>5.1030962888199312E-2</x:v>
      </x:c>
      <x:c r="M357" s="8">
        <x:v>14408</x:v>
      </x:c>
      <x:c r="N357" s="8">
        <x:v>282999</x:v>
      </x:c>
      <x:c r="O357" s="7"/>
      <x:c r="P357" s="9">
        <x:f t="shared" si="11"/>
        <x:v>5.0911840677882257E-2</x:v>
      </x:c>
      <x:c r="Q357" s="10" t="s">
        <x:v>264</x:v>
      </x:c>
      <x:c r="R357" s="5" t="s">
        <x:v>525</x:v>
      </x:c>
      <x:c r="S357" s="5" t="s">
        <x:v>357</x:v>
      </x:c>
      <x:c r="T357" s="5"/>
      <x:c r="U357" s="151"/>
      <x:c r="V357" s="151"/>
      <x:c r="W357" s="151"/>
      <x:c r="X357" s="151"/>
      <x:c r="Y357" s="151"/>
      <x:c r="Z357" s="151"/>
    </x:row>
    <x:row r="358" ht="22" customHeight="1">
      <x:c r="A358" s="5" t="s">
        <x:v>261</x:v>
      </x:c>
      <x:c r="B358" s="5" t="s">
        <x:v>262</x:v>
      </x:c>
      <x:c r="C358" s="6">
        <x:v>45291</x:v>
      </x:c>
      <x:c r="D358" s="5">
        <x:v>2023</x:v>
      </x:c>
      <x:c r="E358" s="5" t="s">
        <x:v>528</x:v>
      </x:c>
      <x:c r="F358" s="5" t="s">
        <x:v>0</x:v>
      </x:c>
      <x:c r="G358" s="5" t="s">
        <x:v>354</x:v>
      </x:c>
      <x:c r="H358" s="8">
        <x:v>10417</x:v>
      </x:c>
      <x:c r="I358" s="8">
        <x:v>279399</x:v>
      </x:c>
      <x:c r="J358" s="5" t="s">
        <x:v>428</x:v>
      </x:c>
      <x:c r="K358" s="7"/>
      <x:c r="L358" s="9">
        <x:f t="shared" si="10"/>
        <x:v>3.7283598008582705E-2</x:v>
      </x:c>
      <x:c r="M358" s="8">
        <x:v>10567</x:v>
      </x:c>
      <x:c r="N358" s="8">
        <x:v>282999</x:v>
      </x:c>
      <x:c r="O358" s="7"/>
      <x:c r="P358" s="9">
        <x:f t="shared" si="11"/>
        <x:v>3.7339354556023163E-2</x:v>
      </x:c>
      <x:c r="Q358" s="10" t="s">
        <x:v>264</x:v>
      </x:c>
      <x:c r="R358" s="5" t="s">
        <x:v>525</x:v>
      </x:c>
      <x:c r="S358" s="5" t="s">
        <x:v>357</x:v>
      </x:c>
      <x:c r="T358" s="5"/>
      <x:c r="U358" s="151"/>
      <x:c r="V358" s="151"/>
      <x:c r="W358" s="151"/>
      <x:c r="X358" s="151"/>
      <x:c r="Y358" s="151"/>
      <x:c r="Z358" s="151"/>
    </x:row>
    <x:row r="359" ht="22" customHeight="1">
      <x:c r="A359" s="5" t="s">
        <x:v>261</x:v>
      </x:c>
      <x:c r="B359" s="5" t="s">
        <x:v>262</x:v>
      </x:c>
      <x:c r="C359" s="6">
        <x:v>45291</x:v>
      </x:c>
      <x:c r="D359" s="5">
        <x:v>2023</x:v>
      </x:c>
      <x:c r="E359" s="5" t="s">
        <x:v>529</x:v>
      </x:c>
      <x:c r="F359" s="5" t="s">
        <x:v>0</x:v>
      </x:c>
      <x:c r="G359" s="5" t="s">
        <x:v>354</x:v>
      </x:c>
      <x:c r="H359" s="8">
        <x:v>7795</x:v>
      </x:c>
      <x:c r="I359" s="8">
        <x:v>279399</x:v>
      </x:c>
      <x:c r="J359" s="5" t="s">
        <x:v>428</x:v>
      </x:c>
      <x:c r="K359" s="7"/>
      <x:c r="L359" s="9">
        <x:f t="shared" si="10"/>
        <x:v>2.7899169288365385E-2</x:v>
      </x:c>
      <x:c r="M359" s="8">
        <x:v>7945</x:v>
      </x:c>
      <x:c r="N359" s="8">
        <x:v>282999</x:v>
      </x:c>
      <x:c r="O359" s="7"/>
      <x:c r="P359" s="9">
        <x:f t="shared" si="11"/>
        <x:v>2.8074304149484627E-2</x:v>
      </x:c>
      <x:c r="Q359" s="10" t="s">
        <x:v>264</x:v>
      </x:c>
      <x:c r="R359" s="5" t="s">
        <x:v>525</x:v>
      </x:c>
      <x:c r="S359" s="5" t="s">
        <x:v>357</x:v>
      </x:c>
      <x:c r="T359" s="5"/>
      <x:c r="U359" s="151"/>
      <x:c r="V359" s="151"/>
      <x:c r="W359" s="151"/>
      <x:c r="X359" s="151"/>
      <x:c r="Y359" s="151"/>
      <x:c r="Z359" s="151"/>
    </x:row>
    <x:row r="360" ht="22" customHeight="1">
      <x:c r="A360" s="5" t="s">
        <x:v>261</x:v>
      </x:c>
      <x:c r="B360" s="5" t="s">
        <x:v>262</x:v>
      </x:c>
      <x:c r="C360" s="6">
        <x:v>45291</x:v>
      </x:c>
      <x:c r="D360" s="5">
        <x:v>2023</x:v>
      </x:c>
      <x:c r="E360" s="5" t="s">
        <x:v>530</x:v>
      </x:c>
      <x:c r="F360" s="5" t="s">
        <x:v>0</x:v>
      </x:c>
      <x:c r="G360" s="5" t="s">
        <x:v>354</x:v>
      </x:c>
      <x:c r="H360" s="8">
        <x:v>7795</x:v>
      </x:c>
      <x:c r="I360" s="8">
        <x:v>279399</x:v>
      </x:c>
      <x:c r="J360" s="5" t="s">
        <x:v>428</x:v>
      </x:c>
      <x:c r="K360" s="7"/>
      <x:c r="L360" s="9">
        <x:f t="shared" si="10"/>
        <x:v>2.7899169288365385E-2</x:v>
      </x:c>
      <x:c r="M360" s="8">
        <x:v>7945</x:v>
      </x:c>
      <x:c r="N360" s="8">
        <x:v>282999</x:v>
      </x:c>
      <x:c r="O360" s="7"/>
      <x:c r="P360" s="9">
        <x:f t="shared" si="11"/>
        <x:v>2.8074304149484627E-2</x:v>
      </x:c>
      <x:c r="Q360" s="10" t="s">
        <x:v>264</x:v>
      </x:c>
      <x:c r="R360" s="5" t="s">
        <x:v>525</x:v>
      </x:c>
      <x:c r="S360" s="5" t="s">
        <x:v>357</x:v>
      </x:c>
      <x:c r="T360" s="5"/>
      <x:c r="U360" s="151"/>
      <x:c r="V360" s="151"/>
      <x:c r="W360" s="151"/>
      <x:c r="X360" s="151"/>
      <x:c r="Y360" s="151"/>
      <x:c r="Z360" s="151"/>
    </x:row>
    <x:row r="361" ht="22" customHeight="1">
      <x:c r="A361" s="5" t="s">
        <x:v>261</x:v>
      </x:c>
      <x:c r="B361" s="5" t="s">
        <x:v>262</x:v>
      </x:c>
      <x:c r="C361" s="6">
        <x:v>45291</x:v>
      </x:c>
      <x:c r="D361" s="5">
        <x:v>2023</x:v>
      </x:c>
      <x:c r="E361" s="5" t="s">
        <x:v>531</x:v>
      </x:c>
      <x:c r="F361" s="5" t="s">
        <x:v>0</x:v>
      </x:c>
      <x:c r="G361" s="5" t="s">
        <x:v>354</x:v>
      </x:c>
      <x:c r="H361" s="8">
        <x:v>7795</x:v>
      </x:c>
      <x:c r="I361" s="8">
        <x:v>279399</x:v>
      </x:c>
      <x:c r="J361" s="5" t="s">
        <x:v>428</x:v>
      </x:c>
      <x:c r="K361" s="7"/>
      <x:c r="L361" s="9">
        <x:f t="shared" si="10"/>
        <x:v>2.7899169288365385E-2</x:v>
      </x:c>
      <x:c r="M361" s="8">
        <x:v>7945</x:v>
      </x:c>
      <x:c r="N361" s="8">
        <x:v>282999</x:v>
      </x:c>
      <x:c r="O361" s="7"/>
      <x:c r="P361" s="9">
        <x:f t="shared" si="11"/>
        <x:v>2.8074304149484627E-2</x:v>
      </x:c>
      <x:c r="Q361" s="10" t="s">
        <x:v>264</x:v>
      </x:c>
      <x:c r="R361" s="5" t="s">
        <x:v>525</x:v>
      </x:c>
      <x:c r="S361" s="5" t="s">
        <x:v>357</x:v>
      </x:c>
      <x:c r="T361" s="5"/>
      <x:c r="U361" s="151"/>
      <x:c r="V361" s="151"/>
      <x:c r="W361" s="151"/>
      <x:c r="X361" s="151"/>
      <x:c r="Y361" s="151"/>
      <x:c r="Z361" s="151"/>
    </x:row>
    <x:row r="362" ht="22" customHeight="1">
      <x:c r="A362" s="5" t="s">
        <x:v>261</x:v>
      </x:c>
      <x:c r="B362" s="5" t="s">
        <x:v>262</x:v>
      </x:c>
      <x:c r="C362" s="6">
        <x:v>45291</x:v>
      </x:c>
      <x:c r="D362" s="5">
        <x:v>2023</x:v>
      </x:c>
      <x:c r="E362" s="5" t="s">
        <x:v>532</x:v>
      </x:c>
      <x:c r="F362" s="5" t="s">
        <x:v>0</x:v>
      </x:c>
      <x:c r="G362" s="5" t="s">
        <x:v>354</x:v>
      </x:c>
      <x:c r="H362" s="8">
        <x:v>9074</x:v>
      </x:c>
      <x:c r="I362" s="8">
        <x:v>279399</x:v>
      </x:c>
      <x:c r="J362" s="5" t="s">
        <x:v>428</x:v>
      </x:c>
      <x:c r="K362" s="7"/>
      <x:c r="L362" s="9">
        <x:f t="shared" si="10"/>
        <x:v>3.2476852100401216E-2</x:v>
      </x:c>
      <x:c r="M362" s="8">
        <x:v>9224</x:v>
      </x:c>
      <x:c r="N362" s="8">
        <x:v>282999</x:v>
      </x:c>
      <x:c r="O362" s="7"/>
      <x:c r="P362" s="9">
        <x:f t="shared" si="11"/>
        <x:v>3.2593754748249992E-2</x:v>
      </x:c>
      <x:c r="Q362" s="10" t="s">
        <x:v>264</x:v>
      </x:c>
      <x:c r="R362" s="5" t="s">
        <x:v>525</x:v>
      </x:c>
      <x:c r="S362" s="5" t="s">
        <x:v>357</x:v>
      </x:c>
      <x:c r="T362" s="5"/>
      <x:c r="U362" s="151"/>
      <x:c r="V362" s="151"/>
      <x:c r="W362" s="151"/>
      <x:c r="X362" s="151"/>
      <x:c r="Y362" s="151"/>
      <x:c r="Z362" s="151"/>
    </x:row>
    <x:row r="363" ht="22" customHeight="1">
      <x:c r="A363" s="5" t="s">
        <x:v>261</x:v>
      </x:c>
      <x:c r="B363" s="5" t="s">
        <x:v>262</x:v>
      </x:c>
      <x:c r="C363" s="6">
        <x:v>45291</x:v>
      </x:c>
      <x:c r="D363" s="5">
        <x:v>2023</x:v>
      </x:c>
      <x:c r="E363" s="5" t="s">
        <x:v>533</x:v>
      </x:c>
      <x:c r="F363" s="5" t="s">
        <x:v>0</x:v>
      </x:c>
      <x:c r="G363" s="5" t="s">
        <x:v>354</x:v>
      </x:c>
      <x:c r="H363" s="8">
        <x:v>4166</x:v>
      </x:c>
      <x:c r="I363" s="8">
        <x:v>279399</x:v>
      </x:c>
      <x:c r="J363" s="5" t="s">
        <x:v>428</x:v>
      </x:c>
      <x:c r="K363" s="7"/>
      <x:c r="L363" s="9">
        <x:f t="shared" si="10"/>
        <x:v>1.4910575914731262E-2</x:v>
      </x:c>
      <x:c r="M363" s="8">
        <x:v>4316</x:v>
      </x:c>
      <x:c r="N363" s="8">
        <x:v>282999</x:v>
      </x:c>
      <x:c r="O363" s="7"/>
      <x:c r="P363" s="9">
        <x:f t="shared" si="11"/>
        <x:v>1.5250937282463895E-2</x:v>
      </x:c>
      <x:c r="Q363" s="10" t="s">
        <x:v>264</x:v>
      </x:c>
      <x:c r="R363" s="5" t="s">
        <x:v>525</x:v>
      </x:c>
      <x:c r="S363" s="5" t="s">
        <x:v>357</x:v>
      </x:c>
      <x:c r="T363" s="5"/>
      <x:c r="U363" s="151"/>
      <x:c r="V363" s="151"/>
      <x:c r="W363" s="151"/>
      <x:c r="X363" s="151"/>
      <x:c r="Y363" s="151"/>
      <x:c r="Z363" s="151"/>
    </x:row>
    <x:row r="364" ht="22" customHeight="1">
      <x:c r="A364" s="5" t="s">
        <x:v>261</x:v>
      </x:c>
      <x:c r="B364" s="5" t="s">
        <x:v>262</x:v>
      </x:c>
      <x:c r="C364" s="6">
        <x:v>45291</x:v>
      </x:c>
      <x:c r="D364" s="5">
        <x:v>2023</x:v>
      </x:c>
      <x:c r="E364" s="5" t="s">
        <x:v>534</x:v>
      </x:c>
      <x:c r="F364" s="5" t="s">
        <x:v>0</x:v>
      </x:c>
      <x:c r="G364" s="5" t="s">
        <x:v>354</x:v>
      </x:c>
      <x:c r="H364" s="8">
        <x:v>2148</x:v>
      </x:c>
      <x:c r="I364" s="8">
        <x:v>279399</x:v>
      </x:c>
      <x:c r="J364" s="5" t="s">
        <x:v>428</x:v>
      </x:c>
      <x:c r="K364" s="7"/>
      <x:c r="L364" s="9">
        <x:f t="shared" si="10"/>
        <x:v>7.6879301643885626E-3</x:v>
      </x:c>
      <x:c r="M364" s="8">
        <x:v>2298</x:v>
      </x:c>
      <x:c r="N364" s="8">
        <x:v>282999</x:v>
      </x:c>
      <x:c r="O364" s="7"/>
      <x:c r="P364" s="9">
        <x:f t="shared" si="11"/>
        <x:v>8.1201700359365223E-3</x:v>
      </x:c>
      <x:c r="Q364" s="10" t="s">
        <x:v>264</x:v>
      </x:c>
      <x:c r="R364" s="5" t="s">
        <x:v>525</x:v>
      </x:c>
      <x:c r="S364" s="5" t="s">
        <x:v>357</x:v>
      </x:c>
      <x:c r="T364" s="5"/>
      <x:c r="U364" s="151"/>
      <x:c r="V364" s="151"/>
      <x:c r="W364" s="151"/>
      <x:c r="X364" s="151"/>
      <x:c r="Y364" s="151"/>
      <x:c r="Z364" s="151"/>
    </x:row>
    <x:row r="365" ht="22" customHeight="1">
      <x:c r="A365" s="5" t="s">
        <x:v>261</x:v>
      </x:c>
      <x:c r="B365" s="5" t="s">
        <x:v>262</x:v>
      </x:c>
      <x:c r="C365" s="6">
        <x:v>45291</x:v>
      </x:c>
      <x:c r="D365" s="5">
        <x:v>2023</x:v>
      </x:c>
      <x:c r="E365" s="5" t="s">
        <x:v>535</x:v>
      </x:c>
      <x:c r="F365" s="5" t="s">
        <x:v>0</x:v>
      </x:c>
      <x:c r="G365" s="5" t="s">
        <x:v>354</x:v>
      </x:c>
      <x:c r="H365" s="8">
        <x:v>2148</x:v>
      </x:c>
      <x:c r="I365" s="8">
        <x:v>279399</x:v>
      </x:c>
      <x:c r="J365" s="5" t="s">
        <x:v>428</x:v>
      </x:c>
      <x:c r="K365" s="7"/>
      <x:c r="L365" s="9">
        <x:f t="shared" si="10"/>
        <x:v>7.6879301643885626E-3</x:v>
      </x:c>
      <x:c r="M365" s="8">
        <x:v>2298</x:v>
      </x:c>
      <x:c r="N365" s="8">
        <x:v>282999</x:v>
      </x:c>
      <x:c r="O365" s="7"/>
      <x:c r="P365" s="9">
        <x:f t="shared" si="11"/>
        <x:v>8.1201700359365223E-3</x:v>
      </x:c>
      <x:c r="Q365" s="10" t="s">
        <x:v>264</x:v>
      </x:c>
      <x:c r="R365" s="5" t="s">
        <x:v>525</x:v>
      </x:c>
      <x:c r="S365" s="5" t="s">
        <x:v>357</x:v>
      </x:c>
      <x:c r="T365" s="5"/>
      <x:c r="U365" s="151"/>
      <x:c r="V365" s="151"/>
      <x:c r="W365" s="151"/>
      <x:c r="X365" s="151"/>
      <x:c r="Y365" s="151"/>
      <x:c r="Z365" s="151"/>
    </x:row>
    <x:row r="366" ht="22" customHeight="1">
      <x:c r="A366" s="5" t="s">
        <x:v>261</x:v>
      </x:c>
      <x:c r="B366" s="5" t="s">
        <x:v>262</x:v>
      </x:c>
      <x:c r="C366" s="6">
        <x:v>45291</x:v>
      </x:c>
      <x:c r="D366" s="5">
        <x:v>2023</x:v>
      </x:c>
      <x:c r="E366" s="5" t="s">
        <x:v>536</x:v>
      </x:c>
      <x:c r="F366" s="5" t="s">
        <x:v>0</x:v>
      </x:c>
      <x:c r="G366" s="5" t="s">
        <x:v>354</x:v>
      </x:c>
      <x:c r="H366" s="8">
        <x:v>1839</x:v>
      </x:c>
      <x:c r="I366" s="8">
        <x:v>279399</x:v>
      </x:c>
      <x:c r="J366" s="5" t="s">
        <x:v>428</x:v>
      </x:c>
      <x:c r="K366" s="7"/>
      <x:c r="L366" s="9">
        <x:f t="shared" si="10"/>
        <x:v>6.5819849033103197E-3</x:v>
      </x:c>
      <x:c r="M366" s="8">
        <x:v>1989</x:v>
      </x:c>
      <x:c r="N366" s="8">
        <x:v>282999</x:v>
      </x:c>
      <x:c r="O366" s="7"/>
      <x:c r="P366" s="9">
        <x:f t="shared" si="11"/>
        <x:v>7.0282933861957105E-3</x:v>
      </x:c>
      <x:c r="Q366" s="10" t="s">
        <x:v>264</x:v>
      </x:c>
      <x:c r="R366" s="5" t="s">
        <x:v>525</x:v>
      </x:c>
      <x:c r="S366" s="5" t="s">
        <x:v>357</x:v>
      </x:c>
      <x:c r="T366" s="5"/>
      <x:c r="U366" s="151"/>
      <x:c r="V366" s="151"/>
      <x:c r="W366" s="151"/>
      <x:c r="X366" s="151"/>
      <x:c r="Y366" s="151"/>
      <x:c r="Z366" s="151"/>
    </x:row>
    <x:row r="367" ht="22" customHeight="1">
      <x:c r="A367" s="5" t="s">
        <x:v>261</x:v>
      </x:c>
      <x:c r="B367" s="5" t="s">
        <x:v>262</x:v>
      </x:c>
      <x:c r="C367" s="6">
        <x:v>45291</x:v>
      </x:c>
      <x:c r="D367" s="5">
        <x:v>2023</x:v>
      </x:c>
      <x:c r="E367" s="5" t="s">
        <x:v>537</x:v>
      </x:c>
      <x:c r="F367" s="5" t="s">
        <x:v>0</x:v>
      </x:c>
      <x:c r="G367" s="5" t="s">
        <x:v>354</x:v>
      </x:c>
      <x:c r="H367" s="8">
        <x:v>2148</x:v>
      </x:c>
      <x:c r="I367" s="8">
        <x:v>279399</x:v>
      </x:c>
      <x:c r="J367" s="5" t="s">
        <x:v>428</x:v>
      </x:c>
      <x:c r="K367" s="7"/>
      <x:c r="L367" s="9">
        <x:f t="shared" si="10"/>
        <x:v>7.6879301643885626E-3</x:v>
      </x:c>
      <x:c r="M367" s="8">
        <x:v>2298</x:v>
      </x:c>
      <x:c r="N367" s="8">
        <x:v>282999</x:v>
      </x:c>
      <x:c r="O367" s="7"/>
      <x:c r="P367" s="9">
        <x:f t="shared" si="11"/>
        <x:v>8.1201700359365223E-3</x:v>
      </x:c>
      <x:c r="Q367" s="10" t="s">
        <x:v>264</x:v>
      </x:c>
      <x:c r="R367" s="5" t="s">
        <x:v>525</x:v>
      </x:c>
      <x:c r="S367" s="5" t="s">
        <x:v>357</x:v>
      </x:c>
      <x:c r="T367" s="5"/>
      <x:c r="U367" s="151"/>
      <x:c r="V367" s="151"/>
      <x:c r="W367" s="151"/>
      <x:c r="X367" s="151"/>
      <x:c r="Y367" s="151"/>
      <x:c r="Z367" s="151"/>
    </x:row>
    <x:row r="368" ht="22" customHeight="1">
      <x:c r="A368" s="5" t="s">
        <x:v>261</x:v>
      </x:c>
      <x:c r="B368" s="5" t="s">
        <x:v>262</x:v>
      </x:c>
      <x:c r="C368" s="6">
        <x:v>45291</x:v>
      </x:c>
      <x:c r="D368" s="5">
        <x:v>2023</x:v>
      </x:c>
      <x:c r="E368" s="5" t="s">
        <x:v>538</x:v>
      </x:c>
      <x:c r="F368" s="5" t="s">
        <x:v>0</x:v>
      </x:c>
      <x:c r="G368" s="5" t="s">
        <x:v>354</x:v>
      </x:c>
      <x:c r="H368" s="8">
        <x:v>2148</x:v>
      </x:c>
      <x:c r="I368" s="8">
        <x:v>279399</x:v>
      </x:c>
      <x:c r="J368" s="5" t="s">
        <x:v>428</x:v>
      </x:c>
      <x:c r="K368" s="7"/>
      <x:c r="L368" s="9">
        <x:f t="shared" si="10"/>
        <x:v>7.6879301643885626E-3</x:v>
      </x:c>
      <x:c r="M368" s="8">
        <x:v>2298</x:v>
      </x:c>
      <x:c r="N368" s="8">
        <x:v>282999</x:v>
      </x:c>
      <x:c r="O368" s="7"/>
      <x:c r="P368" s="9">
        <x:f t="shared" si="11"/>
        <x:v>8.1201700359365223E-3</x:v>
      </x:c>
      <x:c r="Q368" s="10" t="s">
        <x:v>264</x:v>
      </x:c>
      <x:c r="R368" s="5" t="s">
        <x:v>525</x:v>
      </x:c>
      <x:c r="S368" s="5" t="s">
        <x:v>357</x:v>
      </x:c>
      <x:c r="T368" s="5"/>
      <x:c r="U368" s="151"/>
      <x:c r="V368" s="151"/>
      <x:c r="W368" s="151"/>
      <x:c r="X368" s="151"/>
      <x:c r="Y368" s="151"/>
      <x:c r="Z368" s="151"/>
    </x:row>
    <x:row r="369" ht="22" customHeight="1">
      <x:c r="A369" s="5" t="s">
        <x:v>261</x:v>
      </x:c>
      <x:c r="B369" s="5" t="s">
        <x:v>262</x:v>
      </x:c>
      <x:c r="C369" s="6">
        <x:v>45291</x:v>
      </x:c>
      <x:c r="D369" s="5">
        <x:v>2023</x:v>
      </x:c>
      <x:c r="E369" s="5" t="s">
        <x:v>539</x:v>
      </x:c>
      <x:c r="F369" s="5" t="s">
        <x:v>0</x:v>
      </x:c>
      <x:c r="G369" s="5" t="s">
        <x:v>354</x:v>
      </x:c>
      <x:c r="H369" s="8">
        <x:v>2148</x:v>
      </x:c>
      <x:c r="I369" s="8">
        <x:v>279399</x:v>
      </x:c>
      <x:c r="J369" s="5" t="s">
        <x:v>428</x:v>
      </x:c>
      <x:c r="K369" s="7"/>
      <x:c r="L369" s="9">
        <x:f t="shared" si="10"/>
        <x:v>7.6879301643885626E-3</x:v>
      </x:c>
      <x:c r="M369" s="8">
        <x:v>2298</x:v>
      </x:c>
      <x:c r="N369" s="8">
        <x:v>282999</x:v>
      </x:c>
      <x:c r="O369" s="7"/>
      <x:c r="P369" s="9">
        <x:f t="shared" si="11"/>
        <x:v>8.1201700359365223E-3</x:v>
      </x:c>
      <x:c r="Q369" s="10" t="s">
        <x:v>264</x:v>
      </x:c>
      <x:c r="R369" s="5" t="s">
        <x:v>525</x:v>
      </x:c>
      <x:c r="S369" s="5" t="s">
        <x:v>357</x:v>
      </x:c>
      <x:c r="T369" s="5"/>
      <x:c r="U369" s="151"/>
      <x:c r="V369" s="151"/>
      <x:c r="W369" s="151"/>
      <x:c r="X369" s="151"/>
      <x:c r="Y369" s="151"/>
      <x:c r="Z369" s="151"/>
    </x:row>
    <x:row r="370" ht="22" customHeight="1">
      <x:c r="A370" s="5" t="s">
        <x:v>261</x:v>
      </x:c>
      <x:c r="B370" s="5" t="s">
        <x:v>262</x:v>
      </x:c>
      <x:c r="C370" s="6">
        <x:v>45291</x:v>
      </x:c>
      <x:c r="D370" s="5">
        <x:v>2023</x:v>
      </x:c>
      <x:c r="E370" s="5" t="s">
        <x:v>540</x:v>
      </x:c>
      <x:c r="F370" s="5" t="s">
        <x:v>0</x:v>
      </x:c>
      <x:c r="G370" s="5" t="s">
        <x:v>354</x:v>
      </x:c>
      <x:c r="H370" s="8">
        <x:v>2148</x:v>
      </x:c>
      <x:c r="I370" s="8">
        <x:v>279399</x:v>
      </x:c>
      <x:c r="J370" s="5" t="s">
        <x:v>428</x:v>
      </x:c>
      <x:c r="K370" s="7"/>
      <x:c r="L370" s="9">
        <x:f t="shared" si="10"/>
        <x:v>7.6879301643885626E-3</x:v>
      </x:c>
      <x:c r="M370" s="8">
        <x:v>2298</x:v>
      </x:c>
      <x:c r="N370" s="8">
        <x:v>282999</x:v>
      </x:c>
      <x:c r="O370" s="7"/>
      <x:c r="P370" s="9">
        <x:f t="shared" si="11"/>
        <x:v>8.1201700359365223E-3</x:v>
      </x:c>
      <x:c r="Q370" s="10" t="s">
        <x:v>264</x:v>
      </x:c>
      <x:c r="R370" s="5" t="s">
        <x:v>525</x:v>
      </x:c>
      <x:c r="S370" s="5" t="s">
        <x:v>357</x:v>
      </x:c>
      <x:c r="T370" s="5"/>
      <x:c r="U370" s="151"/>
      <x:c r="V370" s="151"/>
      <x:c r="W370" s="151"/>
      <x:c r="X370" s="151"/>
      <x:c r="Y370" s="151"/>
      <x:c r="Z370" s="151"/>
    </x:row>
    <x:row r="371" ht="22" customHeight="1">
      <x:c r="A371" s="5" t="s">
        <x:v>261</x:v>
      </x:c>
      <x:c r="B371" s="5" t="s">
        <x:v>262</x:v>
      </x:c>
      <x:c r="C371" s="6">
        <x:v>45291</x:v>
      </x:c>
      <x:c r="D371" s="5">
        <x:v>2023</x:v>
      </x:c>
      <x:c r="E371" s="5" t="s">
        <x:v>541</x:v>
      </x:c>
      <x:c r="F371" s="5" t="s">
        <x:v>542</x:v>
      </x:c>
      <x:c r="G371" s="5" t="s">
        <x:v>543</x:v>
      </x:c>
      <x:c r="H371" s="8">
        <x:v>455</x:v>
      </x:c>
      <x:c r="I371" s="8">
        <x:v>279399</x:v>
      </x:c>
      <x:c r="J371" s="5" t="s">
        <x:v>428</x:v>
      </x:c>
      <x:c r="K371" s="7"/>
      <x:c r="L371" s="9">
        <x:f t="shared" si="10"/>
        <x:v>1.6284954491605195E-3</x:v>
      </x:c>
      <x:c r="M371" s="8"/>
      <x:c r="N371" s="8"/>
      <x:c r="O371" s="7"/>
      <x:c r="P371" s="9" t="str">
        <x:f t="shared" si="11"/>
      </x:c>
      <x:c r="Q371" s="10" t="s">
        <x:v>264</x:v>
      </x:c>
      <x:c r="R371" s="5" t="s">
        <x:v>525</x:v>
      </x:c>
      <x:c r="S371" s="5" t="s">
        <x:v>357</x:v>
      </x:c>
      <x:c r="T371" s="5" t="s">
        <x:v>544</x:v>
      </x:c>
      <x:c r="U371" s="151"/>
      <x:c r="V371" s="151"/>
      <x:c r="W371" s="151"/>
      <x:c r="X371" s="151"/>
      <x:c r="Y371" s="151"/>
      <x:c r="Z371" s="151"/>
    </x:row>
    <x:row r="372" ht="22" customHeight="1">
      <x:c r="A372" s="5" t="s">
        <x:v>261</x:v>
      </x:c>
      <x:c r="B372" s="5" t="s">
        <x:v>262</x:v>
      </x:c>
      <x:c r="C372" s="6">
        <x:v>45291</x:v>
      </x:c>
      <x:c r="D372" s="5">
        <x:v>2023</x:v>
      </x:c>
      <x:c r="E372" s="5" t="s">
        <x:v>545</x:v>
      </x:c>
      <x:c r="F372" s="5" t="s">
        <x:v>542</x:v>
      </x:c>
      <x:c r="G372" s="5" t="s">
        <x:v>543</x:v>
      </x:c>
      <x:c r="H372" s="8">
        <x:v>533</x:v>
      </x:c>
      <x:c r="I372" s="8">
        <x:v>279399</x:v>
      </x:c>
      <x:c r="J372" s="5" t="s">
        <x:v>428</x:v>
      </x:c>
      <x:c r="K372" s="7"/>
      <x:c r="L372" s="9">
        <x:f t="shared" si="10"/>
        <x:v>1.9076660975880372E-3</x:v>
      </x:c>
      <x:c r="M372" s="8"/>
      <x:c r="N372" s="8"/>
      <x:c r="O372" s="7"/>
      <x:c r="P372" s="9" t="str">
        <x:f t="shared" si="11"/>
      </x:c>
      <x:c r="Q372" s="10" t="s">
        <x:v>264</x:v>
      </x:c>
      <x:c r="R372" s="5" t="s">
        <x:v>525</x:v>
      </x:c>
      <x:c r="S372" s="5" t="s">
        <x:v>357</x:v>
      </x:c>
      <x:c r="T372" s="5" t="s">
        <x:v>544</x:v>
      </x:c>
      <x:c r="U372" s="151"/>
      <x:c r="V372" s="151"/>
      <x:c r="W372" s="151"/>
      <x:c r="X372" s="151"/>
      <x:c r="Y372" s="151"/>
      <x:c r="Z372" s="151"/>
    </x:row>
    <x:row r="373" ht="22" customHeight="1">
      <x:c r="A373" s="5" t="s">
        <x:v>261</x:v>
      </x:c>
      <x:c r="B373" s="5" t="s">
        <x:v>262</x:v>
      </x:c>
      <x:c r="C373" s="6">
        <x:v>45291</x:v>
      </x:c>
      <x:c r="D373" s="5">
        <x:v>2023</x:v>
      </x:c>
      <x:c r="E373" s="5" t="s">
        <x:v>546</x:v>
      </x:c>
      <x:c r="F373" s="5" t="s">
        <x:v>542</x:v>
      </x:c>
      <x:c r="G373" s="5" t="s">
        <x:v>543</x:v>
      </x:c>
      <x:c r="H373" s="8">
        <x:v>533</x:v>
      </x:c>
      <x:c r="I373" s="8">
        <x:v>279399</x:v>
      </x:c>
      <x:c r="J373" s="5" t="s">
        <x:v>428</x:v>
      </x:c>
      <x:c r="K373" s="7"/>
      <x:c r="L373" s="9">
        <x:f t="shared" si="10"/>
        <x:v>1.9076660975880372E-3</x:v>
      </x:c>
      <x:c r="M373" s="8"/>
      <x:c r="N373" s="8"/>
      <x:c r="O373" s="7"/>
      <x:c r="P373" s="9" t="str">
        <x:f t="shared" si="11"/>
      </x:c>
      <x:c r="Q373" s="10" t="s">
        <x:v>264</x:v>
      </x:c>
      <x:c r="R373" s="5" t="s">
        <x:v>525</x:v>
      </x:c>
      <x:c r="S373" s="5" t="s">
        <x:v>357</x:v>
      </x:c>
      <x:c r="T373" s="5" t="s">
        <x:v>544</x:v>
      </x:c>
      <x:c r="U373" s="151"/>
      <x:c r="V373" s="151"/>
      <x:c r="W373" s="151"/>
      <x:c r="X373" s="151"/>
      <x:c r="Y373" s="151"/>
      <x:c r="Z373" s="151"/>
    </x:row>
    <x:row r="374" ht="22" customHeight="1">
      <x:c r="A374" s="5" t="s">
        <x:v>261</x:v>
      </x:c>
      <x:c r="B374" s="5" t="s">
        <x:v>262</x:v>
      </x:c>
      <x:c r="C374" s="6">
        <x:v>45291</x:v>
      </x:c>
      <x:c r="D374" s="5">
        <x:v>2023</x:v>
      </x:c>
      <x:c r="E374" s="5" t="s">
        <x:v>547</x:v>
      </x:c>
      <x:c r="F374" s="5" t="s">
        <x:v>542</x:v>
      </x:c>
      <x:c r="G374" s="5" t="s">
        <x:v>543</x:v>
      </x:c>
      <x:c r="H374" s="8">
        <x:v>533</x:v>
      </x:c>
      <x:c r="I374" s="8">
        <x:v>279399</x:v>
      </x:c>
      <x:c r="J374" s="5" t="s">
        <x:v>428</x:v>
      </x:c>
      <x:c r="K374" s="7"/>
      <x:c r="L374" s="9">
        <x:f t="shared" si="10"/>
        <x:v>1.9076660975880372E-3</x:v>
      </x:c>
      <x:c r="M374" s="8"/>
      <x:c r="N374" s="8"/>
      <x:c r="O374" s="7"/>
      <x:c r="P374" s="9" t="str">
        <x:f t="shared" si="11"/>
      </x:c>
      <x:c r="Q374" s="10" t="s">
        <x:v>264</x:v>
      </x:c>
      <x:c r="R374" s="5" t="s">
        <x:v>525</x:v>
      </x:c>
      <x:c r="S374" s="5" t="s">
        <x:v>357</x:v>
      </x:c>
      <x:c r="T374" s="5" t="s">
        <x:v>544</x:v>
      </x:c>
      <x:c r="U374" s="151"/>
      <x:c r="V374" s="151"/>
      <x:c r="W374" s="151"/>
      <x:c r="X374" s="151"/>
      <x:c r="Y374" s="151"/>
      <x:c r="Z374" s="151"/>
    </x:row>
    <x:row r="375" ht="22" customHeight="1">
      <x:c r="A375" s="5" t="s">
        <x:v>261</x:v>
      </x:c>
      <x:c r="B375" s="5" t="s">
        <x:v>262</x:v>
      </x:c>
      <x:c r="C375" s="6">
        <x:v>45291</x:v>
      </x:c>
      <x:c r="D375" s="5">
        <x:v>2023</x:v>
      </x:c>
      <x:c r="E375" s="5" t="s">
        <x:v>548</x:v>
      </x:c>
      <x:c r="F375" s="5" t="s">
        <x:v>542</x:v>
      </x:c>
      <x:c r="G375" s="5" t="s">
        <x:v>543</x:v>
      </x:c>
      <x:c r="H375" s="8">
        <x:v>533</x:v>
      </x:c>
      <x:c r="I375" s="8">
        <x:v>279399</x:v>
      </x:c>
      <x:c r="J375" s="5" t="s">
        <x:v>428</x:v>
      </x:c>
      <x:c r="K375" s="7"/>
      <x:c r="L375" s="9">
        <x:f t="shared" si="10"/>
        <x:v>1.9076660975880372E-3</x:v>
      </x:c>
      <x:c r="M375" s="8"/>
      <x:c r="N375" s="8"/>
      <x:c r="O375" s="7"/>
      <x:c r="P375" s="9" t="str">
        <x:f t="shared" si="11"/>
      </x:c>
      <x:c r="Q375" s="10" t="s">
        <x:v>264</x:v>
      </x:c>
      <x:c r="R375" s="5" t="s">
        <x:v>525</x:v>
      </x:c>
      <x:c r="S375" s="5" t="s">
        <x:v>357</x:v>
      </x:c>
      <x:c r="T375" s="5" t="s">
        <x:v>544</x:v>
      </x:c>
      <x:c r="U375" s="151"/>
      <x:c r="V375" s="151"/>
      <x:c r="W375" s="151"/>
      <x:c r="X375" s="151"/>
      <x:c r="Y375" s="151"/>
      <x:c r="Z375" s="151"/>
    </x:row>
    <x:row r="376" ht="22" customHeight="1">
      <x:c r="A376" s="5" t="s">
        <x:v>261</x:v>
      </x:c>
      <x:c r="B376" s="5" t="s">
        <x:v>262</x:v>
      </x:c>
      <x:c r="C376" s="6">
        <x:v>45291</x:v>
      </x:c>
      <x:c r="D376" s="5">
        <x:v>2023</x:v>
      </x:c>
      <x:c r="E376" s="5" t="s">
        <x:v>549</x:v>
      </x:c>
      <x:c r="F376" s="5" t="s">
        <x:v>0</x:v>
      </x:c>
      <x:c r="G376" s="5" t="s">
        <x:v>354</x:v>
      </x:c>
      <x:c r="H376" s="8">
        <x:v>2187</x:v>
      </x:c>
      <x:c r="I376" s="8">
        <x:v>279399</x:v>
      </x:c>
      <x:c r="J376" s="5" t="s">
        <x:v>428</x:v>
      </x:c>
      <x:c r="K376" s="7"/>
      <x:c r="L376" s="9">
        <x:f t="shared" si="10"/>
        <x:v>7.827515488602322E-3</x:v>
      </x:c>
      <x:c r="M376" s="8">
        <x:v>2337</x:v>
      </x:c>
      <x:c r="N376" s="8">
        <x:v>282999</x:v>
      </x:c>
      <x:c r="O376" s="7"/>
      <x:c r="P376" s="9">
        <x:f t="shared" si="11"/>
        <x:v>8.2579797101756548E-3</x:v>
      </x:c>
      <x:c r="Q376" s="10" t="s">
        <x:v>264</x:v>
      </x:c>
      <x:c r="R376" s="5" t="s">
        <x:v>525</x:v>
      </x:c>
      <x:c r="S376" s="5" t="s">
        <x:v>357</x:v>
      </x:c>
      <x:c r="T376" s="5"/>
      <x:c r="U376" s="151"/>
      <x:c r="V376" s="151"/>
      <x:c r="W376" s="151"/>
      <x:c r="X376" s="151"/>
      <x:c r="Y376" s="151"/>
      <x:c r="Z376" s="151"/>
    </x:row>
    <x:row r="377" ht="22" customHeight="1">
      <x:c r="A377" s="5" t="s">
        <x:v>261</x:v>
      </x:c>
      <x:c r="B377" s="5" t="s">
        <x:v>262</x:v>
      </x:c>
      <x:c r="C377" s="6">
        <x:v>45291</x:v>
      </x:c>
      <x:c r="D377" s="5">
        <x:v>2023</x:v>
      </x:c>
      <x:c r="E377" s="5" t="s">
        <x:v>436</x:v>
      </x:c>
      <x:c r="F377" s="5" t="s">
        <x:v>0</x:v>
      </x:c>
      <x:c r="G377" s="5" t="s">
        <x:v>354</x:v>
      </x:c>
      <x:c r="H377" s="8">
        <x:v>3118</x:v>
      </x:c>
      <x:c r="I377" s="8">
        <x:v>279399</x:v>
      </x:c>
      <x:c r="J377" s="5" t="s">
        <x:v>428</x:v>
      </x:c>
      <x:c r="K377" s="7"/>
      <x:c r="L377" s="9">
        <x:f t="shared" si="10"/>
        <x:v>1.1159667715346154E-2</x:v>
      </x:c>
      <x:c r="M377" s="8">
        <x:v>3268</x:v>
      </x:c>
      <x:c r="N377" s="8">
        <x:v>282999</x:v>
      </x:c>
      <x:c r="O377" s="7"/>
      <x:c r="P377" s="9">
        <x:f t="shared" si="11"/>
        <x:v>1.1547743984961077E-2</x:v>
      </x:c>
      <x:c r="Q377" s="10" t="s">
        <x:v>264</x:v>
      </x:c>
      <x:c r="R377" s="5" t="s">
        <x:v>525</x:v>
      </x:c>
      <x:c r="S377" s="5" t="s">
        <x:v>357</x:v>
      </x:c>
      <x:c r="T377" s="5"/>
      <x:c r="U377" s="151"/>
      <x:c r="V377" s="151"/>
      <x:c r="W377" s="151"/>
      <x:c r="X377" s="151"/>
      <x:c r="Y377" s="151"/>
      <x:c r="Z377" s="151"/>
    </x:row>
    <x:row r="378" ht="22" customHeight="1">
      <x:c r="A378" s="5" t="s">
        <x:v>261</x:v>
      </x:c>
      <x:c r="B378" s="5" t="s">
        <x:v>262</x:v>
      </x:c>
      <x:c r="C378" s="6">
        <x:v>45291</x:v>
      </x:c>
      <x:c r="D378" s="5">
        <x:v>2023</x:v>
      </x:c>
      <x:c r="E378" s="5" t="s">
        <x:v>410</x:v>
      </x:c>
      <x:c r="F378" s="5" t="s">
        <x:v>0</x:v>
      </x:c>
      <x:c r="G378" s="5" t="s">
        <x:v>408</x:v>
      </x:c>
      <x:c r="H378" s="8">
        <x:v>26004</x:v>
      </x:c>
      <x:c r="I378" s="8">
        <x:v>279399</x:v>
      </x:c>
      <x:c r="J378" s="5" t="s">
        <x:v>428</x:v>
      </x:c>
      <x:c r="K378" s="7"/>
      <x:c r="L378" s="9">
        <x:f t="shared" si="10"/>
        <x:v>9.3071199252681647E-2</x:v>
      </x:c>
      <x:c r="M378" s="8">
        <x:v>26154</x:v>
      </x:c>
      <x:c r="N378" s="8">
        <x:v>282999</x:v>
      </x:c>
      <x:c r="O378" s="7"/>
      <x:c r="P378" s="9">
        <x:f t="shared" si="11"/>
        <x:v>9.2417287693596084E-2</x:v>
      </x:c>
      <x:c r="Q378" s="10" t="s">
        <x:v>264</x:v>
      </x:c>
      <x:c r="R378" s="5" t="s">
        <x:v>525</x:v>
      </x:c>
      <x:c r="S378" s="5" t="s">
        <x:v>357</x:v>
      </x:c>
      <x:c r="T378" s="5"/>
      <x:c r="U378" s="151"/>
      <x:c r="V378" s="151"/>
      <x:c r="W378" s="151"/>
      <x:c r="X378" s="151"/>
      <x:c r="Y378" s="151"/>
      <x:c r="Z378" s="151"/>
    </x:row>
    <x:row r="379" ht="22" customHeight="1">
      <x:c r="A379" s="5" t="s">
        <x:v>261</x:v>
      </x:c>
      <x:c r="B379" s="5" t="s">
        <x:v>262</x:v>
      </x:c>
      <x:c r="C379" s="6">
        <x:v>45291</x:v>
      </x:c>
      <x:c r="D379" s="5">
        <x:v>2023</x:v>
      </x:c>
      <x:c r="E379" s="5" t="s">
        <x:v>425</x:v>
      </x:c>
      <x:c r="F379" s="5" t="s">
        <x:v>0</x:v>
      </x:c>
      <x:c r="G379" s="5" t="s">
        <x:v>408</x:v>
      </x:c>
      <x:c r="H379" s="8">
        <x:v>26004</x:v>
      </x:c>
      <x:c r="I379" s="8">
        <x:v>279399</x:v>
      </x:c>
      <x:c r="J379" s="5" t="s">
        <x:v>428</x:v>
      </x:c>
      <x:c r="K379" s="7"/>
      <x:c r="L379" s="9">
        <x:f t="shared" si="10"/>
        <x:v>9.3071199252681647E-2</x:v>
      </x:c>
      <x:c r="M379" s="8">
        <x:v>26154</x:v>
      </x:c>
      <x:c r="N379" s="8">
        <x:v>282999</x:v>
      </x:c>
      <x:c r="O379" s="7"/>
      <x:c r="P379" s="9">
        <x:f t="shared" si="11"/>
        <x:v>9.2417287693596084E-2</x:v>
      </x:c>
      <x:c r="Q379" s="10" t="s">
        <x:v>264</x:v>
      </x:c>
      <x:c r="R379" s="5" t="s">
        <x:v>525</x:v>
      </x:c>
      <x:c r="S379" s="5" t="s">
        <x:v>357</x:v>
      </x:c>
      <x:c r="T379" s="5"/>
      <x:c r="U379" s="151"/>
      <x:c r="V379" s="151"/>
      <x:c r="W379" s="151"/>
      <x:c r="X379" s="151"/>
      <x:c r="Y379" s="151"/>
      <x:c r="Z379" s="151"/>
    </x:row>
    <x:row r="380" ht="22" customHeight="1">
      <x:c r="A380" s="5" t="s">
        <x:v>261</x:v>
      </x:c>
      <x:c r="B380" s="5" t="s">
        <x:v>262</x:v>
      </x:c>
      <x:c r="C380" s="6">
        <x:v>45291</x:v>
      </x:c>
      <x:c r="D380" s="5">
        <x:v>2023</x:v>
      </x:c>
      <x:c r="E380" s="5" t="s">
        <x:v>416</x:v>
      </x:c>
      <x:c r="F380" s="5" t="s">
        <x:v>0</x:v>
      </x:c>
      <x:c r="G380" s="5" t="s">
        <x:v>408</x:v>
      </x:c>
      <x:c r="H380" s="8">
        <x:v>15588</x:v>
      </x:c>
      <x:c r="I380" s="8">
        <x:v>279399</x:v>
      </x:c>
      <x:c r="J380" s="5" t="s">
        <x:v>428</x:v>
      </x:c>
      <x:c r="K380" s="7"/>
      <x:c r="L380" s="9">
        <x:f t="shared" si="10"/>
        <x:v>5.5791180354976218E-2</x:v>
      </x:c>
      <x:c r="M380" s="8">
        <x:v>15738</x:v>
      </x:c>
      <x:c r="N380" s="8">
        <x:v>282999</x:v>
      </x:c>
      <x:c r="O380" s="7"/>
      <x:c r="P380" s="9">
        <x:f t="shared" si="11"/>
        <x:v>5.5611503927575717E-2</x:v>
      </x:c>
      <x:c r="Q380" s="10" t="s">
        <x:v>264</x:v>
      </x:c>
      <x:c r="R380" s="5" t="s">
        <x:v>525</x:v>
      </x:c>
      <x:c r="S380" s="5" t="s">
        <x:v>357</x:v>
      </x:c>
      <x:c r="T380" s="5"/>
      <x:c r="U380" s="151"/>
      <x:c r="V380" s="151"/>
      <x:c r="W380" s="151"/>
      <x:c r="X380" s="151"/>
      <x:c r="Y380" s="151"/>
      <x:c r="Z380" s="151"/>
    </x:row>
    <x:row r="381" ht="22" customHeight="1">
      <x:c r="A381" s="5" t="s">
        <x:v>261</x:v>
      </x:c>
      <x:c r="B381" s="5" t="s">
        <x:v>262</x:v>
      </x:c>
      <x:c r="C381" s="6">
        <x:v>45291</x:v>
      </x:c>
      <x:c r="D381" s="5">
        <x:v>2023</x:v>
      </x:c>
      <x:c r="E381" s="5" t="s">
        <x:v>414</x:v>
      </x:c>
      <x:c r="F381" s="5" t="s">
        <x:v>0</x:v>
      </x:c>
      <x:c r="G381" s="5" t="s">
        <x:v>408</x:v>
      </x:c>
      <x:c r="H381" s="8">
        <x:v>15588</x:v>
      </x:c>
      <x:c r="I381" s="8">
        <x:v>279399</x:v>
      </x:c>
      <x:c r="J381" s="5" t="s">
        <x:v>428</x:v>
      </x:c>
      <x:c r="K381" s="7"/>
      <x:c r="L381" s="9">
        <x:f t="shared" si="10"/>
        <x:v>5.5791180354976218E-2</x:v>
      </x:c>
      <x:c r="M381" s="8">
        <x:v>15738</x:v>
      </x:c>
      <x:c r="N381" s="8">
        <x:v>282999</x:v>
      </x:c>
      <x:c r="O381" s="7"/>
      <x:c r="P381" s="9">
        <x:f t="shared" si="11"/>
        <x:v>5.5611503927575717E-2</x:v>
      </x:c>
      <x:c r="Q381" s="10" t="s">
        <x:v>264</x:v>
      </x:c>
      <x:c r="R381" s="5" t="s">
        <x:v>525</x:v>
      </x:c>
      <x:c r="S381" s="5" t="s">
        <x:v>357</x:v>
      </x:c>
      <x:c r="T381" s="5"/>
      <x:c r="U381" s="151"/>
      <x:c r="V381" s="151"/>
      <x:c r="W381" s="151"/>
      <x:c r="X381" s="151"/>
      <x:c r="Y381" s="151"/>
      <x:c r="Z381" s="151"/>
    </x:row>
    <x:row r="382" ht="22" customHeight="1">
      <x:c r="A382" s="5" t="s">
        <x:v>261</x:v>
      </x:c>
      <x:c r="B382" s="5" t="s">
        <x:v>262</x:v>
      </x:c>
      <x:c r="C382" s="6">
        <x:v>45291</x:v>
      </x:c>
      <x:c r="D382" s="5">
        <x:v>2023</x:v>
      </x:c>
      <x:c r="E382" s="5" t="s">
        <x:v>438</x:v>
      </x:c>
      <x:c r="F382" s="5" t="s">
        <x:v>0</x:v>
      </x:c>
      <x:c r="G382" s="5" t="s">
        <x:v>408</x:v>
      </x:c>
      <x:c r="H382" s="8">
        <x:v>15588</x:v>
      </x:c>
      <x:c r="I382" s="8">
        <x:v>279399</x:v>
      </x:c>
      <x:c r="J382" s="5" t="s">
        <x:v>428</x:v>
      </x:c>
      <x:c r="K382" s="7"/>
      <x:c r="L382" s="9">
        <x:f t="shared" si="10"/>
        <x:v>5.5791180354976218E-2</x:v>
      </x:c>
      <x:c r="M382" s="8">
        <x:v>15738</x:v>
      </x:c>
      <x:c r="N382" s="8">
        <x:v>282999</x:v>
      </x:c>
      <x:c r="O382" s="7"/>
      <x:c r="P382" s="9">
        <x:f t="shared" si="11"/>
        <x:v>5.5611503927575717E-2</x:v>
      </x:c>
      <x:c r="Q382" s="10" t="s">
        <x:v>264</x:v>
      </x:c>
      <x:c r="R382" s="5" t="s">
        <x:v>525</x:v>
      </x:c>
      <x:c r="S382" s="5" t="s">
        <x:v>357</x:v>
      </x:c>
      <x:c r="T382" s="5"/>
      <x:c r="U382" s="151"/>
      <x:c r="V382" s="151"/>
      <x:c r="W382" s="151"/>
      <x:c r="X382" s="151"/>
      <x:c r="Y382" s="151"/>
      <x:c r="Z382" s="151"/>
    </x:row>
    <x:row r="383" ht="22" customHeight="1">
      <x:c r="A383" s="5" t="s">
        <x:v>261</x:v>
      </x:c>
      <x:c r="B383" s="5" t="s">
        <x:v>262</x:v>
      </x:c>
      <x:c r="C383" s="6">
        <x:v>45291</x:v>
      </x:c>
      <x:c r="D383" s="5">
        <x:v>2023</x:v>
      </x:c>
      <x:c r="E383" s="5" t="s">
        <x:v>550</x:v>
      </x:c>
      <x:c r="F383" s="5" t="s">
        <x:v>551</x:v>
      </x:c>
      <x:c r="G383" s="5" t="s">
        <x:v>552</x:v>
      </x:c>
      <x:c r="H383" s="8"/>
      <x:c r="I383" s="8"/>
      <x:c r="J383" s="5" t="s">
        <x:v>345</x:v>
      </x:c>
      <x:c r="K383" s="7"/>
      <x:c r="L383" s="9" t="str">
        <x:f t="shared" si="10"/>
      </x:c>
      <x:c r="M383" s="8">
        <x:v>2737</x:v>
      </x:c>
      <x:c r="N383" s="8">
        <x:v>282999</x:v>
      </x:c>
      <x:c r="O383" s="7"/>
      <x:c r="P383" s="9">
        <x:f t="shared" si="11"/>
        <x:v>9.6714122664744405E-3</x:v>
      </x:c>
      <x:c r="Q383" s="10" t="s">
        <x:v>264</x:v>
      </x:c>
      <x:c r="R383" s="5" t="s">
        <x:v>525</x:v>
      </x:c>
      <x:c r="S383" s="5" t="s">
        <x:v>357</x:v>
      </x:c>
      <x:c r="T383" s="5" t="s">
        <x:v>553</x:v>
      </x:c>
      <x:c r="U383" s="151"/>
      <x:c r="V383" s="151"/>
      <x:c r="W383" s="151"/>
      <x:c r="X383" s="151"/>
      <x:c r="Y383" s="151"/>
      <x:c r="Z383" s="151"/>
    </x:row>
    <x:row r="384" ht="22" customHeight="1">
      <x:c r="A384" s="5" t="s">
        <x:v>261</x:v>
      </x:c>
      <x:c r="B384" s="5" t="s">
        <x:v>262</x:v>
      </x:c>
      <x:c r="C384" s="6">
        <x:v>45657</x:v>
      </x:c>
      <x:c r="D384" s="5">
        <x:v>2024</x:v>
      </x:c>
      <x:c r="E384" s="5" t="s">
        <x:v>524</x:v>
      </x:c>
      <x:c r="F384" s="5" t="s">
        <x:v>0</x:v>
      </x:c>
      <x:c r="G384" s="5" t="s">
        <x:v>354</x:v>
      </x:c>
      <x:c r="H384" s="8">
        <x:v>48354</x:v>
      </x:c>
      <x:c r="I384" s="8">
        <x:v>279399</x:v>
      </x:c>
      <x:c r="J384" s="5" t="s">
        <x:v>428</x:v>
      </x:c>
      <x:c r="K384" s="7"/>
      <x:c r="L384" s="9">
        <x:f t="shared" si="10"/>
        <x:v>0.17306432735979727</x:v>
      </x:c>
      <x:c r="M384" s="8">
        <x:v>48504</x:v>
      </x:c>
      <x:c r="N384" s="8">
        <x:v>282999</x:v>
      </x:c>
      <x:c r="O384" s="7"/>
      <x:c r="P384" s="9">
        <x:f t="shared" si="11"/>
        <x:v>0.17139283177679074</x:v>
      </x:c>
      <x:c r="Q384" s="10" t="s">
        <x:v>264</x:v>
      </x:c>
      <x:c r="R384" s="5" t="s">
        <x:v>525</x:v>
      </x:c>
      <x:c r="S384" s="5" t="s">
        <x:v>357</x:v>
      </x:c>
      <x:c r="T384" s="5"/>
      <x:c r="U384" s="151"/>
      <x:c r="V384" s="151"/>
      <x:c r="W384" s="151"/>
      <x:c r="X384" s="151"/>
      <x:c r="Y384" s="151"/>
      <x:c r="Z384" s="151"/>
    </x:row>
    <x:row r="385" ht="22" customHeight="1">
      <x:c r="A385" s="5" t="s">
        <x:v>261</x:v>
      </x:c>
      <x:c r="B385" s="5" t="s">
        <x:v>262</x:v>
      </x:c>
      <x:c r="C385" s="6">
        <x:v>45657</x:v>
      </x:c>
      <x:c r="D385" s="5">
        <x:v>2024</x:v>
      </x:c>
      <x:c r="E385" s="5" t="s">
        <x:v>526</x:v>
      </x:c>
      <x:c r="F385" s="5" t="s">
        <x:v>0</x:v>
      </x:c>
      <x:c r="G385" s="5" t="s">
        <x:v>354</x:v>
      </x:c>
      <x:c r="H385" s="8">
        <x:v>48354</x:v>
      </x:c>
      <x:c r="I385" s="8">
        <x:v>279399</x:v>
      </x:c>
      <x:c r="J385" s="5" t="s">
        <x:v>428</x:v>
      </x:c>
      <x:c r="K385" s="7"/>
      <x:c r="L385" s="9">
        <x:f t="shared" si="10"/>
        <x:v>0.17306432735979727</x:v>
      </x:c>
      <x:c r="M385" s="8">
        <x:v>48504</x:v>
      </x:c>
      <x:c r="N385" s="8">
        <x:v>282999</x:v>
      </x:c>
      <x:c r="O385" s="7"/>
      <x:c r="P385" s="9">
        <x:f t="shared" si="11"/>
        <x:v>0.17139283177679074</x:v>
      </x:c>
      <x:c r="Q385" s="10" t="s">
        <x:v>264</x:v>
      </x:c>
      <x:c r="R385" s="5" t="s">
        <x:v>525</x:v>
      </x:c>
      <x:c r="S385" s="5" t="s">
        <x:v>357</x:v>
      </x:c>
      <x:c r="T385" s="5"/>
      <x:c r="U385" s="151"/>
      <x:c r="V385" s="151"/>
      <x:c r="W385" s="151"/>
      <x:c r="X385" s="151"/>
      <x:c r="Y385" s="151"/>
      <x:c r="Z385" s="151"/>
    </x:row>
    <x:row r="386" ht="22" customHeight="1">
      <x:c r="A386" s="5" t="s">
        <x:v>261</x:v>
      </x:c>
      <x:c r="B386" s="5" t="s">
        <x:v>262</x:v>
      </x:c>
      <x:c r="C386" s="6">
        <x:v>45657</x:v>
      </x:c>
      <x:c r="D386" s="5">
        <x:v>2024</x:v>
      </x:c>
      <x:c r="E386" s="5" t="s">
        <x:v>527</x:v>
      </x:c>
      <x:c r="F386" s="5" t="s">
        <x:v>0</x:v>
      </x:c>
      <x:c r="G386" s="5" t="s">
        <x:v>354</x:v>
      </x:c>
      <x:c r="H386" s="8">
        <x:v>14258</x:v>
      </x:c>
      <x:c r="I386" s="8">
        <x:v>279399</x:v>
      </x:c>
      <x:c r="J386" s="5" t="s">
        <x:v>428</x:v>
      </x:c>
      <x:c r="K386" s="7"/>
      <x:c r="L386" s="9">
        <x:f t="shared" si="10"/>
        <x:v>5.1030962888199312E-2</x:v>
      </x:c>
      <x:c r="M386" s="8">
        <x:v>14408</x:v>
      </x:c>
      <x:c r="N386" s="8">
        <x:v>282999</x:v>
      </x:c>
      <x:c r="O386" s="7"/>
      <x:c r="P386" s="9">
        <x:f t="shared" si="11"/>
        <x:v>5.0911840677882257E-2</x:v>
      </x:c>
      <x:c r="Q386" s="10" t="s">
        <x:v>264</x:v>
      </x:c>
      <x:c r="R386" s="5" t="s">
        <x:v>525</x:v>
      </x:c>
      <x:c r="S386" s="5" t="s">
        <x:v>357</x:v>
      </x:c>
      <x:c r="T386" s="5"/>
      <x:c r="U386" s="151"/>
      <x:c r="V386" s="151"/>
      <x:c r="W386" s="151"/>
      <x:c r="X386" s="151"/>
      <x:c r="Y386" s="151"/>
      <x:c r="Z386" s="151"/>
    </x:row>
    <x:row r="387" ht="22" customHeight="1">
      <x:c r="A387" s="5" t="s">
        <x:v>261</x:v>
      </x:c>
      <x:c r="B387" s="5" t="s">
        <x:v>262</x:v>
      </x:c>
      <x:c r="C387" s="6">
        <x:v>45657</x:v>
      </x:c>
      <x:c r="D387" s="5">
        <x:v>2024</x:v>
      </x:c>
      <x:c r="E387" s="5" t="s">
        <x:v>528</x:v>
      </x:c>
      <x:c r="F387" s="5" t="s">
        <x:v>0</x:v>
      </x:c>
      <x:c r="G387" s="5" t="s">
        <x:v>354</x:v>
      </x:c>
      <x:c r="H387" s="8">
        <x:v>10417</x:v>
      </x:c>
      <x:c r="I387" s="8">
        <x:v>279399</x:v>
      </x:c>
      <x:c r="J387" s="5" t="s">
        <x:v>428</x:v>
      </x:c>
      <x:c r="K387" s="7"/>
      <x:c r="L387" s="9">
        <x:f t="shared" si="10"/>
        <x:v>3.7283598008582705E-2</x:v>
      </x:c>
      <x:c r="M387" s="8">
        <x:v>10567</x:v>
      </x:c>
      <x:c r="N387" s="8">
        <x:v>282999</x:v>
      </x:c>
      <x:c r="O387" s="7"/>
      <x:c r="P387" s="9">
        <x:f t="shared" si="11"/>
        <x:v>3.7339354556023163E-2</x:v>
      </x:c>
      <x:c r="Q387" s="10" t="s">
        <x:v>264</x:v>
      </x:c>
      <x:c r="R387" s="5" t="s">
        <x:v>525</x:v>
      </x:c>
      <x:c r="S387" s="5" t="s">
        <x:v>357</x:v>
      </x:c>
      <x:c r="T387" s="5"/>
      <x:c r="U387" s="151"/>
      <x:c r="V387" s="151"/>
      <x:c r="W387" s="151"/>
      <x:c r="X387" s="151"/>
      <x:c r="Y387" s="151"/>
      <x:c r="Z387" s="151"/>
    </x:row>
    <x:row r="388" ht="22" customHeight="1">
      <x:c r="A388" s="5" t="s">
        <x:v>261</x:v>
      </x:c>
      <x:c r="B388" s="5" t="s">
        <x:v>262</x:v>
      </x:c>
      <x:c r="C388" s="6">
        <x:v>45657</x:v>
      </x:c>
      <x:c r="D388" s="5">
        <x:v>2024</x:v>
      </x:c>
      <x:c r="E388" s="5" t="s">
        <x:v>529</x:v>
      </x:c>
      <x:c r="F388" s="5" t="s">
        <x:v>0</x:v>
      </x:c>
      <x:c r="G388" s="5" t="s">
        <x:v>354</x:v>
      </x:c>
      <x:c r="H388" s="8">
        <x:v>7795</x:v>
      </x:c>
      <x:c r="I388" s="8">
        <x:v>279399</x:v>
      </x:c>
      <x:c r="J388" s="5" t="s">
        <x:v>428</x:v>
      </x:c>
      <x:c r="K388" s="7"/>
      <x:c r="L388" s="9">
        <x:f t="shared" si="10"/>
        <x:v>2.7899169288365385E-2</x:v>
      </x:c>
      <x:c r="M388" s="8">
        <x:v>7945</x:v>
      </x:c>
      <x:c r="N388" s="8">
        <x:v>282999</x:v>
      </x:c>
      <x:c r="O388" s="7"/>
      <x:c r="P388" s="9">
        <x:f t="shared" si="11"/>
        <x:v>2.8074304149484627E-2</x:v>
      </x:c>
      <x:c r="Q388" s="10" t="s">
        <x:v>264</x:v>
      </x:c>
      <x:c r="R388" s="5" t="s">
        <x:v>525</x:v>
      </x:c>
      <x:c r="S388" s="5" t="s">
        <x:v>357</x:v>
      </x:c>
      <x:c r="T388" s="5"/>
      <x:c r="U388" s="151"/>
      <x:c r="V388" s="151"/>
      <x:c r="W388" s="151"/>
      <x:c r="X388" s="151"/>
      <x:c r="Y388" s="151"/>
      <x:c r="Z388" s="151"/>
    </x:row>
    <x:row r="389" ht="22" customHeight="1">
      <x:c r="A389" s="5" t="s">
        <x:v>261</x:v>
      </x:c>
      <x:c r="B389" s="5" t="s">
        <x:v>262</x:v>
      </x:c>
      <x:c r="C389" s="6">
        <x:v>45657</x:v>
      </x:c>
      <x:c r="D389" s="5">
        <x:v>2024</x:v>
      </x:c>
      <x:c r="E389" s="5" t="s">
        <x:v>530</x:v>
      </x:c>
      <x:c r="F389" s="5" t="s">
        <x:v>0</x:v>
      </x:c>
      <x:c r="G389" s="5" t="s">
        <x:v>354</x:v>
      </x:c>
      <x:c r="H389" s="8">
        <x:v>7795</x:v>
      </x:c>
      <x:c r="I389" s="8">
        <x:v>279399</x:v>
      </x:c>
      <x:c r="J389" s="5" t="s">
        <x:v>428</x:v>
      </x:c>
      <x:c r="K389" s="7"/>
      <x:c r="L389" s="9">
        <x:f t="shared" si="10"/>
        <x:v>2.7899169288365385E-2</x:v>
      </x:c>
      <x:c r="M389" s="8">
        <x:v>7945</x:v>
      </x:c>
      <x:c r="N389" s="8">
        <x:v>282999</x:v>
      </x:c>
      <x:c r="O389" s="7"/>
      <x:c r="P389" s="9">
        <x:f t="shared" si="11"/>
        <x:v>2.8074304149484627E-2</x:v>
      </x:c>
      <x:c r="Q389" s="10" t="s">
        <x:v>264</x:v>
      </x:c>
      <x:c r="R389" s="5" t="s">
        <x:v>525</x:v>
      </x:c>
      <x:c r="S389" s="5" t="s">
        <x:v>357</x:v>
      </x:c>
      <x:c r="T389" s="5"/>
      <x:c r="U389" s="151"/>
      <x:c r="V389" s="151"/>
      <x:c r="W389" s="151"/>
      <x:c r="X389" s="151"/>
      <x:c r="Y389" s="151"/>
      <x:c r="Z389" s="151"/>
    </x:row>
    <x:row r="390" ht="22" customHeight="1">
      <x:c r="A390" s="5" t="s">
        <x:v>261</x:v>
      </x:c>
      <x:c r="B390" s="5" t="s">
        <x:v>262</x:v>
      </x:c>
      <x:c r="C390" s="6">
        <x:v>45657</x:v>
      </x:c>
      <x:c r="D390" s="5">
        <x:v>2024</x:v>
      </x:c>
      <x:c r="E390" s="5" t="s">
        <x:v>531</x:v>
      </x:c>
      <x:c r="F390" s="5" t="s">
        <x:v>0</x:v>
      </x:c>
      <x:c r="G390" s="5" t="s">
        <x:v>354</x:v>
      </x:c>
      <x:c r="H390" s="8">
        <x:v>7795</x:v>
      </x:c>
      <x:c r="I390" s="8">
        <x:v>279399</x:v>
      </x:c>
      <x:c r="J390" s="5" t="s">
        <x:v>428</x:v>
      </x:c>
      <x:c r="K390" s="7"/>
      <x:c r="L390" s="9" t="n">
        <x:f t="shared" ref="L390:L453" si="12">IF(AND(H390&lt;&gt;"",I390&lt;&gt;""),H390/I390,IF(K390&lt;&gt;"",K390,""))</x:f>
        <x:v>0.027899169288365385</x:v>
      </x:c>
      <x:c r="M390" s="8">
        <x:v>7945</x:v>
      </x:c>
      <x:c r="N390" s="8">
        <x:v>282999</x:v>
      </x:c>
      <x:c r="O390" s="7"/>
      <x:c r="P390" s="9" t="n">
        <x:f t="shared" ref="P390:P453" si="13">IF(AND(M390&lt;&gt;"",N390&lt;&gt;""),M390/N390,IF(O390&lt;&gt;"",O390,""))</x:f>
        <x:v>0.028074304149484627</x:v>
      </x:c>
      <x:c r="Q390" s="10" t="s">
        <x:v>264</x:v>
      </x:c>
      <x:c r="R390" s="5" t="s">
        <x:v>525</x:v>
      </x:c>
      <x:c r="S390" s="5" t="s">
        <x:v>357</x:v>
      </x:c>
      <x:c r="T390" s="5"/>
      <x:c r="U390" s="151"/>
      <x:c r="V390" s="151"/>
      <x:c r="W390" s="151"/>
      <x:c r="X390" s="151"/>
      <x:c r="Y390" s="151"/>
      <x:c r="Z390" s="151"/>
    </x:row>
    <x:row r="391" ht="22" customHeight="1">
      <x:c r="A391" s="5" t="s">
        <x:v>261</x:v>
      </x:c>
      <x:c r="B391" s="5" t="s">
        <x:v>262</x:v>
      </x:c>
      <x:c r="C391" s="6">
        <x:v>45657</x:v>
      </x:c>
      <x:c r="D391" s="5">
        <x:v>2024</x:v>
      </x:c>
      <x:c r="E391" s="5" t="s">
        <x:v>532</x:v>
      </x:c>
      <x:c r="F391" s="5" t="s">
        <x:v>0</x:v>
      </x:c>
      <x:c r="G391" s="5" t="s">
        <x:v>354</x:v>
      </x:c>
      <x:c r="H391" s="8">
        <x:v>9074</x:v>
      </x:c>
      <x:c r="I391" s="8">
        <x:v>279399</x:v>
      </x:c>
      <x:c r="J391" s="5" t="s">
        <x:v>428</x:v>
      </x:c>
      <x:c r="K391" s="7"/>
      <x:c r="L391" s="9">
        <x:f t="shared" si="12"/>
        <x:v>3.2476852100401216E-2</x:v>
      </x:c>
      <x:c r="M391" s="8">
        <x:v>9224</x:v>
      </x:c>
      <x:c r="N391" s="8">
        <x:v>282999</x:v>
      </x:c>
      <x:c r="O391" s="7"/>
      <x:c r="P391" s="9">
        <x:f t="shared" si="13"/>
        <x:v>3.2593754748249992E-2</x:v>
      </x:c>
      <x:c r="Q391" s="10" t="s">
        <x:v>264</x:v>
      </x:c>
      <x:c r="R391" s="5" t="s">
        <x:v>525</x:v>
      </x:c>
      <x:c r="S391" s="5" t="s">
        <x:v>357</x:v>
      </x:c>
      <x:c r="T391" s="5"/>
      <x:c r="U391" s="151"/>
      <x:c r="V391" s="151"/>
      <x:c r="W391" s="151"/>
      <x:c r="X391" s="151"/>
      <x:c r="Y391" s="151"/>
      <x:c r="Z391" s="151"/>
    </x:row>
    <x:row r="392" ht="22" customHeight="1">
      <x:c r="A392" s="5" t="s">
        <x:v>261</x:v>
      </x:c>
      <x:c r="B392" s="5" t="s">
        <x:v>262</x:v>
      </x:c>
      <x:c r="C392" s="6">
        <x:v>45657</x:v>
      </x:c>
      <x:c r="D392" s="5">
        <x:v>2024</x:v>
      </x:c>
      <x:c r="E392" s="5" t="s">
        <x:v>533</x:v>
      </x:c>
      <x:c r="F392" s="5" t="s">
        <x:v>0</x:v>
      </x:c>
      <x:c r="G392" s="5" t="s">
        <x:v>354</x:v>
      </x:c>
      <x:c r="H392" s="8">
        <x:v>4166</x:v>
      </x:c>
      <x:c r="I392" s="8">
        <x:v>279399</x:v>
      </x:c>
      <x:c r="J392" s="5" t="s">
        <x:v>428</x:v>
      </x:c>
      <x:c r="K392" s="7"/>
      <x:c r="L392" s="9">
        <x:f t="shared" si="12"/>
        <x:v>1.4910575914731262E-2</x:v>
      </x:c>
      <x:c r="M392" s="8">
        <x:v>4316</x:v>
      </x:c>
      <x:c r="N392" s="8">
        <x:v>282999</x:v>
      </x:c>
      <x:c r="O392" s="7"/>
      <x:c r="P392" s="9">
        <x:f t="shared" si="13"/>
        <x:v>1.5250937282463895E-2</x:v>
      </x:c>
      <x:c r="Q392" s="10" t="s">
        <x:v>264</x:v>
      </x:c>
      <x:c r="R392" s="5" t="s">
        <x:v>525</x:v>
      </x:c>
      <x:c r="S392" s="5" t="s">
        <x:v>357</x:v>
      </x:c>
      <x:c r="T392" s="5"/>
      <x:c r="U392" s="151"/>
      <x:c r="V392" s="151"/>
      <x:c r="W392" s="151"/>
      <x:c r="X392" s="151"/>
      <x:c r="Y392" s="151"/>
      <x:c r="Z392" s="151"/>
    </x:row>
    <x:row r="393" ht="22" customHeight="1">
      <x:c r="A393" s="5" t="s">
        <x:v>261</x:v>
      </x:c>
      <x:c r="B393" s="5" t="s">
        <x:v>262</x:v>
      </x:c>
      <x:c r="C393" s="6">
        <x:v>45657</x:v>
      </x:c>
      <x:c r="D393" s="5">
        <x:v>2024</x:v>
      </x:c>
      <x:c r="E393" s="5" t="s">
        <x:v>534</x:v>
      </x:c>
      <x:c r="F393" s="5" t="s">
        <x:v>0</x:v>
      </x:c>
      <x:c r="G393" s="5" t="s">
        <x:v>354</x:v>
      </x:c>
      <x:c r="H393" s="8">
        <x:v>2148</x:v>
      </x:c>
      <x:c r="I393" s="8">
        <x:v>279399</x:v>
      </x:c>
      <x:c r="J393" s="5" t="s">
        <x:v>428</x:v>
      </x:c>
      <x:c r="K393" s="7"/>
      <x:c r="L393" s="9">
        <x:f t="shared" si="12"/>
        <x:v>7.6879301643885626E-3</x:v>
      </x:c>
      <x:c r="M393" s="8">
        <x:v>2298</x:v>
      </x:c>
      <x:c r="N393" s="8">
        <x:v>282999</x:v>
      </x:c>
      <x:c r="O393" s="7"/>
      <x:c r="P393" s="9">
        <x:f t="shared" si="13"/>
        <x:v>8.1201700359365223E-3</x:v>
      </x:c>
      <x:c r="Q393" s="10" t="s">
        <x:v>264</x:v>
      </x:c>
      <x:c r="R393" s="5" t="s">
        <x:v>525</x:v>
      </x:c>
      <x:c r="S393" s="5" t="s">
        <x:v>357</x:v>
      </x:c>
      <x:c r="T393" s="5"/>
      <x:c r="U393" s="151"/>
      <x:c r="V393" s="151"/>
      <x:c r="W393" s="151"/>
      <x:c r="X393" s="151"/>
      <x:c r="Y393" s="151"/>
      <x:c r="Z393" s="151"/>
    </x:row>
    <x:row r="394" ht="22" customHeight="1">
      <x:c r="A394" s="5" t="s">
        <x:v>261</x:v>
      </x:c>
      <x:c r="B394" s="5" t="s">
        <x:v>262</x:v>
      </x:c>
      <x:c r="C394" s="6">
        <x:v>45657</x:v>
      </x:c>
      <x:c r="D394" s="5">
        <x:v>2024</x:v>
      </x:c>
      <x:c r="E394" s="5" t="s">
        <x:v>535</x:v>
      </x:c>
      <x:c r="F394" s="5" t="s">
        <x:v>0</x:v>
      </x:c>
      <x:c r="G394" s="5" t="s">
        <x:v>354</x:v>
      </x:c>
      <x:c r="H394" s="8">
        <x:v>2148</x:v>
      </x:c>
      <x:c r="I394" s="8">
        <x:v>279399</x:v>
      </x:c>
      <x:c r="J394" s="5" t="s">
        <x:v>428</x:v>
      </x:c>
      <x:c r="K394" s="7"/>
      <x:c r="L394" s="9">
        <x:f t="shared" si="12"/>
        <x:v>7.6879301643885626E-3</x:v>
      </x:c>
      <x:c r="M394" s="8">
        <x:v>2298</x:v>
      </x:c>
      <x:c r="N394" s="8">
        <x:v>282999</x:v>
      </x:c>
      <x:c r="O394" s="7"/>
      <x:c r="P394" s="9">
        <x:f t="shared" si="13"/>
        <x:v>8.1201700359365223E-3</x:v>
      </x:c>
      <x:c r="Q394" s="10" t="s">
        <x:v>264</x:v>
      </x:c>
      <x:c r="R394" s="5" t="s">
        <x:v>525</x:v>
      </x:c>
      <x:c r="S394" s="5" t="s">
        <x:v>357</x:v>
      </x:c>
      <x:c r="T394" s="5"/>
      <x:c r="U394" s="151"/>
      <x:c r="V394" s="151"/>
      <x:c r="W394" s="151"/>
      <x:c r="X394" s="151"/>
      <x:c r="Y394" s="151"/>
      <x:c r="Z394" s="151"/>
    </x:row>
    <x:row r="395" ht="22" customHeight="1">
      <x:c r="A395" s="5" t="s">
        <x:v>261</x:v>
      </x:c>
      <x:c r="B395" s="5" t="s">
        <x:v>262</x:v>
      </x:c>
      <x:c r="C395" s="6">
        <x:v>45657</x:v>
      </x:c>
      <x:c r="D395" s="5">
        <x:v>2024</x:v>
      </x:c>
      <x:c r="E395" s="5" t="s">
        <x:v>536</x:v>
      </x:c>
      <x:c r="F395" s="5" t="s">
        <x:v>0</x:v>
      </x:c>
      <x:c r="G395" s="5" t="s">
        <x:v>354</x:v>
      </x:c>
      <x:c r="H395" s="8">
        <x:v>1839</x:v>
      </x:c>
      <x:c r="I395" s="8">
        <x:v>279399</x:v>
      </x:c>
      <x:c r="J395" s="5" t="s">
        <x:v>428</x:v>
      </x:c>
      <x:c r="K395" s="7"/>
      <x:c r="L395" s="9">
        <x:f t="shared" si="12"/>
        <x:v>6.5819849033103197E-3</x:v>
      </x:c>
      <x:c r="M395" s="8">
        <x:v>1989</x:v>
      </x:c>
      <x:c r="N395" s="8">
        <x:v>282999</x:v>
      </x:c>
      <x:c r="O395" s="7"/>
      <x:c r="P395" s="9">
        <x:f t="shared" si="13"/>
        <x:v>7.0282933861957105E-3</x:v>
      </x:c>
      <x:c r="Q395" s="10" t="s">
        <x:v>264</x:v>
      </x:c>
      <x:c r="R395" s="5" t="s">
        <x:v>525</x:v>
      </x:c>
      <x:c r="S395" s="5" t="s">
        <x:v>357</x:v>
      </x:c>
      <x:c r="T395" s="5"/>
      <x:c r="U395" s="151"/>
      <x:c r="V395" s="151"/>
      <x:c r="W395" s="151"/>
      <x:c r="X395" s="151"/>
      <x:c r="Y395" s="151"/>
      <x:c r="Z395" s="151"/>
    </x:row>
    <x:row r="396" ht="22" customHeight="1">
      <x:c r="A396" s="5" t="s">
        <x:v>261</x:v>
      </x:c>
      <x:c r="B396" s="5" t="s">
        <x:v>262</x:v>
      </x:c>
      <x:c r="C396" s="6">
        <x:v>45657</x:v>
      </x:c>
      <x:c r="D396" s="5">
        <x:v>2024</x:v>
      </x:c>
      <x:c r="E396" s="5" t="s">
        <x:v>537</x:v>
      </x:c>
      <x:c r="F396" s="5" t="s">
        <x:v>0</x:v>
      </x:c>
      <x:c r="G396" s="5" t="s">
        <x:v>354</x:v>
      </x:c>
      <x:c r="H396" s="8">
        <x:v>2148</x:v>
      </x:c>
      <x:c r="I396" s="8">
        <x:v>279399</x:v>
      </x:c>
      <x:c r="J396" s="5" t="s">
        <x:v>428</x:v>
      </x:c>
      <x:c r="K396" s="7"/>
      <x:c r="L396" s="9">
        <x:f t="shared" si="12"/>
        <x:v>7.6879301643885626E-3</x:v>
      </x:c>
      <x:c r="M396" s="8">
        <x:v>2298</x:v>
      </x:c>
      <x:c r="N396" s="8">
        <x:v>282999</x:v>
      </x:c>
      <x:c r="O396" s="7"/>
      <x:c r="P396" s="9">
        <x:f t="shared" si="13"/>
        <x:v>8.1201700359365223E-3</x:v>
      </x:c>
      <x:c r="Q396" s="10" t="s">
        <x:v>264</x:v>
      </x:c>
      <x:c r="R396" s="5" t="s">
        <x:v>525</x:v>
      </x:c>
      <x:c r="S396" s="5" t="s">
        <x:v>357</x:v>
      </x:c>
      <x:c r="T396" s="5"/>
      <x:c r="U396" s="151"/>
      <x:c r="V396" s="151"/>
      <x:c r="W396" s="151"/>
      <x:c r="X396" s="151"/>
      <x:c r="Y396" s="151"/>
      <x:c r="Z396" s="151"/>
    </x:row>
    <x:row r="397" ht="22" customHeight="1">
      <x:c r="A397" s="5" t="s">
        <x:v>261</x:v>
      </x:c>
      <x:c r="B397" s="5" t="s">
        <x:v>262</x:v>
      </x:c>
      <x:c r="C397" s="6">
        <x:v>45657</x:v>
      </x:c>
      <x:c r="D397" s="5">
        <x:v>2024</x:v>
      </x:c>
      <x:c r="E397" s="5" t="s">
        <x:v>538</x:v>
      </x:c>
      <x:c r="F397" s="5" t="s">
        <x:v>0</x:v>
      </x:c>
      <x:c r="G397" s="5" t="s">
        <x:v>354</x:v>
      </x:c>
      <x:c r="H397" s="8">
        <x:v>2148</x:v>
      </x:c>
      <x:c r="I397" s="8">
        <x:v>279399</x:v>
      </x:c>
      <x:c r="J397" s="5" t="s">
        <x:v>428</x:v>
      </x:c>
      <x:c r="K397" s="7"/>
      <x:c r="L397" s="9">
        <x:f t="shared" si="12"/>
        <x:v>7.6879301643885626E-3</x:v>
      </x:c>
      <x:c r="M397" s="8">
        <x:v>2298</x:v>
      </x:c>
      <x:c r="N397" s="8">
        <x:v>282999</x:v>
      </x:c>
      <x:c r="O397" s="7"/>
      <x:c r="P397" s="9">
        <x:f t="shared" si="13"/>
        <x:v>8.1201700359365223E-3</x:v>
      </x:c>
      <x:c r="Q397" s="10" t="s">
        <x:v>264</x:v>
      </x:c>
      <x:c r="R397" s="5" t="s">
        <x:v>525</x:v>
      </x:c>
      <x:c r="S397" s="5" t="s">
        <x:v>357</x:v>
      </x:c>
      <x:c r="T397" s="5"/>
      <x:c r="U397" s="151"/>
      <x:c r="V397" s="151"/>
      <x:c r="W397" s="151"/>
      <x:c r="X397" s="151"/>
      <x:c r="Y397" s="151"/>
      <x:c r="Z397" s="151"/>
    </x:row>
    <x:row r="398" ht="22" customHeight="1">
      <x:c r="A398" s="5" t="s">
        <x:v>261</x:v>
      </x:c>
      <x:c r="B398" s="5" t="s">
        <x:v>262</x:v>
      </x:c>
      <x:c r="C398" s="6">
        <x:v>45657</x:v>
      </x:c>
      <x:c r="D398" s="5">
        <x:v>2024</x:v>
      </x:c>
      <x:c r="E398" s="5" t="s">
        <x:v>539</x:v>
      </x:c>
      <x:c r="F398" s="5" t="s">
        <x:v>0</x:v>
      </x:c>
      <x:c r="G398" s="5" t="s">
        <x:v>354</x:v>
      </x:c>
      <x:c r="H398" s="8">
        <x:v>2148</x:v>
      </x:c>
      <x:c r="I398" s="8">
        <x:v>279399</x:v>
      </x:c>
      <x:c r="J398" s="5" t="s">
        <x:v>428</x:v>
      </x:c>
      <x:c r="K398" s="7"/>
      <x:c r="L398" s="9">
        <x:f t="shared" si="12"/>
        <x:v>7.6879301643885626E-3</x:v>
      </x:c>
      <x:c r="M398" s="8">
        <x:v>2298</x:v>
      </x:c>
      <x:c r="N398" s="8">
        <x:v>282999</x:v>
      </x:c>
      <x:c r="O398" s="7"/>
      <x:c r="P398" s="9">
        <x:f t="shared" si="13"/>
        <x:v>8.1201700359365223E-3</x:v>
      </x:c>
      <x:c r="Q398" s="10" t="s">
        <x:v>264</x:v>
      </x:c>
      <x:c r="R398" s="5" t="s">
        <x:v>525</x:v>
      </x:c>
      <x:c r="S398" s="5" t="s">
        <x:v>357</x:v>
      </x:c>
      <x:c r="T398" s="5"/>
      <x:c r="U398" s="151"/>
      <x:c r="V398" s="151"/>
      <x:c r="W398" s="151"/>
      <x:c r="X398" s="151"/>
      <x:c r="Y398" s="151"/>
      <x:c r="Z398" s="151"/>
    </x:row>
    <x:row r="399" ht="22" customHeight="1">
      <x:c r="A399" s="5" t="s">
        <x:v>261</x:v>
      </x:c>
      <x:c r="B399" s="5" t="s">
        <x:v>262</x:v>
      </x:c>
      <x:c r="C399" s="6">
        <x:v>45657</x:v>
      </x:c>
      <x:c r="D399" s="5">
        <x:v>2024</x:v>
      </x:c>
      <x:c r="E399" s="5" t="s">
        <x:v>540</x:v>
      </x:c>
      <x:c r="F399" s="5" t="s">
        <x:v>0</x:v>
      </x:c>
      <x:c r="G399" s="5" t="s">
        <x:v>354</x:v>
      </x:c>
      <x:c r="H399" s="8">
        <x:v>2148</x:v>
      </x:c>
      <x:c r="I399" s="8">
        <x:v>279399</x:v>
      </x:c>
      <x:c r="J399" s="5" t="s">
        <x:v>428</x:v>
      </x:c>
      <x:c r="K399" s="7"/>
      <x:c r="L399" s="9">
        <x:f t="shared" si="12"/>
        <x:v>7.6879301643885626E-3</x:v>
      </x:c>
      <x:c r="M399" s="8">
        <x:v>2298</x:v>
      </x:c>
      <x:c r="N399" s="8">
        <x:v>282999</x:v>
      </x:c>
      <x:c r="O399" s="7"/>
      <x:c r="P399" s="9">
        <x:f t="shared" si="13"/>
        <x:v>8.1201700359365223E-3</x:v>
      </x:c>
      <x:c r="Q399" s="10" t="s">
        <x:v>264</x:v>
      </x:c>
      <x:c r="R399" s="5" t="s">
        <x:v>525</x:v>
      </x:c>
      <x:c r="S399" s="5" t="s">
        <x:v>357</x:v>
      </x:c>
      <x:c r="T399" s="5"/>
      <x:c r="U399" s="151"/>
      <x:c r="V399" s="151"/>
      <x:c r="W399" s="151"/>
      <x:c r="X399" s="151"/>
      <x:c r="Y399" s="151"/>
      <x:c r="Z399" s="151"/>
    </x:row>
    <x:row r="400" ht="22" customHeight="1">
      <x:c r="A400" s="5" t="s">
        <x:v>261</x:v>
      </x:c>
      <x:c r="B400" s="5" t="s">
        <x:v>262</x:v>
      </x:c>
      <x:c r="C400" s="6">
        <x:v>45657</x:v>
      </x:c>
      <x:c r="D400" s="5">
        <x:v>2024</x:v>
      </x:c>
      <x:c r="E400" s="5" t="s">
        <x:v>541</x:v>
      </x:c>
      <x:c r="F400" s="5" t="s">
        <x:v>542</x:v>
      </x:c>
      <x:c r="G400" s="5" t="s">
        <x:v>543</x:v>
      </x:c>
      <x:c r="H400" s="8">
        <x:v>455</x:v>
      </x:c>
      <x:c r="I400" s="8">
        <x:v>279399</x:v>
      </x:c>
      <x:c r="J400" s="5" t="s">
        <x:v>428</x:v>
      </x:c>
      <x:c r="K400" s="7"/>
      <x:c r="L400" s="9">
        <x:f t="shared" si="12"/>
        <x:v>1.6284954491605195E-3</x:v>
      </x:c>
      <x:c r="M400" s="8"/>
      <x:c r="N400" s="8"/>
      <x:c r="O400" s="7"/>
      <x:c r="P400" s="9" t="str">
        <x:f t="shared" si="13"/>
      </x:c>
      <x:c r="Q400" s="10" t="s">
        <x:v>264</x:v>
      </x:c>
      <x:c r="R400" s="5" t="s">
        <x:v>525</x:v>
      </x:c>
      <x:c r="S400" s="5" t="s">
        <x:v>357</x:v>
      </x:c>
      <x:c r="T400" s="5" t="s">
        <x:v>544</x:v>
      </x:c>
      <x:c r="U400" s="151"/>
      <x:c r="V400" s="151"/>
      <x:c r="W400" s="151"/>
      <x:c r="X400" s="151"/>
      <x:c r="Y400" s="151"/>
      <x:c r="Z400" s="151"/>
    </x:row>
    <x:row r="401" ht="22" customHeight="1">
      <x:c r="A401" s="5" t="s">
        <x:v>261</x:v>
      </x:c>
      <x:c r="B401" s="5" t="s">
        <x:v>262</x:v>
      </x:c>
      <x:c r="C401" s="6">
        <x:v>45657</x:v>
      </x:c>
      <x:c r="D401" s="5">
        <x:v>2024</x:v>
      </x:c>
      <x:c r="E401" s="5" t="s">
        <x:v>545</x:v>
      </x:c>
      <x:c r="F401" s="5" t="s">
        <x:v>542</x:v>
      </x:c>
      <x:c r="G401" s="5" t="s">
        <x:v>543</x:v>
      </x:c>
      <x:c r="H401" s="8">
        <x:v>533</x:v>
      </x:c>
      <x:c r="I401" s="8">
        <x:v>279399</x:v>
      </x:c>
      <x:c r="J401" s="5" t="s">
        <x:v>428</x:v>
      </x:c>
      <x:c r="K401" s="7"/>
      <x:c r="L401" s="9">
        <x:f t="shared" si="12"/>
        <x:v>1.9076660975880372E-3</x:v>
      </x:c>
      <x:c r="M401" s="8"/>
      <x:c r="N401" s="8"/>
      <x:c r="O401" s="7"/>
      <x:c r="P401" s="9" t="str">
        <x:f t="shared" si="13"/>
      </x:c>
      <x:c r="Q401" s="10" t="s">
        <x:v>264</x:v>
      </x:c>
      <x:c r="R401" s="5" t="s">
        <x:v>525</x:v>
      </x:c>
      <x:c r="S401" s="5" t="s">
        <x:v>357</x:v>
      </x:c>
      <x:c r="T401" s="5" t="s">
        <x:v>544</x:v>
      </x:c>
      <x:c r="U401" s="151"/>
      <x:c r="V401" s="151"/>
      <x:c r="W401" s="151"/>
      <x:c r="X401" s="151"/>
      <x:c r="Y401" s="151"/>
      <x:c r="Z401" s="151"/>
    </x:row>
    <x:row r="402" ht="22" customHeight="1">
      <x:c r="A402" s="5" t="s">
        <x:v>261</x:v>
      </x:c>
      <x:c r="B402" s="5" t="s">
        <x:v>262</x:v>
      </x:c>
      <x:c r="C402" s="6">
        <x:v>45657</x:v>
      </x:c>
      <x:c r="D402" s="5">
        <x:v>2024</x:v>
      </x:c>
      <x:c r="E402" s="5" t="s">
        <x:v>546</x:v>
      </x:c>
      <x:c r="F402" s="5" t="s">
        <x:v>542</x:v>
      </x:c>
      <x:c r="G402" s="5" t="s">
        <x:v>543</x:v>
      </x:c>
      <x:c r="H402" s="8">
        <x:v>533</x:v>
      </x:c>
      <x:c r="I402" s="8">
        <x:v>279399</x:v>
      </x:c>
      <x:c r="J402" s="5" t="s">
        <x:v>428</x:v>
      </x:c>
      <x:c r="K402" s="7"/>
      <x:c r="L402" s="9">
        <x:f t="shared" si="12"/>
        <x:v>1.9076660975880372E-3</x:v>
      </x:c>
      <x:c r="M402" s="8"/>
      <x:c r="N402" s="8"/>
      <x:c r="O402" s="7"/>
      <x:c r="P402" s="9" t="str">
        <x:f t="shared" si="13"/>
      </x:c>
      <x:c r="Q402" s="10" t="s">
        <x:v>264</x:v>
      </x:c>
      <x:c r="R402" s="5" t="s">
        <x:v>525</x:v>
      </x:c>
      <x:c r="S402" s="5" t="s">
        <x:v>357</x:v>
      </x:c>
      <x:c r="T402" s="5" t="s">
        <x:v>544</x:v>
      </x:c>
      <x:c r="U402" s="151"/>
      <x:c r="V402" s="151"/>
      <x:c r="W402" s="151"/>
      <x:c r="X402" s="151"/>
      <x:c r="Y402" s="151"/>
      <x:c r="Z402" s="151"/>
    </x:row>
    <x:row r="403" ht="22" customHeight="1">
      <x:c r="A403" s="5" t="s">
        <x:v>261</x:v>
      </x:c>
      <x:c r="B403" s="5" t="s">
        <x:v>262</x:v>
      </x:c>
      <x:c r="C403" s="6">
        <x:v>45657</x:v>
      </x:c>
      <x:c r="D403" s="5">
        <x:v>2024</x:v>
      </x:c>
      <x:c r="E403" s="5" t="s">
        <x:v>547</x:v>
      </x:c>
      <x:c r="F403" s="5" t="s">
        <x:v>542</x:v>
      </x:c>
      <x:c r="G403" s="5" t="s">
        <x:v>543</x:v>
      </x:c>
      <x:c r="H403" s="8">
        <x:v>533</x:v>
      </x:c>
      <x:c r="I403" s="8">
        <x:v>279399</x:v>
      </x:c>
      <x:c r="J403" s="5" t="s">
        <x:v>428</x:v>
      </x:c>
      <x:c r="K403" s="7"/>
      <x:c r="L403" s="9">
        <x:f t="shared" si="12"/>
        <x:v>1.9076660975880372E-3</x:v>
      </x:c>
      <x:c r="M403" s="8"/>
      <x:c r="N403" s="8"/>
      <x:c r="O403" s="7"/>
      <x:c r="P403" s="9" t="str">
        <x:f t="shared" si="13"/>
      </x:c>
      <x:c r="Q403" s="10" t="s">
        <x:v>264</x:v>
      </x:c>
      <x:c r="R403" s="5" t="s">
        <x:v>525</x:v>
      </x:c>
      <x:c r="S403" s="5" t="s">
        <x:v>357</x:v>
      </x:c>
      <x:c r="T403" s="5" t="s">
        <x:v>544</x:v>
      </x:c>
      <x:c r="U403" s="151"/>
      <x:c r="V403" s="151"/>
      <x:c r="W403" s="151"/>
      <x:c r="X403" s="151"/>
      <x:c r="Y403" s="151"/>
      <x:c r="Z403" s="151"/>
    </x:row>
    <x:row r="404" ht="22" customHeight="1">
      <x:c r="A404" s="5" t="s">
        <x:v>261</x:v>
      </x:c>
      <x:c r="B404" s="5" t="s">
        <x:v>262</x:v>
      </x:c>
      <x:c r="C404" s="6">
        <x:v>45657</x:v>
      </x:c>
      <x:c r="D404" s="5">
        <x:v>2024</x:v>
      </x:c>
      <x:c r="E404" s="5" t="s">
        <x:v>548</x:v>
      </x:c>
      <x:c r="F404" s="5" t="s">
        <x:v>542</x:v>
      </x:c>
      <x:c r="G404" s="5" t="s">
        <x:v>543</x:v>
      </x:c>
      <x:c r="H404" s="8">
        <x:v>533</x:v>
      </x:c>
      <x:c r="I404" s="8">
        <x:v>279399</x:v>
      </x:c>
      <x:c r="J404" s="5" t="s">
        <x:v>428</x:v>
      </x:c>
      <x:c r="K404" s="7"/>
      <x:c r="L404" s="9">
        <x:f t="shared" si="12"/>
        <x:v>1.9076660975880372E-3</x:v>
      </x:c>
      <x:c r="M404" s="8"/>
      <x:c r="N404" s="8"/>
      <x:c r="O404" s="7"/>
      <x:c r="P404" s="9" t="str">
        <x:f t="shared" si="13"/>
      </x:c>
      <x:c r="Q404" s="10" t="s">
        <x:v>264</x:v>
      </x:c>
      <x:c r="R404" s="5" t="s">
        <x:v>525</x:v>
      </x:c>
      <x:c r="S404" s="5" t="s">
        <x:v>357</x:v>
      </x:c>
      <x:c r="T404" s="5" t="s">
        <x:v>544</x:v>
      </x:c>
      <x:c r="U404" s="151"/>
      <x:c r="V404" s="151"/>
      <x:c r="W404" s="151"/>
      <x:c r="X404" s="151"/>
      <x:c r="Y404" s="151"/>
      <x:c r="Z404" s="151"/>
    </x:row>
    <x:row r="405" ht="22" customHeight="1">
      <x:c r="A405" s="5" t="s">
        <x:v>261</x:v>
      </x:c>
      <x:c r="B405" s="5" t="s">
        <x:v>262</x:v>
      </x:c>
      <x:c r="C405" s="6">
        <x:v>45657</x:v>
      </x:c>
      <x:c r="D405" s="5">
        <x:v>2024</x:v>
      </x:c>
      <x:c r="E405" s="5" t="s">
        <x:v>549</x:v>
      </x:c>
      <x:c r="F405" s="5" t="s">
        <x:v>0</x:v>
      </x:c>
      <x:c r="G405" s="5" t="s">
        <x:v>354</x:v>
      </x:c>
      <x:c r="H405" s="8">
        <x:v>2187</x:v>
      </x:c>
      <x:c r="I405" s="8">
        <x:v>279399</x:v>
      </x:c>
      <x:c r="J405" s="5" t="s">
        <x:v>428</x:v>
      </x:c>
      <x:c r="K405" s="7"/>
      <x:c r="L405" s="9">
        <x:f t="shared" si="12"/>
        <x:v>7.827515488602322E-3</x:v>
      </x:c>
      <x:c r="M405" s="8">
        <x:v>2337</x:v>
      </x:c>
      <x:c r="N405" s="8">
        <x:v>282999</x:v>
      </x:c>
      <x:c r="O405" s="7"/>
      <x:c r="P405" s="9">
        <x:f t="shared" si="13"/>
        <x:v>8.2579797101756548E-3</x:v>
      </x:c>
      <x:c r="Q405" s="10" t="s">
        <x:v>264</x:v>
      </x:c>
      <x:c r="R405" s="5" t="s">
        <x:v>525</x:v>
      </x:c>
      <x:c r="S405" s="5" t="s">
        <x:v>357</x:v>
      </x:c>
      <x:c r="T405" s="5"/>
      <x:c r="U405" s="151"/>
      <x:c r="V405" s="151"/>
      <x:c r="W405" s="151"/>
      <x:c r="X405" s="151"/>
      <x:c r="Y405" s="151"/>
      <x:c r="Z405" s="151"/>
    </x:row>
    <x:row r="406" ht="22" customHeight="1">
      <x:c r="A406" s="5" t="s">
        <x:v>261</x:v>
      </x:c>
      <x:c r="B406" s="5" t="s">
        <x:v>262</x:v>
      </x:c>
      <x:c r="C406" s="6">
        <x:v>45657</x:v>
      </x:c>
      <x:c r="D406" s="5">
        <x:v>2024</x:v>
      </x:c>
      <x:c r="E406" s="5" t="s">
        <x:v>436</x:v>
      </x:c>
      <x:c r="F406" s="5" t="s">
        <x:v>0</x:v>
      </x:c>
      <x:c r="G406" s="5" t="s">
        <x:v>354</x:v>
      </x:c>
      <x:c r="H406" s="8">
        <x:v>3118</x:v>
      </x:c>
      <x:c r="I406" s="8">
        <x:v>279399</x:v>
      </x:c>
      <x:c r="J406" s="5" t="s">
        <x:v>428</x:v>
      </x:c>
      <x:c r="K406" s="7"/>
      <x:c r="L406" s="9">
        <x:f t="shared" si="12"/>
        <x:v>1.1159667715346154E-2</x:v>
      </x:c>
      <x:c r="M406" s="8">
        <x:v>3268</x:v>
      </x:c>
      <x:c r="N406" s="8">
        <x:v>282999</x:v>
      </x:c>
      <x:c r="O406" s="7"/>
      <x:c r="P406" s="9">
        <x:f t="shared" si="13"/>
        <x:v>1.1547743984961077E-2</x:v>
      </x:c>
      <x:c r="Q406" s="10" t="s">
        <x:v>264</x:v>
      </x:c>
      <x:c r="R406" s="5" t="s">
        <x:v>525</x:v>
      </x:c>
      <x:c r="S406" s="5" t="s">
        <x:v>357</x:v>
      </x:c>
      <x:c r="T406" s="5"/>
      <x:c r="U406" s="151"/>
      <x:c r="V406" s="151"/>
      <x:c r="W406" s="151"/>
      <x:c r="X406" s="151"/>
      <x:c r="Y406" s="151"/>
      <x:c r="Z406" s="151"/>
    </x:row>
    <x:row r="407" ht="22" customHeight="1">
      <x:c r="A407" s="5" t="s">
        <x:v>261</x:v>
      </x:c>
      <x:c r="B407" s="5" t="s">
        <x:v>262</x:v>
      </x:c>
      <x:c r="C407" s="6">
        <x:v>45657</x:v>
      </x:c>
      <x:c r="D407" s="5">
        <x:v>2024</x:v>
      </x:c>
      <x:c r="E407" s="5" t="s">
        <x:v>410</x:v>
      </x:c>
      <x:c r="F407" s="5" t="s">
        <x:v>0</x:v>
      </x:c>
      <x:c r="G407" s="5" t="s">
        <x:v>408</x:v>
      </x:c>
      <x:c r="H407" s="8">
        <x:v>26004</x:v>
      </x:c>
      <x:c r="I407" s="8">
        <x:v>279399</x:v>
      </x:c>
      <x:c r="J407" s="5" t="s">
        <x:v>428</x:v>
      </x:c>
      <x:c r="K407" s="7"/>
      <x:c r="L407" s="9">
        <x:f t="shared" si="12"/>
        <x:v>9.3071199252681647E-2</x:v>
      </x:c>
      <x:c r="M407" s="8">
        <x:v>26154</x:v>
      </x:c>
      <x:c r="N407" s="8">
        <x:v>282999</x:v>
      </x:c>
      <x:c r="O407" s="7"/>
      <x:c r="P407" s="9">
        <x:f t="shared" si="13"/>
        <x:v>9.2417287693596084E-2</x:v>
      </x:c>
      <x:c r="Q407" s="10" t="s">
        <x:v>264</x:v>
      </x:c>
      <x:c r="R407" s="5" t="s">
        <x:v>525</x:v>
      </x:c>
      <x:c r="S407" s="5" t="s">
        <x:v>357</x:v>
      </x:c>
      <x:c r="T407" s="5"/>
      <x:c r="U407" s="151"/>
      <x:c r="V407" s="151"/>
      <x:c r="W407" s="151"/>
      <x:c r="X407" s="151"/>
      <x:c r="Y407" s="151"/>
      <x:c r="Z407" s="151"/>
    </x:row>
    <x:row r="408" ht="22" customHeight="1">
      <x:c r="A408" s="5" t="s">
        <x:v>261</x:v>
      </x:c>
      <x:c r="B408" s="5" t="s">
        <x:v>262</x:v>
      </x:c>
      <x:c r="C408" s="6">
        <x:v>45657</x:v>
      </x:c>
      <x:c r="D408" s="5">
        <x:v>2024</x:v>
      </x:c>
      <x:c r="E408" s="5" t="s">
        <x:v>425</x:v>
      </x:c>
      <x:c r="F408" s="5" t="s">
        <x:v>0</x:v>
      </x:c>
      <x:c r="G408" s="5" t="s">
        <x:v>408</x:v>
      </x:c>
      <x:c r="H408" s="8">
        <x:v>26004</x:v>
      </x:c>
      <x:c r="I408" s="8">
        <x:v>279399</x:v>
      </x:c>
      <x:c r="J408" s="5" t="s">
        <x:v>428</x:v>
      </x:c>
      <x:c r="K408" s="7"/>
      <x:c r="L408" s="9">
        <x:f t="shared" si="12"/>
        <x:v>9.3071199252681647E-2</x:v>
      </x:c>
      <x:c r="M408" s="8">
        <x:v>26154</x:v>
      </x:c>
      <x:c r="N408" s="8">
        <x:v>282999</x:v>
      </x:c>
      <x:c r="O408" s="7"/>
      <x:c r="P408" s="9">
        <x:f t="shared" si="13"/>
        <x:v>9.2417287693596084E-2</x:v>
      </x:c>
      <x:c r="Q408" s="10" t="s">
        <x:v>264</x:v>
      </x:c>
      <x:c r="R408" s="5" t="s">
        <x:v>525</x:v>
      </x:c>
      <x:c r="S408" s="5" t="s">
        <x:v>357</x:v>
      </x:c>
      <x:c r="T408" s="5"/>
      <x:c r="U408" s="151"/>
      <x:c r="V408" s="151"/>
      <x:c r="W408" s="151"/>
      <x:c r="X408" s="151"/>
      <x:c r="Y408" s="151"/>
      <x:c r="Z408" s="151"/>
    </x:row>
    <x:row r="409" ht="22" customHeight="1">
      <x:c r="A409" s="5" t="s">
        <x:v>261</x:v>
      </x:c>
      <x:c r="B409" s="5" t="s">
        <x:v>262</x:v>
      </x:c>
      <x:c r="C409" s="6">
        <x:v>45657</x:v>
      </x:c>
      <x:c r="D409" s="5">
        <x:v>2024</x:v>
      </x:c>
      <x:c r="E409" s="5" t="s">
        <x:v>416</x:v>
      </x:c>
      <x:c r="F409" s="5" t="s">
        <x:v>0</x:v>
      </x:c>
      <x:c r="G409" s="5" t="s">
        <x:v>408</x:v>
      </x:c>
      <x:c r="H409" s="8">
        <x:v>15588</x:v>
      </x:c>
      <x:c r="I409" s="8">
        <x:v>279399</x:v>
      </x:c>
      <x:c r="J409" s="5" t="s">
        <x:v>428</x:v>
      </x:c>
      <x:c r="K409" s="7"/>
      <x:c r="L409" s="9">
        <x:f t="shared" si="12"/>
        <x:v>5.5791180354976218E-2</x:v>
      </x:c>
      <x:c r="M409" s="8">
        <x:v>15738</x:v>
      </x:c>
      <x:c r="N409" s="8">
        <x:v>282999</x:v>
      </x:c>
      <x:c r="O409" s="7"/>
      <x:c r="P409" s="9">
        <x:f t="shared" si="13"/>
        <x:v>5.5611503927575717E-2</x:v>
      </x:c>
      <x:c r="Q409" s="10" t="s">
        <x:v>264</x:v>
      </x:c>
      <x:c r="R409" s="5" t="s">
        <x:v>525</x:v>
      </x:c>
      <x:c r="S409" s="5" t="s">
        <x:v>357</x:v>
      </x:c>
      <x:c r="T409" s="5"/>
      <x:c r="U409" s="151"/>
      <x:c r="V409" s="151"/>
      <x:c r="W409" s="151"/>
      <x:c r="X409" s="151"/>
      <x:c r="Y409" s="151"/>
      <x:c r="Z409" s="151"/>
    </x:row>
    <x:row r="410" ht="22" customHeight="1">
      <x:c r="A410" s="5" t="s">
        <x:v>261</x:v>
      </x:c>
      <x:c r="B410" s="5" t="s">
        <x:v>262</x:v>
      </x:c>
      <x:c r="C410" s="6">
        <x:v>45657</x:v>
      </x:c>
      <x:c r="D410" s="5">
        <x:v>2024</x:v>
      </x:c>
      <x:c r="E410" s="5" t="s">
        <x:v>414</x:v>
      </x:c>
      <x:c r="F410" s="5" t="s">
        <x:v>0</x:v>
      </x:c>
      <x:c r="G410" s="5" t="s">
        <x:v>408</x:v>
      </x:c>
      <x:c r="H410" s="8">
        <x:v>15588</x:v>
      </x:c>
      <x:c r="I410" s="8">
        <x:v>279399</x:v>
      </x:c>
      <x:c r="J410" s="5" t="s">
        <x:v>428</x:v>
      </x:c>
      <x:c r="K410" s="7"/>
      <x:c r="L410" s="9">
        <x:f t="shared" si="12"/>
        <x:v>5.5791180354976218E-2</x:v>
      </x:c>
      <x:c r="M410" s="8">
        <x:v>15738</x:v>
      </x:c>
      <x:c r="N410" s="8">
        <x:v>282999</x:v>
      </x:c>
      <x:c r="O410" s="7"/>
      <x:c r="P410" s="9">
        <x:f t="shared" si="13"/>
        <x:v>5.5611503927575717E-2</x:v>
      </x:c>
      <x:c r="Q410" s="10" t="s">
        <x:v>264</x:v>
      </x:c>
      <x:c r="R410" s="5" t="s">
        <x:v>525</x:v>
      </x:c>
      <x:c r="S410" s="5" t="s">
        <x:v>357</x:v>
      </x:c>
      <x:c r="T410" s="5"/>
      <x:c r="U410" s="151"/>
      <x:c r="V410" s="151"/>
      <x:c r="W410" s="151"/>
      <x:c r="X410" s="151"/>
      <x:c r="Y410" s="151"/>
      <x:c r="Z410" s="151"/>
    </x:row>
    <x:row r="411" ht="22" customHeight="1">
      <x:c r="A411" s="5" t="s">
        <x:v>261</x:v>
      </x:c>
      <x:c r="B411" s="5" t="s">
        <x:v>262</x:v>
      </x:c>
      <x:c r="C411" s="6">
        <x:v>45657</x:v>
      </x:c>
      <x:c r="D411" s="5">
        <x:v>2024</x:v>
      </x:c>
      <x:c r="E411" s="5" t="s">
        <x:v>438</x:v>
      </x:c>
      <x:c r="F411" s="5" t="s">
        <x:v>0</x:v>
      </x:c>
      <x:c r="G411" s="5" t="s">
        <x:v>408</x:v>
      </x:c>
      <x:c r="H411" s="8">
        <x:v>15588</x:v>
      </x:c>
      <x:c r="I411" s="8">
        <x:v>279399</x:v>
      </x:c>
      <x:c r="J411" s="5" t="s">
        <x:v>428</x:v>
      </x:c>
      <x:c r="K411" s="7"/>
      <x:c r="L411" s="9">
        <x:f t="shared" si="12"/>
        <x:v>5.5791180354976218E-2</x:v>
      </x:c>
      <x:c r="M411" s="8">
        <x:v>15738</x:v>
      </x:c>
      <x:c r="N411" s="8">
        <x:v>282999</x:v>
      </x:c>
      <x:c r="O411" s="7"/>
      <x:c r="P411" s="9">
        <x:f t="shared" si="13"/>
        <x:v>5.5611503927575717E-2</x:v>
      </x:c>
      <x:c r="Q411" s="10" t="s">
        <x:v>264</x:v>
      </x:c>
      <x:c r="R411" s="5" t="s">
        <x:v>525</x:v>
      </x:c>
      <x:c r="S411" s="5" t="s">
        <x:v>357</x:v>
      </x:c>
      <x:c r="T411" s="5"/>
      <x:c r="U411" s="151"/>
      <x:c r="V411" s="151"/>
      <x:c r="W411" s="151"/>
      <x:c r="X411" s="151"/>
      <x:c r="Y411" s="151"/>
      <x:c r="Z411" s="151"/>
    </x:row>
    <x:row r="412" ht="22" customHeight="1">
      <x:c r="A412" s="5" t="s">
        <x:v>261</x:v>
      </x:c>
      <x:c r="B412" s="5" t="s">
        <x:v>262</x:v>
      </x:c>
      <x:c r="C412" s="6">
        <x:v>45657</x:v>
      </x:c>
      <x:c r="D412" s="5">
        <x:v>2024</x:v>
      </x:c>
      <x:c r="E412" s="5" t="s">
        <x:v>550</x:v>
      </x:c>
      <x:c r="F412" s="5" t="s">
        <x:v>551</x:v>
      </x:c>
      <x:c r="G412" s="5" t="s">
        <x:v>552</x:v>
      </x:c>
      <x:c r="H412" s="8"/>
      <x:c r="I412" s="8"/>
      <x:c r="J412" s="5" t="s">
        <x:v>345</x:v>
      </x:c>
      <x:c r="K412" s="7"/>
      <x:c r="L412" s="9" t="str">
        <x:f t="shared" si="12"/>
      </x:c>
      <x:c r="M412" s="8">
        <x:v>2737</x:v>
      </x:c>
      <x:c r="N412" s="8">
        <x:v>282999</x:v>
      </x:c>
      <x:c r="O412" s="7"/>
      <x:c r="P412" s="9">
        <x:f t="shared" si="13"/>
        <x:v>9.6714122664744405E-3</x:v>
      </x:c>
      <x:c r="Q412" s="10" t="s">
        <x:v>264</x:v>
      </x:c>
      <x:c r="R412" s="5" t="s">
        <x:v>525</x:v>
      </x:c>
      <x:c r="S412" s="5" t="s">
        <x:v>357</x:v>
      </x:c>
      <x:c r="T412" s="5" t="s">
        <x:v>553</x:v>
      </x:c>
      <x:c r="U412" s="151"/>
      <x:c r="V412" s="151"/>
      <x:c r="W412" s="151"/>
      <x:c r="X412" s="151"/>
      <x:c r="Y412" s="151"/>
      <x:c r="Z412" s="151"/>
    </x:row>
    <x:row r="413" ht="22" customHeight="1">
      <x:c r="A413" s="5" t="s">
        <x:v>271</x:v>
      </x:c>
      <x:c r="B413" s="5" t="s">
        <x:v>272</x:v>
      </x:c>
      <x:c r="C413" s="6">
        <x:v>46252</x:v>
      </x:c>
      <x:c r="D413" s="5">
        <x:v>2026</x:v>
      </x:c>
      <x:c r="E413" s="5" t="s">
        <x:v>554</x:v>
      </x:c>
      <x:c r="F413" s="5" t="s">
        <x:v>0</x:v>
      </x:c>
      <x:c r="G413" s="5" t="s">
        <x:v>555</x:v>
      </x:c>
      <x:c r="H413" s="8">
        <x:v>30010</x:v>
      </x:c>
      <x:c r="I413" s="8">
        <x:v>31189260</x:v>
      </x:c>
      <x:c r="J413" s="5" t="s">
        <x:v>556</x:v>
      </x:c>
      <x:c r="K413" s="7"/>
      <x:c r="L413" s="9">
        <x:f t="shared" si="12"/>
        <x:v>9.6219018982816526E-4</x:v>
      </x:c>
      <x:c r="M413" s="8"/>
      <x:c r="N413" s="8"/>
      <x:c r="O413" s="7"/>
      <x:c r="P413" s="9" t="str">
        <x:f t="shared" si="13"/>
      </x:c>
      <x:c r="Q413" s="10" t="s">
        <x:v>274</x:v>
      </x:c>
      <x:c r="R413" s="5" t="s">
        <x:v>557</x:v>
      </x:c>
      <x:c r="S413" s="5" t="s">
        <x:v>558</x:v>
      </x:c>
      <x:c r="T413" s="5" t="s">
        <x:v>559</x:v>
      </x:c>
      <x:c r="U413" s="151"/>
      <x:c r="V413" s="151"/>
      <x:c r="W413" s="151"/>
      <x:c r="X413" s="151"/>
      <x:c r="Y413" s="151"/>
      <x:c r="Z413" s="151"/>
    </x:row>
    <x:row r="414" ht="22" customHeight="1">
      <x:c r="A414" s="5" t="s">
        <x:v>271</x:v>
      </x:c>
      <x:c r="B414" s="5" t="s">
        <x:v>272</x:v>
      </x:c>
      <x:c r="C414" s="6">
        <x:v>46252</x:v>
      </x:c>
      <x:c r="D414" s="5">
        <x:v>2026</x:v>
      </x:c>
      <x:c r="E414" s="5" t="s">
        <x:v>431</x:v>
      </x:c>
      <x:c r="F414" s="5" t="s">
        <x:v>0</x:v>
      </x:c>
      <x:c r="G414" s="5" t="s">
        <x:v>555</x:v>
      </x:c>
      <x:c r="H414" s="8">
        <x:v>30010</x:v>
      </x:c>
      <x:c r="I414" s="8">
        <x:v>31189260</x:v>
      </x:c>
      <x:c r="J414" s="5" t="s">
        <x:v>556</x:v>
      </x:c>
      <x:c r="K414" s="7"/>
      <x:c r="L414" s="9">
        <x:f t="shared" si="12"/>
        <x:v>9.6219018982816526E-4</x:v>
      </x:c>
      <x:c r="M414" s="8"/>
      <x:c r="N414" s="8"/>
      <x:c r="O414" s="7"/>
      <x:c r="P414" s="9" t="str">
        <x:f t="shared" si="13"/>
      </x:c>
      <x:c r="Q414" s="10" t="s">
        <x:v>274</x:v>
      </x:c>
      <x:c r="R414" s="5" t="s">
        <x:v>557</x:v>
      </x:c>
      <x:c r="S414" s="5" t="s">
        <x:v>558</x:v>
      </x:c>
      <x:c r="T414" s="5" t="s">
        <x:v>559</x:v>
      </x:c>
      <x:c r="U414" s="151"/>
      <x:c r="V414" s="151"/>
      <x:c r="W414" s="151"/>
      <x:c r="X414" s="151"/>
      <x:c r="Y414" s="151"/>
      <x:c r="Z414" s="151"/>
    </x:row>
    <x:row r="415" ht="22" customHeight="1">
      <x:c r="A415" s="5" t="s">
        <x:v>271</x:v>
      </x:c>
      <x:c r="B415" s="5" t="s">
        <x:v>272</x:v>
      </x:c>
      <x:c r="C415" s="6">
        <x:v>46252</x:v>
      </x:c>
      <x:c r="D415" s="5">
        <x:v>2026</x:v>
      </x:c>
      <x:c r="E415" s="5" t="s">
        <x:v>359</x:v>
      </x:c>
      <x:c r="F415" s="5" t="s">
        <x:v>0</x:v>
      </x:c>
      <x:c r="G415" s="5" t="s">
        <x:v>555</x:v>
      </x:c>
      <x:c r="H415" s="8">
        <x:v>14990</x:v>
      </x:c>
      <x:c r="I415" s="8">
        <x:v>31189260</x:v>
      </x:c>
      <x:c r="J415" s="5" t="s">
        <x:v>556</x:v>
      </x:c>
      <x:c r="K415" s="7"/>
      <x:c r="L415" s="9">
        <x:f t="shared" si="12"/>
        <x:v>4.8061416013076296E-4</x:v>
      </x:c>
      <x:c r="M415" s="8"/>
      <x:c r="N415" s="8"/>
      <x:c r="O415" s="7"/>
      <x:c r="P415" s="9" t="str">
        <x:f t="shared" si="13"/>
      </x:c>
      <x:c r="Q415" s="10" t="s">
        <x:v>274</x:v>
      </x:c>
      <x:c r="R415" s="5" t="s">
        <x:v>557</x:v>
      </x:c>
      <x:c r="S415" s="5" t="s">
        <x:v>558</x:v>
      </x:c>
      <x:c r="T415" s="5" t="s">
        <x:v>559</x:v>
      </x:c>
      <x:c r="U415" s="151"/>
      <x:c r="V415" s="151"/>
      <x:c r="W415" s="151"/>
      <x:c r="X415" s="151"/>
      <x:c r="Y415" s="151"/>
      <x:c r="Z415" s="151"/>
    </x:row>
    <x:row r="416" ht="22" customHeight="1">
      <x:c r="A416" s="5" t="s">
        <x:v>271</x:v>
      </x:c>
      <x:c r="B416" s="5" t="s">
        <x:v>272</x:v>
      </x:c>
      <x:c r="C416" s="6">
        <x:v>46252</x:v>
      </x:c>
      <x:c r="D416" s="5">
        <x:v>2026</x:v>
      </x:c>
      <x:c r="E416" s="5" t="s">
        <x:v>360</x:v>
      </x:c>
      <x:c r="F416" s="5" t="s">
        <x:v>0</x:v>
      </x:c>
      <x:c r="G416" s="5" t="s">
        <x:v>555</x:v>
      </x:c>
      <x:c r="H416" s="8">
        <x:v>300140</x:v>
      </x:c>
      <x:c r="I416" s="8">
        <x:v>31189260</x:v>
      </x:c>
      <x:c r="J416" s="5" t="s">
        <x:v>556</x:v>
      </x:c>
      <x:c r="K416" s="7"/>
      <x:c r="L416" s="9">
        <x:f t="shared" si="12"/>
        <x:v>9.6231843910371713E-3</x:v>
      </x:c>
      <x:c r="M416" s="8"/>
      <x:c r="N416" s="8"/>
      <x:c r="O416" s="7"/>
      <x:c r="P416" s="9" t="str">
        <x:f t="shared" si="13"/>
      </x:c>
      <x:c r="Q416" s="10" t="s">
        <x:v>274</x:v>
      </x:c>
      <x:c r="R416" s="5" t="s">
        <x:v>557</x:v>
      </x:c>
      <x:c r="S416" s="5" t="s">
        <x:v>558</x:v>
      </x:c>
      <x:c r="T416" s="5" t="s">
        <x:v>559</x:v>
      </x:c>
      <x:c r="U416" s="151"/>
      <x:c r="V416" s="151"/>
      <x:c r="W416" s="151"/>
      <x:c r="X416" s="151"/>
      <x:c r="Y416" s="151"/>
      <x:c r="Z416" s="151"/>
    </x:row>
    <x:row r="417" ht="22" customHeight="1">
      <x:c r="A417" s="5" t="s">
        <x:v>271</x:v>
      </x:c>
      <x:c r="B417" s="5" t="s">
        <x:v>272</x:v>
      </x:c>
      <x:c r="C417" s="6">
        <x:v>46252</x:v>
      </x:c>
      <x:c r="D417" s="5">
        <x:v>2026</x:v>
      </x:c>
      <x:c r="E417" s="5" t="s">
        <x:v>407</x:v>
      </x:c>
      <x:c r="F417" s="5" t="s">
        <x:v>0</x:v>
      </x:c>
      <x:c r="G417" s="5" t="s">
        <x:v>555</x:v>
      </x:c>
      <x:c r="H417" s="8">
        <x:v>776290</x:v>
      </x:c>
      <x:c r="I417" s="8">
        <x:v>31189260</x:v>
      </x:c>
      <x:c r="J417" s="5" t="s">
        <x:v>556</x:v>
      </x:c>
      <x:c r="K417" s="7"/>
      <x:c r="L417" s="9">
        <x:f t="shared" si="12"/>
        <x:v>2.488965752954703E-2</x:v>
      </x:c>
      <x:c r="M417" s="8"/>
      <x:c r="N417" s="8"/>
      <x:c r="O417" s="7"/>
      <x:c r="P417" s="9" t="str">
        <x:f t="shared" si="13"/>
      </x:c>
      <x:c r="Q417" s="10" t="s">
        <x:v>274</x:v>
      </x:c>
      <x:c r="R417" s="5" t="s">
        <x:v>557</x:v>
      </x:c>
      <x:c r="S417" s="5" t="s">
        <x:v>558</x:v>
      </x:c>
      <x:c r="T417" s="5" t="s">
        <x:v>559</x:v>
      </x:c>
      <x:c r="U417" s="151"/>
      <x:c r="V417" s="151"/>
      <x:c r="W417" s="151"/>
      <x:c r="X417" s="151"/>
      <x:c r="Y417" s="151"/>
      <x:c r="Z417" s="151"/>
    </x:row>
    <x:row r="418" ht="22" customHeight="1">
      <x:c r="A418" s="5" t="s">
        <x:v>271</x:v>
      </x:c>
      <x:c r="B418" s="5" t="s">
        <x:v>272</x:v>
      </x:c>
      <x:c r="C418" s="6">
        <x:v>46252</x:v>
      </x:c>
      <x:c r="D418" s="5">
        <x:v>2026</x:v>
      </x:c>
      <x:c r="E418" s="5" t="s">
        <x:v>361</x:v>
      </x:c>
      <x:c r="F418" s="5" t="s">
        <x:v>0</x:v>
      </x:c>
      <x:c r="G418" s="5" t="s">
        <x:v>555</x:v>
      </x:c>
      <x:c r="H418" s="8">
        <x:v>30010</x:v>
      </x:c>
      <x:c r="I418" s="8">
        <x:v>31189260</x:v>
      </x:c>
      <x:c r="J418" s="5" t="s">
        <x:v>556</x:v>
      </x:c>
      <x:c r="K418" s="7"/>
      <x:c r="L418" s="9">
        <x:f t="shared" si="12"/>
        <x:v>9.6219018982816526E-4</x:v>
      </x:c>
      <x:c r="M418" s="8"/>
      <x:c r="N418" s="8"/>
      <x:c r="O418" s="7"/>
      <x:c r="P418" s="9" t="str">
        <x:f t="shared" si="13"/>
      </x:c>
      <x:c r="Q418" s="10" t="s">
        <x:v>274</x:v>
      </x:c>
      <x:c r="R418" s="5" t="s">
        <x:v>557</x:v>
      </x:c>
      <x:c r="S418" s="5" t="s">
        <x:v>558</x:v>
      </x:c>
      <x:c r="T418" s="5" t="s">
        <x:v>559</x:v>
      </x:c>
      <x:c r="U418" s="151"/>
      <x:c r="V418" s="151"/>
      <x:c r="W418" s="151"/>
      <x:c r="X418" s="151"/>
      <x:c r="Y418" s="151"/>
      <x:c r="Z418" s="151"/>
    </x:row>
    <x:row r="419" ht="22" customHeight="1">
      <x:c r="A419" s="5" t="s">
        <x:v>271</x:v>
      </x:c>
      <x:c r="B419" s="5" t="s">
        <x:v>272</x:v>
      </x:c>
      <x:c r="C419" s="6">
        <x:v>46252</x:v>
      </x:c>
      <x:c r="D419" s="5">
        <x:v>2026</x:v>
      </x:c>
      <x:c r="E419" s="5" t="s">
        <x:v>434</x:v>
      </x:c>
      <x:c r="F419" s="5" t="s">
        <x:v>0</x:v>
      </x:c>
      <x:c r="G419" s="5" t="s">
        <x:v>555</x:v>
      </x:c>
      <x:c r="H419" s="8">
        <x:v>60020</x:v>
      </x:c>
      <x:c r="I419" s="8">
        <x:v>31189260</x:v>
      </x:c>
      <x:c r="J419" s="5" t="s">
        <x:v>556</x:v>
      </x:c>
      <x:c r="K419" s="7"/>
      <x:c r="L419" s="9">
        <x:f t="shared" si="12"/>
        <x:v>1.9243803796563305E-3</x:v>
      </x:c>
      <x:c r="M419" s="8"/>
      <x:c r="N419" s="8"/>
      <x:c r="O419" s="7"/>
      <x:c r="P419" s="9" t="str">
        <x:f t="shared" si="13"/>
      </x:c>
      <x:c r="Q419" s="10" t="s">
        <x:v>274</x:v>
      </x:c>
      <x:c r="R419" s="5" t="s">
        <x:v>557</x:v>
      </x:c>
      <x:c r="S419" s="5" t="s">
        <x:v>558</x:v>
      </x:c>
      <x:c r="T419" s="5" t="s">
        <x:v>559</x:v>
      </x:c>
      <x:c r="U419" s="151"/>
      <x:c r="V419" s="151"/>
      <x:c r="W419" s="151"/>
      <x:c r="X419" s="151"/>
      <x:c r="Y419" s="151"/>
      <x:c r="Z419" s="151"/>
    </x:row>
    <x:row r="420" ht="22" customHeight="1">
      <x:c r="A420" s="5" t="s">
        <x:v>271</x:v>
      </x:c>
      <x:c r="B420" s="5" t="s">
        <x:v>272</x:v>
      </x:c>
      <x:c r="C420" s="6">
        <x:v>46252</x:v>
      </x:c>
      <x:c r="D420" s="5">
        <x:v>2026</x:v>
      </x:c>
      <x:c r="E420" s="5" t="s">
        <x:v>409</x:v>
      </x:c>
      <x:c r="F420" s="5" t="s">
        <x:v>0</x:v>
      </x:c>
      <x:c r="G420" s="5" t="s">
        <x:v>555</x:v>
      </x:c>
      <x:c r="H420" s="8">
        <x:v>684320</x:v>
      </x:c>
      <x:c r="I420" s="8">
        <x:v>31189260</x:v>
      </x:c>
      <x:c r="J420" s="5" t="s">
        <x:v>556</x:v>
      </x:c>
      <x:c r="K420" s="7"/>
      <x:c r="L420" s="9">
        <x:f t="shared" si="12"/>
        <x:v>2.1940886061419862E-2</x:v>
      </x:c>
      <x:c r="M420" s="8"/>
      <x:c r="N420" s="8"/>
      <x:c r="O420" s="7"/>
      <x:c r="P420" s="9" t="str">
        <x:f t="shared" si="13"/>
      </x:c>
      <x:c r="Q420" s="10" t="s">
        <x:v>274</x:v>
      </x:c>
      <x:c r="R420" s="5" t="s">
        <x:v>557</x:v>
      </x:c>
      <x:c r="S420" s="5" t="s">
        <x:v>558</x:v>
      </x:c>
      <x:c r="T420" s="5" t="s">
        <x:v>559</x:v>
      </x:c>
      <x:c r="U420" s="151"/>
      <x:c r="V420" s="151"/>
      <x:c r="W420" s="151"/>
      <x:c r="X420" s="151"/>
      <x:c r="Y420" s="151"/>
      <x:c r="Z420" s="151"/>
    </x:row>
    <x:row r="421" ht="22" customHeight="1">
      <x:c r="A421" s="5" t="s">
        <x:v>271</x:v>
      </x:c>
      <x:c r="B421" s="5" t="s">
        <x:v>272</x:v>
      </x:c>
      <x:c r="C421" s="6">
        <x:v>46252</x:v>
      </x:c>
      <x:c r="D421" s="5">
        <x:v>2026</x:v>
      </x:c>
      <x:c r="E421" s="5" t="s">
        <x:v>435</x:v>
      </x:c>
      <x:c r="F421" s="5" t="s">
        <x:v>0</x:v>
      </x:c>
      <x:c r="G421" s="5" t="s">
        <x:v>555</x:v>
      </x:c>
      <x:c r="H421" s="8">
        <x:v>2030</x:v>
      </x:c>
      <x:c r="I421" s="8">
        <x:v>31189260</x:v>
      </x:c>
      <x:c r="J421" s="5" t="s">
        <x:v>556</x:v>
      </x:c>
      <x:c r="K421" s="7"/>
      <x:c r="L421" s="9">
        <x:f t="shared" si="12"/>
        <x:v>6.5086507342591651E-5</x:v>
      </x:c>
      <x:c r="M421" s="8"/>
      <x:c r="N421" s="8"/>
      <x:c r="O421" s="7"/>
      <x:c r="P421" s="9" t="str">
        <x:f t="shared" si="13"/>
      </x:c>
      <x:c r="Q421" s="10" t="s">
        <x:v>274</x:v>
      </x:c>
      <x:c r="R421" s="5" t="s">
        <x:v>557</x:v>
      </x:c>
      <x:c r="S421" s="5" t="s">
        <x:v>558</x:v>
      </x:c>
      <x:c r="T421" s="5" t="s">
        <x:v>559</x:v>
      </x:c>
      <x:c r="U421" s="151"/>
      <x:c r="V421" s="151"/>
      <x:c r="W421" s="151"/>
      <x:c r="X421" s="151"/>
      <x:c r="Y421" s="151"/>
      <x:c r="Z421" s="151"/>
    </x:row>
    <x:row r="422" ht="22" customHeight="1">
      <x:c r="A422" s="5" t="s">
        <x:v>271</x:v>
      </x:c>
      <x:c r="B422" s="5" t="s">
        <x:v>272</x:v>
      </x:c>
      <x:c r="C422" s="6">
        <x:v>46252</x:v>
      </x:c>
      <x:c r="D422" s="5">
        <x:v>2026</x:v>
      </x:c>
      <x:c r="E422" s="5" t="s">
        <x:v>560</x:v>
      </x:c>
      <x:c r="F422" s="5" t="s">
        <x:v>0</x:v>
      </x:c>
      <x:c r="G422" s="5" t="s">
        <x:v>555</x:v>
      </x:c>
      <x:c r="H422" s="8">
        <x:v>50710</x:v>
      </x:c>
      <x:c r="I422" s="8">
        <x:v>31189260</x:v>
      </x:c>
      <x:c r="J422" s="5" t="s">
        <x:v>556</x:v>
      </x:c>
      <x:c r="K422" s="7"/>
      <x:c r="L422" s="9">
        <x:f t="shared" si="12"/>
        <x:v>1.6258801908092721E-3</x:v>
      </x:c>
      <x:c r="M422" s="8"/>
      <x:c r="N422" s="8"/>
      <x:c r="O422" s="7"/>
      <x:c r="P422" s="9" t="str">
        <x:f t="shared" si="13"/>
      </x:c>
      <x:c r="Q422" s="10" t="s">
        <x:v>274</x:v>
      </x:c>
      <x:c r="R422" s="5" t="s">
        <x:v>557</x:v>
      </x:c>
      <x:c r="S422" s="5" t="s">
        <x:v>558</x:v>
      </x:c>
      <x:c r="T422" s="5" t="s">
        <x:v>559</x:v>
      </x:c>
      <x:c r="U422" s="151"/>
      <x:c r="V422" s="151"/>
      <x:c r="W422" s="151"/>
      <x:c r="X422" s="151"/>
      <x:c r="Y422" s="151"/>
      <x:c r="Z422" s="151"/>
    </x:row>
    <x:row r="423" ht="22" customHeight="1">
      <x:c r="A423" s="5" t="s">
        <x:v>271</x:v>
      </x:c>
      <x:c r="B423" s="5" t="s">
        <x:v>272</x:v>
      </x:c>
      <x:c r="C423" s="6">
        <x:v>46252</x:v>
      </x:c>
      <x:c r="D423" s="5">
        <x:v>2026</x:v>
      </x:c>
      <x:c r="E423" s="5" t="s">
        <x:v>561</x:v>
      </x:c>
      <x:c r="F423" s="5" t="s">
        <x:v>0</x:v>
      </x:c>
      <x:c r="G423" s="5" t="s">
        <x:v>555</x:v>
      </x:c>
      <x:c r="H423" s="8">
        <x:v>237110</x:v>
      </x:c>
      <x:c r="I423" s="8">
        <x:v>31189260</x:v>
      </x:c>
      <x:c r="J423" s="5" t="s">
        <x:v>556</x:v>
      </x:c>
      <x:c r="K423" s="7"/>
      <x:c r="L423" s="9">
        <x:f t="shared" si="12"/>
        <x:v>7.6022964315280326E-3</x:v>
      </x:c>
      <x:c r="M423" s="8"/>
      <x:c r="N423" s="8"/>
      <x:c r="O423" s="7"/>
      <x:c r="P423" s="9" t="str">
        <x:f t="shared" si="13"/>
      </x:c>
      <x:c r="Q423" s="10" t="s">
        <x:v>274</x:v>
      </x:c>
      <x:c r="R423" s="5" t="s">
        <x:v>557</x:v>
      </x:c>
      <x:c r="S423" s="5" t="s">
        <x:v>558</x:v>
      </x:c>
      <x:c r="T423" s="5" t="s">
        <x:v>559</x:v>
      </x:c>
      <x:c r="U423" s="151"/>
      <x:c r="V423" s="151"/>
      <x:c r="W423" s="151"/>
      <x:c r="X423" s="151"/>
      <x:c r="Y423" s="151"/>
      <x:c r="Z423" s="151"/>
    </x:row>
    <x:row r="424" ht="22" customHeight="1">
      <x:c r="A424" s="5" t="s">
        <x:v>271</x:v>
      </x:c>
      <x:c r="B424" s="5" t="s">
        <x:v>272</x:v>
      </x:c>
      <x:c r="C424" s="6">
        <x:v>46252</x:v>
      </x:c>
      <x:c r="D424" s="5">
        <x:v>2026</x:v>
      </x:c>
      <x:c r="E424" s="5" t="s">
        <x:v>410</x:v>
      </x:c>
      <x:c r="F424" s="5" t="s">
        <x:v>0</x:v>
      </x:c>
      <x:c r="G424" s="5" t="s">
        <x:v>555</x:v>
      </x:c>
      <x:c r="H424" s="8">
        <x:v>1157640</x:v>
      </x:c>
      <x:c r="I424" s="8">
        <x:v>31189260</x:v>
      </x:c>
      <x:c r="J424" s="5" t="s">
        <x:v>556</x:v>
      </x:c>
      <x:c r="K424" s="7"/>
      <x:c r="L424" s="9">
        <x:f t="shared" si="12"/>
        <x:v>3.711662283747675E-2</x:v>
      </x:c>
      <x:c r="M424" s="8"/>
      <x:c r="N424" s="8"/>
      <x:c r="O424" s="7"/>
      <x:c r="P424" s="9" t="str">
        <x:f t="shared" si="13"/>
      </x:c>
      <x:c r="Q424" s="10" t="s">
        <x:v>274</x:v>
      </x:c>
      <x:c r="R424" s="5" t="s">
        <x:v>557</x:v>
      </x:c>
      <x:c r="S424" s="5" t="s">
        <x:v>558</x:v>
      </x:c>
      <x:c r="T424" s="5" t="s">
        <x:v>559</x:v>
      </x:c>
      <x:c r="U424" s="151"/>
      <x:c r="V424" s="151"/>
      <x:c r="W424" s="151"/>
      <x:c r="X424" s="151"/>
      <x:c r="Y424" s="151"/>
      <x:c r="Z424" s="151"/>
    </x:row>
    <x:row r="425" ht="22" customHeight="1">
      <x:c r="A425" s="5" t="s">
        <x:v>271</x:v>
      </x:c>
      <x:c r="B425" s="5" t="s">
        <x:v>272</x:v>
      </x:c>
      <x:c r="C425" s="6">
        <x:v>46252</x:v>
      </x:c>
      <x:c r="D425" s="5">
        <x:v>2026</x:v>
      </x:c>
      <x:c r="E425" s="5" t="s">
        <x:v>438</x:v>
      </x:c>
      <x:c r="F425" s="5" t="s">
        <x:v>0</x:v>
      </x:c>
      <x:c r="G425" s="5" t="s">
        <x:v>555</x:v>
      </x:c>
      <x:c r="H425" s="8">
        <x:v>29000</x:v>
      </x:c>
      <x:c r="I425" s="8">
        <x:v>31189260</x:v>
      </x:c>
      <x:c r="J425" s="5" t="s">
        <x:v>556</x:v>
      </x:c>
      <x:c r="K425" s="7"/>
      <x:c r="L425" s="9">
        <x:f t="shared" si="12"/>
        <x:v>9.2980724775130921E-4</x:v>
      </x:c>
      <x:c r="M425" s="8"/>
      <x:c r="N425" s="8"/>
      <x:c r="O425" s="7"/>
      <x:c r="P425" s="9" t="str">
        <x:f t="shared" si="13"/>
      </x:c>
      <x:c r="Q425" s="10" t="s">
        <x:v>274</x:v>
      </x:c>
      <x:c r="R425" s="5" t="s">
        <x:v>557</x:v>
      </x:c>
      <x:c r="S425" s="5" t="s">
        <x:v>558</x:v>
      </x:c>
      <x:c r="T425" s="5" t="s">
        <x:v>559</x:v>
      </x:c>
      <x:c r="U425" s="151"/>
      <x:c r="V425" s="151"/>
      <x:c r="W425" s="151"/>
      <x:c r="X425" s="151"/>
      <x:c r="Y425" s="151"/>
      <x:c r="Z425" s="151"/>
    </x:row>
    <x:row r="426" ht="22" customHeight="1">
      <x:c r="A426" s="5" t="s">
        <x:v>271</x:v>
      </x:c>
      <x:c r="B426" s="5" t="s">
        <x:v>272</x:v>
      </x:c>
      <x:c r="C426" s="6">
        <x:v>46252</x:v>
      </x:c>
      <x:c r="D426" s="5">
        <x:v>2026</x:v>
      </x:c>
      <x:c r="E426" s="5" t="s">
        <x:v>439</x:v>
      </x:c>
      <x:c r="F426" s="5" t="s">
        <x:v>0</x:v>
      </x:c>
      <x:c r="G426" s="5" t="s">
        <x:v>555</x:v>
      </x:c>
      <x:c r="H426" s="8">
        <x:v>2030</x:v>
      </x:c>
      <x:c r="I426" s="8">
        <x:v>31189260</x:v>
      </x:c>
      <x:c r="J426" s="5" t="s">
        <x:v>556</x:v>
      </x:c>
      <x:c r="K426" s="7"/>
      <x:c r="L426" s="9">
        <x:f t="shared" si="12"/>
        <x:v>6.5086507342591651E-5</x:v>
      </x:c>
      <x:c r="M426" s="8"/>
      <x:c r="N426" s="8"/>
      <x:c r="O426" s="7"/>
      <x:c r="P426" s="9" t="str">
        <x:f t="shared" si="13"/>
      </x:c>
      <x:c r="Q426" s="10" t="s">
        <x:v>274</x:v>
      </x:c>
      <x:c r="R426" s="5" t="s">
        <x:v>557</x:v>
      </x:c>
      <x:c r="S426" s="5" t="s">
        <x:v>558</x:v>
      </x:c>
      <x:c r="T426" s="5" t="s">
        <x:v>559</x:v>
      </x:c>
      <x:c r="U426" s="151"/>
      <x:c r="V426" s="151"/>
      <x:c r="W426" s="151"/>
      <x:c r="X426" s="151"/>
      <x:c r="Y426" s="151"/>
      <x:c r="Z426" s="151"/>
    </x:row>
    <x:row r="427" ht="22" customHeight="1">
      <x:c r="A427" s="5" t="s">
        <x:v>271</x:v>
      </x:c>
      <x:c r="B427" s="5" t="s">
        <x:v>272</x:v>
      </x:c>
      <x:c r="C427" s="6">
        <x:v>46252</x:v>
      </x:c>
      <x:c r="D427" s="5">
        <x:v>2026</x:v>
      </x:c>
      <x:c r="E427" s="5" t="s">
        <x:v>440</x:v>
      </x:c>
      <x:c r="F427" s="5" t="s">
        <x:v>0</x:v>
      </x:c>
      <x:c r="G427" s="5" t="s">
        <x:v>555</x:v>
      </x:c>
      <x:c r="H427" s="8">
        <x:v>124120</x:v>
      </x:c>
      <x:c r="I427" s="8">
        <x:v>31189260</x:v>
      </x:c>
      <x:c r="J427" s="5" t="s">
        <x:v>556</x:v>
      </x:c>
      <x:c r="K427" s="7"/>
      <x:c r="L427" s="9">
        <x:f t="shared" si="12"/>
        <x:v>3.9795750203756039E-3</x:v>
      </x:c>
      <x:c r="M427" s="8"/>
      <x:c r="N427" s="8"/>
      <x:c r="O427" s="7"/>
      <x:c r="P427" s="9" t="str">
        <x:f t="shared" si="13"/>
      </x:c>
      <x:c r="Q427" s="10" t="s">
        <x:v>274</x:v>
      </x:c>
      <x:c r="R427" s="5" t="s">
        <x:v>557</x:v>
      </x:c>
      <x:c r="S427" s="5" t="s">
        <x:v>558</x:v>
      </x:c>
      <x:c r="T427" s="5" t="s">
        <x:v>559</x:v>
      </x:c>
      <x:c r="U427" s="151"/>
      <x:c r="V427" s="151"/>
      <x:c r="W427" s="151"/>
      <x:c r="X427" s="151"/>
      <x:c r="Y427" s="151"/>
      <x:c r="Z427" s="151"/>
    </x:row>
    <x:row r="428" ht="22" customHeight="1">
      <x:c r="A428" s="5" t="s">
        <x:v>271</x:v>
      </x:c>
      <x:c r="B428" s="5" t="s">
        <x:v>272</x:v>
      </x:c>
      <x:c r="C428" s="6">
        <x:v>46252</x:v>
      </x:c>
      <x:c r="D428" s="5">
        <x:v>2026</x:v>
      </x:c>
      <x:c r="E428" s="5" t="s">
        <x:v>441</x:v>
      </x:c>
      <x:c r="F428" s="5" t="s">
        <x:v>0</x:v>
      </x:c>
      <x:c r="G428" s="5" t="s">
        <x:v>555</x:v>
      </x:c>
      <x:c r="H428" s="8">
        <x:v>30010</x:v>
      </x:c>
      <x:c r="I428" s="8">
        <x:v>31189260</x:v>
      </x:c>
      <x:c r="J428" s="5" t="s">
        <x:v>556</x:v>
      </x:c>
      <x:c r="K428" s="7"/>
      <x:c r="L428" s="9">
        <x:f t="shared" si="12"/>
        <x:v>9.6219018982816526E-4</x:v>
      </x:c>
      <x:c r="M428" s="8"/>
      <x:c r="N428" s="8"/>
      <x:c r="O428" s="7"/>
      <x:c r="P428" s="9" t="str">
        <x:f t="shared" si="13"/>
      </x:c>
      <x:c r="Q428" s="10" t="s">
        <x:v>274</x:v>
      </x:c>
      <x:c r="R428" s="5" t="s">
        <x:v>557</x:v>
      </x:c>
      <x:c r="S428" s="5" t="s">
        <x:v>558</x:v>
      </x:c>
      <x:c r="T428" s="5" t="s">
        <x:v>559</x:v>
      </x:c>
      <x:c r="U428" s="151"/>
      <x:c r="V428" s="151"/>
      <x:c r="W428" s="151"/>
      <x:c r="X428" s="151"/>
      <x:c r="Y428" s="151"/>
      <x:c r="Z428" s="151"/>
    </x:row>
    <x:row r="429" ht="22" customHeight="1">
      <x:c r="A429" s="5" t="s">
        <x:v>271</x:v>
      </x:c>
      <x:c r="B429" s="5" t="s">
        <x:v>272</x:v>
      </x:c>
      <x:c r="C429" s="6">
        <x:v>46252</x:v>
      </x:c>
      <x:c r="D429" s="5">
        <x:v>2026</x:v>
      </x:c>
      <x:c r="E429" s="5" t="s">
        <x:v>562</x:v>
      </x:c>
      <x:c r="F429" s="5" t="s">
        <x:v>0</x:v>
      </x:c>
      <x:c r="G429" s="5" t="s">
        <x:v>555</x:v>
      </x:c>
      <x:c r="H429" s="8">
        <x:v>290530</x:v>
      </x:c>
      <x:c r="I429" s="8">
        <x:v>31189260</x:v>
      </x:c>
      <x:c r="J429" s="5" t="s">
        <x:v>556</x:v>
      </x:c>
      <x:c r="K429" s="7"/>
      <x:c r="L429" s="9">
        <x:f t="shared" si="12"/>
        <x:v>9.3150655065237196E-3</x:v>
      </x:c>
      <x:c r="M429" s="8"/>
      <x:c r="N429" s="8"/>
      <x:c r="O429" s="7"/>
      <x:c r="P429" s="9" t="str">
        <x:f t="shared" si="13"/>
      </x:c>
      <x:c r="Q429" s="10" t="s">
        <x:v>274</x:v>
      </x:c>
      <x:c r="R429" s="5" t="s">
        <x:v>557</x:v>
      </x:c>
      <x:c r="S429" s="5" t="s">
        <x:v>558</x:v>
      </x:c>
      <x:c r="T429" s="5" t="s">
        <x:v>559</x:v>
      </x:c>
      <x:c r="U429" s="151"/>
      <x:c r="V429" s="151"/>
      <x:c r="W429" s="151"/>
      <x:c r="X429" s="151"/>
      <x:c r="Y429" s="151"/>
      <x:c r="Z429" s="151"/>
    </x:row>
    <x:row r="430" ht="22" customHeight="1">
      <x:c r="A430" s="5" t="s">
        <x:v>271</x:v>
      </x:c>
      <x:c r="B430" s="5" t="s">
        <x:v>272</x:v>
      </x:c>
      <x:c r="C430" s="6">
        <x:v>46252</x:v>
      </x:c>
      <x:c r="D430" s="5">
        <x:v>2026</x:v>
      </x:c>
      <x:c r="E430" s="5" t="s">
        <x:v>411</x:v>
      </x:c>
      <x:c r="F430" s="5" t="s">
        <x:v>0</x:v>
      </x:c>
      <x:c r="G430" s="5" t="s">
        <x:v>555</x:v>
      </x:c>
      <x:c r="H430" s="8">
        <x:v>360170</x:v>
      </x:c>
      <x:c r="I430" s="8">
        <x:v>31189260</x:v>
      </x:c>
      <x:c r="J430" s="5" t="s">
        <x:v>556</x:v>
      </x:c>
      <x:c r="K430" s="7"/>
      <x:c r="L430" s="9">
        <x:f t="shared" si="12"/>
        <x:v>1.1547885393882381E-2</x:v>
      </x:c>
      <x:c r="M430" s="8"/>
      <x:c r="N430" s="8"/>
      <x:c r="O430" s="7"/>
      <x:c r="P430" s="9" t="str">
        <x:f t="shared" si="13"/>
      </x:c>
      <x:c r="Q430" s="10" t="s">
        <x:v>274</x:v>
      </x:c>
      <x:c r="R430" s="5" t="s">
        <x:v>557</x:v>
      </x:c>
      <x:c r="S430" s="5" t="s">
        <x:v>558</x:v>
      </x:c>
      <x:c r="T430" s="5" t="s">
        <x:v>559</x:v>
      </x:c>
      <x:c r="U430" s="151"/>
      <x:c r="V430" s="151"/>
      <x:c r="W430" s="151"/>
      <x:c r="X430" s="151"/>
      <x:c r="Y430" s="151"/>
      <x:c r="Z430" s="151"/>
    </x:row>
    <x:row r="431" ht="22" customHeight="1">
      <x:c r="A431" s="5" t="s">
        <x:v>271</x:v>
      </x:c>
      <x:c r="B431" s="5" t="s">
        <x:v>272</x:v>
      </x:c>
      <x:c r="C431" s="6">
        <x:v>46252</x:v>
      </x:c>
      <x:c r="D431" s="5">
        <x:v>2026</x:v>
      </x:c>
      <x:c r="E431" s="5" t="s">
        <x:v>443</x:v>
      </x:c>
      <x:c r="F431" s="5" t="s">
        <x:v>0</x:v>
      </x:c>
      <x:c r="G431" s="5" t="s">
        <x:v>555</x:v>
      </x:c>
      <x:c r="H431" s="8">
        <x:v>21010</x:v>
      </x:c>
      <x:c r="I431" s="8">
        <x:v>31189260</x:v>
      </x:c>
      <x:c r="J431" s="5" t="s">
        <x:v>556</x:v>
      </x:c>
      <x:c r="K431" s="7"/>
      <x:c r="L431" s="9">
        <x:f t="shared" si="12"/>
        <x:v>6.7362931983637963E-4</x:v>
      </x:c>
      <x:c r="M431" s="8"/>
      <x:c r="N431" s="8"/>
      <x:c r="O431" s="7"/>
      <x:c r="P431" s="9" t="str">
        <x:f t="shared" si="13"/>
      </x:c>
      <x:c r="Q431" s="10" t="s">
        <x:v>274</x:v>
      </x:c>
      <x:c r="R431" s="5" t="s">
        <x:v>557</x:v>
      </x:c>
      <x:c r="S431" s="5" t="s">
        <x:v>558</x:v>
      </x:c>
      <x:c r="T431" s="5" t="s">
        <x:v>559</x:v>
      </x:c>
      <x:c r="U431" s="151"/>
      <x:c r="V431" s="151"/>
      <x:c r="W431" s="151"/>
      <x:c r="X431" s="151"/>
      <x:c r="Y431" s="151"/>
      <x:c r="Z431" s="151"/>
    </x:row>
    <x:row r="432" ht="22" customHeight="1">
      <x:c r="A432" s="5" t="s">
        <x:v>271</x:v>
      </x:c>
      <x:c r="B432" s="5" t="s">
        <x:v>272</x:v>
      </x:c>
      <x:c r="C432" s="6">
        <x:v>46252</x:v>
      </x:c>
      <x:c r="D432" s="5">
        <x:v>2026</x:v>
      </x:c>
      <x:c r="E432" s="5" t="s">
        <x:v>563</x:v>
      </x:c>
      <x:c r="F432" s="5" t="s">
        <x:v>0</x:v>
      </x:c>
      <x:c r="G432" s="5" t="s">
        <x:v>555</x:v>
      </x:c>
      <x:c r="H432" s="8">
        <x:v>30010</x:v>
      </x:c>
      <x:c r="I432" s="8">
        <x:v>31189260</x:v>
      </x:c>
      <x:c r="J432" s="5" t="s">
        <x:v>556</x:v>
      </x:c>
      <x:c r="K432" s="7"/>
      <x:c r="L432" s="9">
        <x:f t="shared" si="12"/>
        <x:v>9.6219018982816526E-4</x:v>
      </x:c>
      <x:c r="M432" s="8"/>
      <x:c r="N432" s="8"/>
      <x:c r="O432" s="7"/>
      <x:c r="P432" s="9" t="str">
        <x:f t="shared" si="13"/>
      </x:c>
      <x:c r="Q432" s="10" t="s">
        <x:v>274</x:v>
      </x:c>
      <x:c r="R432" s="5" t="s">
        <x:v>557</x:v>
      </x:c>
      <x:c r="S432" s="5" t="s">
        <x:v>558</x:v>
      </x:c>
      <x:c r="T432" s="5" t="s">
        <x:v>559</x:v>
      </x:c>
      <x:c r="U432" s="151"/>
      <x:c r="V432" s="151"/>
      <x:c r="W432" s="151"/>
      <x:c r="X432" s="151"/>
      <x:c r="Y432" s="151"/>
      <x:c r="Z432" s="151"/>
    </x:row>
    <x:row r="433" ht="22" customHeight="1">
      <x:c r="A433" s="5" t="s">
        <x:v>271</x:v>
      </x:c>
      <x:c r="B433" s="5" t="s">
        <x:v>272</x:v>
      </x:c>
      <x:c r="C433" s="6">
        <x:v>46252</x:v>
      </x:c>
      <x:c r="D433" s="5">
        <x:v>2026</x:v>
      </x:c>
      <x:c r="E433" s="5" t="s">
        <x:v>328</x:v>
      </x:c>
      <x:c r="F433" s="5" t="s">
        <x:v>1</x:v>
      </x:c>
      <x:c r="G433" s="5" t="s">
        <x:v>564</x:v>
      </x:c>
      <x:c r="H433" s="8">
        <x:v>1021460</x:v>
      </x:c>
      <x:c r="I433" s="8">
        <x:v>31189260</x:v>
      </x:c>
      <x:c r="J433" s="5" t="s">
        <x:v>556</x:v>
      </x:c>
      <x:c r="K433" s="7"/>
      <x:c r="L433" s="9">
        <x:f t="shared" si="12"/>
        <x:v>3.2750376251312149E-2</x:v>
      </x:c>
      <x:c r="M433" s="8"/>
      <x:c r="N433" s="8"/>
      <x:c r="O433" s="7"/>
      <x:c r="P433" s="9" t="str">
        <x:f t="shared" si="13"/>
      </x:c>
      <x:c r="Q433" s="10" t="s">
        <x:v>274</x:v>
      </x:c>
      <x:c r="R433" s="5" t="s">
        <x:v>557</x:v>
      </x:c>
      <x:c r="S433" s="5" t="s">
        <x:v>558</x:v>
      </x:c>
      <x:c r="T433" s="5" t="s">
        <x:v>559</x:v>
      </x:c>
      <x:c r="U433" s="151"/>
      <x:c r="V433" s="151"/>
      <x:c r="W433" s="151"/>
      <x:c r="X433" s="151"/>
      <x:c r="Y433" s="151"/>
      <x:c r="Z433" s="151"/>
    </x:row>
    <x:row r="434" ht="22" customHeight="1">
      <x:c r="A434" s="5" t="s">
        <x:v>271</x:v>
      </x:c>
      <x:c r="B434" s="5" t="s">
        <x:v>272</x:v>
      </x:c>
      <x:c r="C434" s="6">
        <x:v>46252</x:v>
      </x:c>
      <x:c r="D434" s="5">
        <x:v>2026</x:v>
      </x:c>
      <x:c r="E434" s="5" t="s">
        <x:v>565</x:v>
      </x:c>
      <x:c r="F434" s="5" t="s">
        <x:v>1</x:v>
      </x:c>
      <x:c r="G434" s="5" t="s">
        <x:v>564</x:v>
      </x:c>
      <x:c r="H434" s="8">
        <x:v>900440</x:v>
      </x:c>
      <x:c r="I434" s="8">
        <x:v>31189260</x:v>
      </x:c>
      <x:c r="J434" s="5" t="s">
        <x:v>556</x:v>
      </x:c>
      <x:c r="K434" s="7"/>
      <x:c r="L434" s="9">
        <x:f t="shared" si="12"/>
        <x:v>2.8870194419489272E-2</x:v>
      </x:c>
      <x:c r="M434" s="8"/>
      <x:c r="N434" s="8"/>
      <x:c r="O434" s="7"/>
      <x:c r="P434" s="9" t="str">
        <x:f t="shared" si="13"/>
      </x:c>
      <x:c r="Q434" s="10" t="s">
        <x:v>274</x:v>
      </x:c>
      <x:c r="R434" s="5" t="s">
        <x:v>557</x:v>
      </x:c>
      <x:c r="S434" s="5" t="s">
        <x:v>558</x:v>
      </x:c>
      <x:c r="T434" s="5" t="s">
        <x:v>559</x:v>
      </x:c>
      <x:c r="U434" s="151"/>
      <x:c r="V434" s="151"/>
      <x:c r="W434" s="151"/>
      <x:c r="X434" s="151"/>
      <x:c r="Y434" s="151"/>
      <x:c r="Z434" s="151"/>
    </x:row>
    <x:row r="435" ht="22" customHeight="1">
      <x:c r="A435" s="5" t="s">
        <x:v>271</x:v>
      </x:c>
      <x:c r="B435" s="5" t="s">
        <x:v>272</x:v>
      </x:c>
      <x:c r="C435" s="6">
        <x:v>46252</x:v>
      </x:c>
      <x:c r="D435" s="5">
        <x:v>2026</x:v>
      </x:c>
      <x:c r="E435" s="5" t="s">
        <x:v>412</x:v>
      </x:c>
      <x:c r="F435" s="5" t="s">
        <x:v>0</x:v>
      </x:c>
      <x:c r="G435" s="5" t="s">
        <x:v>555</x:v>
      </x:c>
      <x:c r="H435" s="8">
        <x:v>375180</x:v>
      </x:c>
      <x:c r="I435" s="8">
        <x:v>31189260</x:v>
      </x:c>
      <x:c r="J435" s="5" t="s">
        <x:v>556</x:v>
      </x:c>
      <x:c r="K435" s="7"/>
      <x:c r="L435" s="9">
        <x:f t="shared" si="12"/>
        <x:v>1.2029140800390904E-2</x:v>
      </x:c>
      <x:c r="M435" s="8"/>
      <x:c r="N435" s="8"/>
      <x:c r="O435" s="7"/>
      <x:c r="P435" s="9" t="str">
        <x:f t="shared" si="13"/>
      </x:c>
      <x:c r="Q435" s="10" t="s">
        <x:v>274</x:v>
      </x:c>
      <x:c r="R435" s="5" t="s">
        <x:v>557</x:v>
      </x:c>
      <x:c r="S435" s="5" t="s">
        <x:v>558</x:v>
      </x:c>
      <x:c r="T435" s="5" t="s">
        <x:v>559</x:v>
      </x:c>
      <x:c r="U435" s="151"/>
      <x:c r="V435" s="151"/>
      <x:c r="W435" s="151"/>
      <x:c r="X435" s="151"/>
      <x:c r="Y435" s="151"/>
      <x:c r="Z435" s="151"/>
    </x:row>
    <x:row r="436" ht="22" customHeight="1">
      <x:c r="A436" s="5" t="s">
        <x:v>271</x:v>
      </x:c>
      <x:c r="B436" s="5" t="s">
        <x:v>272</x:v>
      </x:c>
      <x:c r="C436" s="6">
        <x:v>46252</x:v>
      </x:c>
      <x:c r="D436" s="5">
        <x:v>2026</x:v>
      </x:c>
      <x:c r="E436" s="5" t="s">
        <x:v>413</x:v>
      </x:c>
      <x:c r="F436" s="5" t="s">
        <x:v>0</x:v>
      </x:c>
      <x:c r="G436" s="5" t="s">
        <x:v>555</x:v>
      </x:c>
      <x:c r="H436" s="8">
        <x:v>2556510</x:v>
      </x:c>
      <x:c r="I436" s="8">
        <x:v>31189260</x:v>
      </x:c>
      <x:c r="J436" s="5" t="s">
        <x:v>556</x:v>
      </x:c>
      <x:c r="K436" s="7"/>
      <x:c r="L436" s="9">
        <x:f t="shared" si="12"/>
        <x:v>8.1967638860299993E-2</x:v>
      </x:c>
      <x:c r="M436" s="8"/>
      <x:c r="N436" s="8"/>
      <x:c r="O436" s="7"/>
      <x:c r="P436" s="9" t="str">
        <x:f t="shared" si="13"/>
      </x:c>
      <x:c r="Q436" s="10" t="s">
        <x:v>274</x:v>
      </x:c>
      <x:c r="R436" s="5" t="s">
        <x:v>557</x:v>
      </x:c>
      <x:c r="S436" s="5" t="s">
        <x:v>558</x:v>
      </x:c>
      <x:c r="T436" s="5" t="s">
        <x:v>559</x:v>
      </x:c>
      <x:c r="U436" s="151"/>
      <x:c r="V436" s="151"/>
      <x:c r="W436" s="151"/>
      <x:c r="X436" s="151"/>
      <x:c r="Y436" s="151"/>
      <x:c r="Z436" s="151"/>
    </x:row>
    <x:row r="437" ht="22" customHeight="1">
      <x:c r="A437" s="5" t="s">
        <x:v>271</x:v>
      </x:c>
      <x:c r="B437" s="5" t="s">
        <x:v>272</x:v>
      </x:c>
      <x:c r="C437" s="6">
        <x:v>46252</x:v>
      </x:c>
      <x:c r="D437" s="5">
        <x:v>2026</x:v>
      </x:c>
      <x:c r="E437" s="5" t="s">
        <x:v>369</x:v>
      </x:c>
      <x:c r="F437" s="5" t="s">
        <x:v>0</x:v>
      </x:c>
      <x:c r="G437" s="5" t="s">
        <x:v>555</x:v>
      </x:c>
      <x:c r="H437" s="8">
        <x:v>34040</x:v>
      </x:c>
      <x:c r="I437" s="8">
        <x:v>31189260</x:v>
      </x:c>
      <x:c r="J437" s="5" t="s">
        <x:v>556</x:v>
      </x:c>
      <x:c r="K437" s="7"/>
      <x:c r="L437" s="9">
        <x:f t="shared" si="12"/>
        <x:v>1.0914013349467091E-3</x:v>
      </x:c>
      <x:c r="M437" s="8"/>
      <x:c r="N437" s="8"/>
      <x:c r="O437" s="7"/>
      <x:c r="P437" s="9" t="str">
        <x:f t="shared" si="13"/>
      </x:c>
      <x:c r="Q437" s="10" t="s">
        <x:v>274</x:v>
      </x:c>
      <x:c r="R437" s="5" t="s">
        <x:v>557</x:v>
      </x:c>
      <x:c r="S437" s="5" t="s">
        <x:v>558</x:v>
      </x:c>
      <x:c r="T437" s="5" t="s">
        <x:v>559</x:v>
      </x:c>
      <x:c r="U437" s="151"/>
      <x:c r="V437" s="151"/>
      <x:c r="W437" s="151"/>
      <x:c r="X437" s="151"/>
      <x:c r="Y437" s="151"/>
      <x:c r="Z437" s="151"/>
    </x:row>
    <x:row r="438" ht="22" customHeight="1">
      <x:c r="A438" s="5" t="s">
        <x:v>271</x:v>
      </x:c>
      <x:c r="B438" s="5" t="s">
        <x:v>272</x:v>
      </x:c>
      <x:c r="C438" s="6">
        <x:v>46252</x:v>
      </x:c>
      <x:c r="D438" s="5">
        <x:v>2026</x:v>
      </x:c>
      <x:c r="E438" s="5" t="s">
        <x:v>414</x:v>
      </x:c>
      <x:c r="F438" s="5" t="s">
        <x:v>0</x:v>
      </x:c>
      <x:c r="G438" s="5" t="s">
        <x:v>555</x:v>
      </x:c>
      <x:c r="H438" s="8">
        <x:v>2556510</x:v>
      </x:c>
      <x:c r="I438" s="8">
        <x:v>31189260</x:v>
      </x:c>
      <x:c r="J438" s="5" t="s">
        <x:v>556</x:v>
      </x:c>
      <x:c r="K438" s="7"/>
      <x:c r="L438" s="9">
        <x:f t="shared" si="12"/>
        <x:v>8.1967638860299993E-2</x:v>
      </x:c>
      <x:c r="M438" s="8"/>
      <x:c r="N438" s="8"/>
      <x:c r="O438" s="7"/>
      <x:c r="P438" s="9" t="str">
        <x:f t="shared" si="13"/>
      </x:c>
      <x:c r="Q438" s="10" t="s">
        <x:v>274</x:v>
      </x:c>
      <x:c r="R438" s="5" t="s">
        <x:v>557</x:v>
      </x:c>
      <x:c r="S438" s="5" t="s">
        <x:v>558</x:v>
      </x:c>
      <x:c r="T438" s="5" t="s">
        <x:v>559</x:v>
      </x:c>
      <x:c r="U438" s="151"/>
      <x:c r="V438" s="151"/>
      <x:c r="W438" s="151"/>
      <x:c r="X438" s="151"/>
      <x:c r="Y438" s="151"/>
      <x:c r="Z438" s="151"/>
    </x:row>
    <x:row r="439" ht="22" customHeight="1">
      <x:c r="A439" s="5" t="s">
        <x:v>271</x:v>
      </x:c>
      <x:c r="B439" s="5" t="s">
        <x:v>272</x:v>
      </x:c>
      <x:c r="C439" s="6">
        <x:v>46252</x:v>
      </x:c>
      <x:c r="D439" s="5">
        <x:v>2026</x:v>
      </x:c>
      <x:c r="E439" s="5" t="s">
        <x:v>446</x:v>
      </x:c>
      <x:c r="F439" s="5" t="s">
        <x:v>0</x:v>
      </x:c>
      <x:c r="G439" s="5" t="s">
        <x:v>555</x:v>
      </x:c>
      <x:c r="H439" s="8">
        <x:v>195080</x:v>
      </x:c>
      <x:c r="I439" s="8">
        <x:v>31189260</x:v>
      </x:c>
      <x:c r="J439" s="5" t="s">
        <x:v>556</x:v>
      </x:c>
      <x:c r="K439" s="7"/>
      <x:c r="L439" s="9">
        <x:f t="shared" si="12"/>
        <x:v>6.2547171686663933E-3</x:v>
      </x:c>
      <x:c r="M439" s="8"/>
      <x:c r="N439" s="8"/>
      <x:c r="O439" s="7"/>
      <x:c r="P439" s="9" t="str">
        <x:f t="shared" si="13"/>
      </x:c>
      <x:c r="Q439" s="10" t="s">
        <x:v>274</x:v>
      </x:c>
      <x:c r="R439" s="5" t="s">
        <x:v>557</x:v>
      </x:c>
      <x:c r="S439" s="5" t="s">
        <x:v>558</x:v>
      </x:c>
      <x:c r="T439" s="5" t="s">
        <x:v>559</x:v>
      </x:c>
      <x:c r="U439" s="151"/>
      <x:c r="V439" s="151"/>
      <x:c r="W439" s="151"/>
      <x:c r="X439" s="151"/>
      <x:c r="Y439" s="151"/>
      <x:c r="Z439" s="151"/>
    </x:row>
    <x:row r="440" ht="22" customHeight="1">
      <x:c r="A440" s="5" t="s">
        <x:v>271</x:v>
      </x:c>
      <x:c r="B440" s="5" t="s">
        <x:v>272</x:v>
      </x:c>
      <x:c r="C440" s="6">
        <x:v>46252</x:v>
      </x:c>
      <x:c r="D440" s="5">
        <x:v>2026</x:v>
      </x:c>
      <x:c r="E440" s="5" t="s">
        <x:v>448</x:v>
      </x:c>
      <x:c r="F440" s="5" t="s">
        <x:v>0</x:v>
      </x:c>
      <x:c r="G440" s="5" t="s">
        <x:v>555</x:v>
      </x:c>
      <x:c r="H440" s="8">
        <x:v>237110</x:v>
      </x:c>
      <x:c r="I440" s="8">
        <x:v>31189260</x:v>
      </x:c>
      <x:c r="J440" s="5" t="s">
        <x:v>556</x:v>
      </x:c>
      <x:c r="K440" s="7"/>
      <x:c r="L440" s="9">
        <x:f t="shared" si="12"/>
        <x:v>7.6022964315280326E-3</x:v>
      </x:c>
      <x:c r="M440" s="8"/>
      <x:c r="N440" s="8"/>
      <x:c r="O440" s="7"/>
      <x:c r="P440" s="9" t="str">
        <x:f t="shared" si="13"/>
      </x:c>
      <x:c r="Q440" s="10" t="s">
        <x:v>274</x:v>
      </x:c>
      <x:c r="R440" s="5" t="s">
        <x:v>557</x:v>
      </x:c>
      <x:c r="S440" s="5" t="s">
        <x:v>558</x:v>
      </x:c>
      <x:c r="T440" s="5" t="s">
        <x:v>559</x:v>
      </x:c>
      <x:c r="U440" s="151"/>
      <x:c r="V440" s="151"/>
      <x:c r="W440" s="151"/>
      <x:c r="X440" s="151"/>
      <x:c r="Y440" s="151"/>
      <x:c r="Z440" s="151"/>
    </x:row>
    <x:row r="441" ht="22" customHeight="1">
      <x:c r="A441" s="5" t="s">
        <x:v>271</x:v>
      </x:c>
      <x:c r="B441" s="5" t="s">
        <x:v>272</x:v>
      </x:c>
      <x:c r="C441" s="6">
        <x:v>46252</x:v>
      </x:c>
      <x:c r="D441" s="5">
        <x:v>2026</x:v>
      </x:c>
      <x:c r="E441" s="5" t="s">
        <x:v>449</x:v>
      </x:c>
      <x:c r="F441" s="5" t="s">
        <x:v>0</x:v>
      </x:c>
      <x:c r="G441" s="5" t="s">
        <x:v>555</x:v>
      </x:c>
      <x:c r="H441" s="8">
        <x:v>30010</x:v>
      </x:c>
      <x:c r="I441" s="8">
        <x:v>31189260</x:v>
      </x:c>
      <x:c r="J441" s="5" t="s">
        <x:v>556</x:v>
      </x:c>
      <x:c r="K441" s="7"/>
      <x:c r="L441" s="9">
        <x:f t="shared" si="12"/>
        <x:v>9.6219018982816526E-4</x:v>
      </x:c>
      <x:c r="M441" s="8"/>
      <x:c r="N441" s="8"/>
      <x:c r="O441" s="7"/>
      <x:c r="P441" s="9" t="str">
        <x:f t="shared" si="13"/>
      </x:c>
      <x:c r="Q441" s="10" t="s">
        <x:v>274</x:v>
      </x:c>
      <x:c r="R441" s="5" t="s">
        <x:v>557</x:v>
      </x:c>
      <x:c r="S441" s="5" t="s">
        <x:v>558</x:v>
      </x:c>
      <x:c r="T441" s="5" t="s">
        <x:v>559</x:v>
      </x:c>
      <x:c r="U441" s="151"/>
      <x:c r="V441" s="151"/>
      <x:c r="W441" s="151"/>
      <x:c r="X441" s="151"/>
      <x:c r="Y441" s="151"/>
      <x:c r="Z441" s="151"/>
    </x:row>
    <x:row r="442" ht="22" customHeight="1">
      <x:c r="A442" s="5" t="s">
        <x:v>271</x:v>
      </x:c>
      <x:c r="B442" s="5" t="s">
        <x:v>272</x:v>
      </x:c>
      <x:c r="C442" s="6">
        <x:v>46252</x:v>
      </x:c>
      <x:c r="D442" s="5">
        <x:v>2026</x:v>
      </x:c>
      <x:c r="E442" s="5" t="s">
        <x:v>371</x:v>
      </x:c>
      <x:c r="F442" s="5" t="s">
        <x:v>0</x:v>
      </x:c>
      <x:c r="G442" s="5" t="s">
        <x:v>555</x:v>
      </x:c>
      <x:c r="H442" s="8">
        <x:v>9860</x:v>
      </x:c>
      <x:c r="I442" s="8">
        <x:v>31189260</x:v>
      </x:c>
      <x:c r="J442" s="5" t="s">
        <x:v>556</x:v>
      </x:c>
      <x:c r="K442" s="7"/>
      <x:c r="L442" s="9">
        <x:f t="shared" si="12"/>
        <x:v>3.1613446423544515E-4</x:v>
      </x:c>
      <x:c r="M442" s="8"/>
      <x:c r="N442" s="8"/>
      <x:c r="O442" s="7"/>
      <x:c r="P442" s="9" t="str">
        <x:f t="shared" si="13"/>
      </x:c>
      <x:c r="Q442" s="10" t="s">
        <x:v>274</x:v>
      </x:c>
      <x:c r="R442" s="5" t="s">
        <x:v>557</x:v>
      </x:c>
      <x:c r="S442" s="5" t="s">
        <x:v>558</x:v>
      </x:c>
      <x:c r="T442" s="5" t="s">
        <x:v>559</x:v>
      </x:c>
      <x:c r="U442" s="151"/>
      <x:c r="V442" s="151"/>
      <x:c r="W442" s="151"/>
      <x:c r="X442" s="151"/>
      <x:c r="Y442" s="151"/>
      <x:c r="Z442" s="151"/>
    </x:row>
    <x:row r="443" ht="22" customHeight="1">
      <x:c r="A443" s="5" t="s">
        <x:v>271</x:v>
      </x:c>
      <x:c r="B443" s="5" t="s">
        <x:v>272</x:v>
      </x:c>
      <x:c r="C443" s="6">
        <x:v>46252</x:v>
      </x:c>
      <x:c r="D443" s="5">
        <x:v>2026</x:v>
      </x:c>
      <x:c r="E443" s="5" t="s">
        <x:v>451</x:v>
      </x:c>
      <x:c r="F443" s="5" t="s">
        <x:v>0</x:v>
      </x:c>
      <x:c r="G443" s="5" t="s">
        <x:v>555</x:v>
      </x:c>
      <x:c r="H443" s="8">
        <x:v>2030</x:v>
      </x:c>
      <x:c r="I443" s="8">
        <x:v>31189260</x:v>
      </x:c>
      <x:c r="J443" s="5" t="s">
        <x:v>556</x:v>
      </x:c>
      <x:c r="K443" s="7"/>
      <x:c r="L443" s="9">
        <x:f t="shared" si="12"/>
        <x:v>6.5086507342591651E-5</x:v>
      </x:c>
      <x:c r="M443" s="8"/>
      <x:c r="N443" s="8"/>
      <x:c r="O443" s="7"/>
      <x:c r="P443" s="9" t="str">
        <x:f t="shared" si="13"/>
      </x:c>
      <x:c r="Q443" s="10" t="s">
        <x:v>274</x:v>
      </x:c>
      <x:c r="R443" s="5" t="s">
        <x:v>557</x:v>
      </x:c>
      <x:c r="S443" s="5" t="s">
        <x:v>558</x:v>
      </x:c>
      <x:c r="T443" s="5" t="s">
        <x:v>559</x:v>
      </x:c>
      <x:c r="U443" s="151"/>
      <x:c r="V443" s="151"/>
      <x:c r="W443" s="151"/>
      <x:c r="X443" s="151"/>
      <x:c r="Y443" s="151"/>
      <x:c r="Z443" s="151"/>
    </x:row>
    <x:row r="444" ht="22" customHeight="1">
      <x:c r="A444" s="5" t="s">
        <x:v>271</x:v>
      </x:c>
      <x:c r="B444" s="5" t="s">
        <x:v>272</x:v>
      </x:c>
      <x:c r="C444" s="6">
        <x:v>46252</x:v>
      </x:c>
      <x:c r="D444" s="5">
        <x:v>2026</x:v>
      </x:c>
      <x:c r="E444" s="5" t="s">
        <x:v>415</x:v>
      </x:c>
      <x:c r="F444" s="5" t="s">
        <x:v>0</x:v>
      </x:c>
      <x:c r="G444" s="5" t="s">
        <x:v>555</x:v>
      </x:c>
      <x:c r="H444" s="8">
        <x:v>102140</x:v>
      </x:c>
      <x:c r="I444" s="8">
        <x:v>31189260</x:v>
      </x:c>
      <x:c r="J444" s="5" t="s">
        <x:v>556</x:v>
      </x:c>
      <x:c r="K444" s="7"/>
      <x:c r="L444" s="9">
        <x:f t="shared" si="12"/>
        <x:v>3.2748452512178874E-3</x:v>
      </x:c>
      <x:c r="M444" s="8"/>
      <x:c r="N444" s="8"/>
      <x:c r="O444" s="7"/>
      <x:c r="P444" s="9" t="str">
        <x:f t="shared" si="13"/>
      </x:c>
      <x:c r="Q444" s="10" t="s">
        <x:v>274</x:v>
      </x:c>
      <x:c r="R444" s="5" t="s">
        <x:v>557</x:v>
      </x:c>
      <x:c r="S444" s="5" t="s">
        <x:v>558</x:v>
      </x:c>
      <x:c r="T444" s="5" t="s">
        <x:v>559</x:v>
      </x:c>
      <x:c r="U444" s="151"/>
      <x:c r="V444" s="151"/>
      <x:c r="W444" s="151"/>
      <x:c r="X444" s="151"/>
      <x:c r="Y444" s="151"/>
      <x:c r="Z444" s="151"/>
    </x:row>
    <x:row r="445" ht="22" customHeight="1">
      <x:c r="A445" s="5" t="s">
        <x:v>271</x:v>
      </x:c>
      <x:c r="B445" s="5" t="s">
        <x:v>272</x:v>
      </x:c>
      <x:c r="C445" s="6">
        <x:v>46252</x:v>
      </x:c>
      <x:c r="D445" s="5">
        <x:v>2026</x:v>
      </x:c>
      <x:c r="E445" s="5" t="s">
        <x:v>452</x:v>
      </x:c>
      <x:c r="F445" s="5" t="s">
        <x:v>0</x:v>
      </x:c>
      <x:c r="G445" s="5" t="s">
        <x:v>555</x:v>
      </x:c>
      <x:c r="H445" s="8">
        <x:v>195080</x:v>
      </x:c>
      <x:c r="I445" s="8">
        <x:v>31189260</x:v>
      </x:c>
      <x:c r="J445" s="5" t="s">
        <x:v>556</x:v>
      </x:c>
      <x:c r="K445" s="7"/>
      <x:c r="L445" s="9">
        <x:f t="shared" si="12"/>
        <x:v>6.2547171686663933E-3</x:v>
      </x:c>
      <x:c r="M445" s="8"/>
      <x:c r="N445" s="8"/>
      <x:c r="O445" s="7"/>
      <x:c r="P445" s="9" t="str">
        <x:f t="shared" si="13"/>
      </x:c>
      <x:c r="Q445" s="10" t="s">
        <x:v>274</x:v>
      </x:c>
      <x:c r="R445" s="5" t="s">
        <x:v>557</x:v>
      </x:c>
      <x:c r="S445" s="5" t="s">
        <x:v>558</x:v>
      </x:c>
      <x:c r="T445" s="5" t="s">
        <x:v>559</x:v>
      </x:c>
      <x:c r="U445" s="151"/>
      <x:c r="V445" s="151"/>
      <x:c r="W445" s="151"/>
      <x:c r="X445" s="151"/>
      <x:c r="Y445" s="151"/>
      <x:c r="Z445" s="151"/>
    </x:row>
    <x:row r="446" ht="22" customHeight="1">
      <x:c r="A446" s="5" t="s">
        <x:v>271</x:v>
      </x:c>
      <x:c r="B446" s="5" t="s">
        <x:v>272</x:v>
      </x:c>
      <x:c r="C446" s="6">
        <x:v>46252</x:v>
      </x:c>
      <x:c r="D446" s="5">
        <x:v>2026</x:v>
      </x:c>
      <x:c r="E446" s="5" t="s">
        <x:v>416</x:v>
      </x:c>
      <x:c r="F446" s="5" t="s">
        <x:v>0</x:v>
      </x:c>
      <x:c r="G446" s="5" t="s">
        <x:v>555</x:v>
      </x:c>
      <x:c r="H446" s="8">
        <x:v>2556510</x:v>
      </x:c>
      <x:c r="I446" s="8">
        <x:v>31189260</x:v>
      </x:c>
      <x:c r="J446" s="5" t="s">
        <x:v>556</x:v>
      </x:c>
      <x:c r="K446" s="7"/>
      <x:c r="L446" s="9">
        <x:f t="shared" si="12"/>
        <x:v>8.1967638860299993E-2</x:v>
      </x:c>
      <x:c r="M446" s="8"/>
      <x:c r="N446" s="8"/>
      <x:c r="O446" s="7"/>
      <x:c r="P446" s="9" t="str">
        <x:f t="shared" si="13"/>
      </x:c>
      <x:c r="Q446" s="10" t="s">
        <x:v>274</x:v>
      </x:c>
      <x:c r="R446" s="5" t="s">
        <x:v>557</x:v>
      </x:c>
      <x:c r="S446" s="5" t="s">
        <x:v>558</x:v>
      </x:c>
      <x:c r="T446" s="5" t="s">
        <x:v>559</x:v>
      </x:c>
      <x:c r="U446" s="151"/>
      <x:c r="V446" s="151"/>
      <x:c r="W446" s="151"/>
      <x:c r="X446" s="151"/>
      <x:c r="Y446" s="151"/>
      <x:c r="Z446" s="151"/>
    </x:row>
    <x:row r="447" ht="22" customHeight="1">
      <x:c r="A447" s="5" t="s">
        <x:v>271</x:v>
      </x:c>
      <x:c r="B447" s="5" t="s">
        <x:v>272</x:v>
      </x:c>
      <x:c r="C447" s="6">
        <x:v>46252</x:v>
      </x:c>
      <x:c r="D447" s="5">
        <x:v>2026</x:v>
      </x:c>
      <x:c r="E447" s="5" t="s">
        <x:v>373</x:v>
      </x:c>
      <x:c r="F447" s="5" t="s">
        <x:v>0</x:v>
      </x:c>
      <x:c r="G447" s="5" t="s">
        <x:v>555</x:v>
      </x:c>
      <x:c r="H447" s="8">
        <x:v>2900110</x:v>
      </x:c>
      <x:c r="I447" s="8">
        <x:v>31189260</x:v>
      </x:c>
      <x:c r="J447" s="5" t="s">
        <x:v>556</x:v>
      </x:c>
      <x:c r="K447" s="7"/>
      <x:c r="L447" s="9">
        <x:f t="shared" si="12"/>
        <x:v>9.2984251630208598E-2</x:v>
      </x:c>
      <x:c r="M447" s="8"/>
      <x:c r="N447" s="8"/>
      <x:c r="O447" s="7"/>
      <x:c r="P447" s="9" t="str">
        <x:f t="shared" si="13"/>
      </x:c>
      <x:c r="Q447" s="10" t="s">
        <x:v>274</x:v>
      </x:c>
      <x:c r="R447" s="5" t="s">
        <x:v>557</x:v>
      </x:c>
      <x:c r="S447" s="5" t="s">
        <x:v>558</x:v>
      </x:c>
      <x:c r="T447" s="5" t="s">
        <x:v>559</x:v>
      </x:c>
      <x:c r="U447" s="151"/>
      <x:c r="V447" s="151"/>
      <x:c r="W447" s="151"/>
      <x:c r="X447" s="151"/>
      <x:c r="Y447" s="151"/>
      <x:c r="Z447" s="151"/>
    </x:row>
    <x:row r="448" ht="22" customHeight="1">
      <x:c r="A448" s="5" t="s">
        <x:v>271</x:v>
      </x:c>
      <x:c r="B448" s="5" t="s">
        <x:v>272</x:v>
      </x:c>
      <x:c r="C448" s="6">
        <x:v>46252</x:v>
      </x:c>
      <x:c r="D448" s="5">
        <x:v>2026</x:v>
      </x:c>
      <x:c r="E448" s="5" t="s">
        <x:v>453</x:v>
      </x:c>
      <x:c r="F448" s="5" t="s">
        <x:v>0</x:v>
      </x:c>
      <x:c r="G448" s="5" t="s">
        <x:v>555</x:v>
      </x:c>
      <x:c r="H448" s="8">
        <x:v>11180</x:v>
      </x:c>
      <x:c r="I448" s="8">
        <x:v>31189260</x:v>
      </x:c>
      <x:c r="J448" s="5" t="s">
        <x:v>556</x:v>
      </x:c>
      <x:c r="K448" s="7"/>
      <x:c r="L448" s="9">
        <x:f t="shared" si="12"/>
        <x:v>3.5845672516757372E-4</x:v>
      </x:c>
      <x:c r="M448" s="8"/>
      <x:c r="N448" s="8"/>
      <x:c r="O448" s="7"/>
      <x:c r="P448" s="9" t="str">
        <x:f t="shared" si="13"/>
      </x:c>
      <x:c r="Q448" s="10" t="s">
        <x:v>274</x:v>
      </x:c>
      <x:c r="R448" s="5" t="s">
        <x:v>557</x:v>
      </x:c>
      <x:c r="S448" s="5" t="s">
        <x:v>558</x:v>
      </x:c>
      <x:c r="T448" s="5" t="s">
        <x:v>559</x:v>
      </x:c>
      <x:c r="U448" s="151"/>
      <x:c r="V448" s="151"/>
      <x:c r="W448" s="151"/>
      <x:c r="X448" s="151"/>
      <x:c r="Y448" s="151"/>
      <x:c r="Z448" s="151"/>
    </x:row>
    <x:row r="449" ht="22" customHeight="1">
      <x:c r="A449" s="5" t="s">
        <x:v>271</x:v>
      </x:c>
      <x:c r="B449" s="5" t="s">
        <x:v>272</x:v>
      </x:c>
      <x:c r="C449" s="6">
        <x:v>46252</x:v>
      </x:c>
      <x:c r="D449" s="5">
        <x:v>2026</x:v>
      </x:c>
      <x:c r="E449" s="5" t="s">
        <x:v>374</x:v>
      </x:c>
      <x:c r="F449" s="5" t="s">
        <x:v>0</x:v>
      </x:c>
      <x:c r="G449" s="5" t="s">
        <x:v>555</x:v>
      </x:c>
      <x:c r="H449" s="8">
        <x:v>69020</x:v>
      </x:c>
      <x:c r="I449" s="8">
        <x:v>31189260</x:v>
      </x:c>
      <x:c r="J449" s="5" t="s">
        <x:v>556</x:v>
      </x:c>
      <x:c r="K449" s="7"/>
      <x:c r="L449" s="9">
        <x:f t="shared" si="12"/>
        <x:v>2.2129412496481159E-3</x:v>
      </x:c>
      <x:c r="M449" s="8"/>
      <x:c r="N449" s="8"/>
      <x:c r="O449" s="7"/>
      <x:c r="P449" s="9" t="str">
        <x:f t="shared" si="13"/>
      </x:c>
      <x:c r="Q449" s="10" t="s">
        <x:v>274</x:v>
      </x:c>
      <x:c r="R449" s="5" t="s">
        <x:v>557</x:v>
      </x:c>
      <x:c r="S449" s="5" t="s">
        <x:v>558</x:v>
      </x:c>
      <x:c r="T449" s="5" t="s">
        <x:v>559</x:v>
      </x:c>
      <x:c r="U449" s="151"/>
      <x:c r="V449" s="151"/>
      <x:c r="W449" s="151"/>
      <x:c r="X449" s="151"/>
      <x:c r="Y449" s="151"/>
      <x:c r="Z449" s="151"/>
    </x:row>
    <x:row r="450" ht="22" customHeight="1">
      <x:c r="A450" s="5" t="s">
        <x:v>271</x:v>
      </x:c>
      <x:c r="B450" s="5" t="s">
        <x:v>272</x:v>
      </x:c>
      <x:c r="C450" s="6">
        <x:v>46252</x:v>
      </x:c>
      <x:c r="D450" s="5">
        <x:v>2026</x:v>
      </x:c>
      <x:c r="E450" s="5" t="s">
        <x:v>497</x:v>
      </x:c>
      <x:c r="F450" s="5" t="s">
        <x:v>0</x:v>
      </x:c>
      <x:c r="G450" s="5" t="s">
        <x:v>555</x:v>
      </x:c>
      <x:c r="H450" s="8">
        <x:v>2030</x:v>
      </x:c>
      <x:c r="I450" s="8">
        <x:v>31189260</x:v>
      </x:c>
      <x:c r="J450" s="5" t="s">
        <x:v>556</x:v>
      </x:c>
      <x:c r="K450" s="7"/>
      <x:c r="L450" s="9">
        <x:f t="shared" si="12"/>
        <x:v>6.5086507342591651E-5</x:v>
      </x:c>
      <x:c r="M450" s="8"/>
      <x:c r="N450" s="8"/>
      <x:c r="O450" s="7"/>
      <x:c r="P450" s="9" t="str">
        <x:f t="shared" si="13"/>
      </x:c>
      <x:c r="Q450" s="10" t="s">
        <x:v>274</x:v>
      </x:c>
      <x:c r="R450" s="5" t="s">
        <x:v>557</x:v>
      </x:c>
      <x:c r="S450" s="5" t="s">
        <x:v>558</x:v>
      </x:c>
      <x:c r="T450" s="5" t="s">
        <x:v>559</x:v>
      </x:c>
      <x:c r="U450" s="151"/>
      <x:c r="V450" s="151"/>
      <x:c r="W450" s="151"/>
      <x:c r="X450" s="151"/>
      <x:c r="Y450" s="151"/>
      <x:c r="Z450" s="151"/>
    </x:row>
    <x:row r="451" ht="22" customHeight="1">
      <x:c r="A451" s="5" t="s">
        <x:v>271</x:v>
      </x:c>
      <x:c r="B451" s="5" t="s">
        <x:v>272</x:v>
      </x:c>
      <x:c r="C451" s="6">
        <x:v>46252</x:v>
      </x:c>
      <x:c r="D451" s="5">
        <x:v>2026</x:v>
      </x:c>
      <x:c r="E451" s="5" t="s">
        <x:v>376</x:v>
      </x:c>
      <x:c r="F451" s="5" t="s">
        <x:v>0</x:v>
      </x:c>
      <x:c r="G451" s="5" t="s">
        <x:v>555</x:v>
      </x:c>
      <x:c r="H451" s="8">
        <x:v>340480</x:v>
      </x:c>
      <x:c r="I451" s="8">
        <x:v>31189260</x:v>
      </x:c>
      <x:c r="J451" s="5" t="s">
        <x:v>556</x:v>
      </x:c>
      <x:c r="K451" s="7"/>
      <x:c r="L451" s="9">
        <x:f t="shared" si="12"/>
        <x:v>1.091657833497813E-2</x:v>
      </x:c>
      <x:c r="M451" s="8"/>
      <x:c r="N451" s="8"/>
      <x:c r="O451" s="7"/>
      <x:c r="P451" s="9" t="str">
        <x:f t="shared" si="13"/>
      </x:c>
      <x:c r="Q451" s="10" t="s">
        <x:v>274</x:v>
      </x:c>
      <x:c r="R451" s="5" t="s">
        <x:v>557</x:v>
      </x:c>
      <x:c r="S451" s="5" t="s">
        <x:v>558</x:v>
      </x:c>
      <x:c r="T451" s="5" t="s">
        <x:v>559</x:v>
      </x:c>
      <x:c r="U451" s="151"/>
      <x:c r="V451" s="151"/>
      <x:c r="W451" s="151"/>
      <x:c r="X451" s="151"/>
      <x:c r="Y451" s="151"/>
      <x:c r="Z451" s="151"/>
    </x:row>
    <x:row r="452" ht="22" customHeight="1">
      <x:c r="A452" s="5" t="s">
        <x:v>271</x:v>
      </x:c>
      <x:c r="B452" s="5" t="s">
        <x:v>272</x:v>
      </x:c>
      <x:c r="C452" s="6">
        <x:v>46252</x:v>
      </x:c>
      <x:c r="D452" s="5">
        <x:v>2026</x:v>
      </x:c>
      <x:c r="E452" s="5" t="s">
        <x:v>566</x:v>
      </x:c>
      <x:c r="F452" s="5" t="s">
        <x:v>567</x:v>
      </x:c>
      <x:c r="G452" s="5" t="s">
        <x:v>555</x:v>
      </x:c>
      <x:c r="H452" s="8">
        <x:v>5800</x:v>
      </x:c>
      <x:c r="I452" s="8">
        <x:v>31189260</x:v>
      </x:c>
      <x:c r="J452" s="5" t="s">
        <x:v>556</x:v>
      </x:c>
      <x:c r="K452" s="7"/>
      <x:c r="L452" s="9">
        <x:f t="shared" si="12"/>
        <x:v>1.8596144955026185E-4</x:v>
      </x:c>
      <x:c r="M452" s="8"/>
      <x:c r="N452" s="8"/>
      <x:c r="O452" s="7"/>
      <x:c r="P452" s="9" t="str">
        <x:f t="shared" si="13"/>
      </x:c>
      <x:c r="Q452" s="10" t="s">
        <x:v>274</x:v>
      </x:c>
      <x:c r="R452" s="5" t="s">
        <x:v>557</x:v>
      </x:c>
      <x:c r="S452" s="5" t="s">
        <x:v>558</x:v>
      </x:c>
      <x:c r="T452" s="5" t="s">
        <x:v>559</x:v>
      </x:c>
      <x:c r="U452" s="151"/>
      <x:c r="V452" s="151"/>
      <x:c r="W452" s="151"/>
      <x:c r="X452" s="151"/>
      <x:c r="Y452" s="151"/>
      <x:c r="Z452" s="151"/>
    </x:row>
    <x:row r="453" ht="22" customHeight="1">
      <x:c r="A453" s="5" t="s">
        <x:v>271</x:v>
      </x:c>
      <x:c r="B453" s="5" t="s">
        <x:v>272</x:v>
      </x:c>
      <x:c r="C453" s="6">
        <x:v>46252</x:v>
      </x:c>
      <x:c r="D453" s="5">
        <x:v>2026</x:v>
      </x:c>
      <x:c r="E453" s="5" t="s">
        <x:v>377</x:v>
      </x:c>
      <x:c r="F453" s="5" t="s">
        <x:v>0</x:v>
      </x:c>
      <x:c r="G453" s="5" t="s">
        <x:v>555</x:v>
      </x:c>
      <x:c r="H453" s="8">
        <x:v>21010</x:v>
      </x:c>
      <x:c r="I453" s="8">
        <x:v>31189260</x:v>
      </x:c>
      <x:c r="J453" s="5" t="s">
        <x:v>556</x:v>
      </x:c>
      <x:c r="K453" s="7"/>
      <x:c r="L453" s="9">
        <x:f t="shared" si="12"/>
        <x:v>6.7362931983637963E-4</x:v>
      </x:c>
      <x:c r="M453" s="8"/>
      <x:c r="N453" s="8"/>
      <x:c r="O453" s="7"/>
      <x:c r="P453" s="9" t="str">
        <x:f t="shared" si="13"/>
      </x:c>
      <x:c r="Q453" s="10" t="s">
        <x:v>274</x:v>
      </x:c>
      <x:c r="R453" s="5" t="s">
        <x:v>557</x:v>
      </x:c>
      <x:c r="S453" s="5" t="s">
        <x:v>558</x:v>
      </x:c>
      <x:c r="T453" s="5" t="s">
        <x:v>559</x:v>
      </x:c>
      <x:c r="U453" s="151"/>
      <x:c r="V453" s="151"/>
      <x:c r="W453" s="151"/>
      <x:c r="X453" s="151"/>
      <x:c r="Y453" s="151"/>
      <x:c r="Z453" s="151"/>
    </x:row>
    <x:row r="454" ht="22" customHeight="1">
      <x:c r="A454" s="5" t="s">
        <x:v>271</x:v>
      </x:c>
      <x:c r="B454" s="5" t="s">
        <x:v>272</x:v>
      </x:c>
      <x:c r="C454" s="6">
        <x:v>46252</x:v>
      </x:c>
      <x:c r="D454" s="5">
        <x:v>2026</x:v>
      </x:c>
      <x:c r="E454" s="5" t="s">
        <x:v>568</x:v>
      </x:c>
      <x:c r="F454" s="5" t="s">
        <x:v>0</x:v>
      </x:c>
      <x:c r="G454" s="5" t="s">
        <x:v>555</x:v>
      </x:c>
      <x:c r="H454" s="8">
        <x:v>30010</x:v>
      </x:c>
      <x:c r="I454" s="8">
        <x:v>31189260</x:v>
      </x:c>
      <x:c r="J454" s="5" t="s">
        <x:v>556</x:v>
      </x:c>
      <x:c r="K454" s="7"/>
      <x:c r="L454" s="9" t="n">
        <x:f t="shared" ref="L454:L517" si="14">IF(AND(H454&lt;&gt;"",I454&lt;&gt;""),H454/I454,IF(K454&lt;&gt;"",K454,""))</x:f>
        <x:v>0.0009621901898281653</x:v>
      </x:c>
      <x:c r="M454" s="8"/>
      <x:c r="N454" s="8"/>
      <x:c r="O454" s="7"/>
      <x:c r="P454" s="9" t="str">
        <x:f t="shared" ref="P454:P517" si="15">IF(AND(M454&lt;&gt;"",N454&lt;&gt;""),M454/N454,IF(O454&lt;&gt;"",O454,""))</x:f>
      </x:c>
      <x:c r="Q454" s="10" t="s">
        <x:v>274</x:v>
      </x:c>
      <x:c r="R454" s="5" t="s">
        <x:v>557</x:v>
      </x:c>
      <x:c r="S454" s="5" t="s">
        <x:v>558</x:v>
      </x:c>
      <x:c r="T454" s="5" t="s">
        <x:v>559</x:v>
      </x:c>
      <x:c r="U454" s="151"/>
      <x:c r="V454" s="151"/>
      <x:c r="W454" s="151"/>
      <x:c r="X454" s="151"/>
      <x:c r="Y454" s="151"/>
      <x:c r="Z454" s="151"/>
    </x:row>
    <x:row r="455" ht="22" customHeight="1">
      <x:c r="A455" s="5" t="s">
        <x:v>271</x:v>
      </x:c>
      <x:c r="B455" s="5" t="s">
        <x:v>272</x:v>
      </x:c>
      <x:c r="C455" s="6">
        <x:v>46252</x:v>
      </x:c>
      <x:c r="D455" s="5">
        <x:v>2026</x:v>
      </x:c>
      <x:c r="E455" s="5" t="s">
        <x:v>523</x:v>
      </x:c>
      <x:c r="F455" s="5" t="s">
        <x:v>0</x:v>
      </x:c>
      <x:c r="G455" s="5" t="s">
        <x:v>555</x:v>
      </x:c>
      <x:c r="H455" s="8">
        <x:v>9860</x:v>
      </x:c>
      <x:c r="I455" s="8">
        <x:v>31189260</x:v>
      </x:c>
      <x:c r="J455" s="5" t="s">
        <x:v>556</x:v>
      </x:c>
      <x:c r="K455" s="7"/>
      <x:c r="L455" s="9">
        <x:f t="shared" si="14"/>
        <x:v>3.1613446423544515E-4</x:v>
      </x:c>
      <x:c r="M455" s="8"/>
      <x:c r="N455" s="8"/>
      <x:c r="O455" s="7"/>
      <x:c r="P455" s="9" t="str">
        <x:f t="shared" si="15"/>
      </x:c>
      <x:c r="Q455" s="10" t="s">
        <x:v>274</x:v>
      </x:c>
      <x:c r="R455" s="5" t="s">
        <x:v>557</x:v>
      </x:c>
      <x:c r="S455" s="5" t="s">
        <x:v>558</x:v>
      </x:c>
      <x:c r="T455" s="5" t="s">
        <x:v>559</x:v>
      </x:c>
      <x:c r="U455" s="151"/>
      <x:c r="V455" s="151"/>
      <x:c r="W455" s="151"/>
      <x:c r="X455" s="151"/>
      <x:c r="Y455" s="151"/>
      <x:c r="Z455" s="151"/>
    </x:row>
    <x:row r="456" ht="22" customHeight="1">
      <x:c r="A456" s="5" t="s">
        <x:v>271</x:v>
      </x:c>
      <x:c r="B456" s="5" t="s">
        <x:v>272</x:v>
      </x:c>
      <x:c r="C456" s="6">
        <x:v>46252</x:v>
      </x:c>
      <x:c r="D456" s="5">
        <x:v>2026</x:v>
      </x:c>
      <x:c r="E456" s="5" t="s">
        <x:v>457</x:v>
      </x:c>
      <x:c r="F456" s="5" t="s">
        <x:v>0</x:v>
      </x:c>
      <x:c r="G456" s="5" t="s">
        <x:v>555</x:v>
      </x:c>
      <x:c r="H456" s="8">
        <x:v>9860</x:v>
      </x:c>
      <x:c r="I456" s="8">
        <x:v>31189260</x:v>
      </x:c>
      <x:c r="J456" s="5" t="s">
        <x:v>556</x:v>
      </x:c>
      <x:c r="K456" s="7"/>
      <x:c r="L456" s="9">
        <x:f t="shared" si="14"/>
        <x:v>3.1613446423544515E-4</x:v>
      </x:c>
      <x:c r="M456" s="8"/>
      <x:c r="N456" s="8"/>
      <x:c r="O456" s="7"/>
      <x:c r="P456" s="9" t="str">
        <x:f t="shared" si="15"/>
      </x:c>
      <x:c r="Q456" s="10" t="s">
        <x:v>274</x:v>
      </x:c>
      <x:c r="R456" s="5" t="s">
        <x:v>557</x:v>
      </x:c>
      <x:c r="S456" s="5" t="s">
        <x:v>558</x:v>
      </x:c>
      <x:c r="T456" s="5" t="s">
        <x:v>559</x:v>
      </x:c>
      <x:c r="U456" s="151"/>
      <x:c r="V456" s="151"/>
      <x:c r="W456" s="151"/>
      <x:c r="X456" s="151"/>
      <x:c r="Y456" s="151"/>
      <x:c r="Z456" s="151"/>
    </x:row>
    <x:row r="457" ht="22" customHeight="1">
      <x:c r="A457" s="5" t="s">
        <x:v>271</x:v>
      </x:c>
      <x:c r="B457" s="5" t="s">
        <x:v>272</x:v>
      </x:c>
      <x:c r="C457" s="6">
        <x:v>46252</x:v>
      </x:c>
      <x:c r="D457" s="5">
        <x:v>2026</x:v>
      </x:c>
      <x:c r="E457" s="5" t="s">
        <x:v>569</x:v>
      </x:c>
      <x:c r="F457" s="5" t="s">
        <x:v>0</x:v>
      </x:c>
      <x:c r="G457" s="5" t="s">
        <x:v>555</x:v>
      </x:c>
      <x:c r="H457" s="8">
        <x:v>5990</x:v>
      </x:c>
      <x:c r="I457" s="8">
        <x:v>31189260</x:v>
      </x:c>
      <x:c r="J457" s="5" t="s">
        <x:v>556</x:v>
      </x:c>
      <x:c r="K457" s="7"/>
      <x:c r="L457" s="9">
        <x:f t="shared" si="14"/>
        <x:v>1.9205329013897732E-4</x:v>
      </x:c>
      <x:c r="M457" s="8"/>
      <x:c r="N457" s="8"/>
      <x:c r="O457" s="7"/>
      <x:c r="P457" s="9" t="str">
        <x:f t="shared" si="15"/>
      </x:c>
      <x:c r="Q457" s="10" t="s">
        <x:v>274</x:v>
      </x:c>
      <x:c r="R457" s="5" t="s">
        <x:v>557</x:v>
      </x:c>
      <x:c r="S457" s="5" t="s">
        <x:v>558</x:v>
      </x:c>
      <x:c r="T457" s="5" t="s">
        <x:v>559</x:v>
      </x:c>
      <x:c r="U457" s="151"/>
      <x:c r="V457" s="151"/>
      <x:c r="W457" s="151"/>
      <x:c r="X457" s="151"/>
      <x:c r="Y457" s="151"/>
      <x:c r="Z457" s="151"/>
    </x:row>
    <x:row r="458" ht="22" customHeight="1">
      <x:c r="A458" s="5" t="s">
        <x:v>271</x:v>
      </x:c>
      <x:c r="B458" s="5" t="s">
        <x:v>272</x:v>
      </x:c>
      <x:c r="C458" s="6">
        <x:v>46252</x:v>
      </x:c>
      <x:c r="D458" s="5">
        <x:v>2026</x:v>
      </x:c>
      <x:c r="E458" s="5" t="s">
        <x:v>570</x:v>
      </x:c>
      <x:c r="F458" s="5" t="s">
        <x:v>0</x:v>
      </x:c>
      <x:c r="G458" s="5" t="s">
        <x:v>555</x:v>
      </x:c>
      <x:c r="H458" s="8">
        <x:v>34040</x:v>
      </x:c>
      <x:c r="I458" s="8">
        <x:v>31189260</x:v>
      </x:c>
      <x:c r="J458" s="5" t="s">
        <x:v>556</x:v>
      </x:c>
      <x:c r="K458" s="7"/>
      <x:c r="L458" s="9">
        <x:f t="shared" si="14"/>
        <x:v>1.0914013349467091E-3</x:v>
      </x:c>
      <x:c r="M458" s="8"/>
      <x:c r="N458" s="8"/>
      <x:c r="O458" s="7"/>
      <x:c r="P458" s="9" t="str">
        <x:f t="shared" si="15"/>
      </x:c>
      <x:c r="Q458" s="10" t="s">
        <x:v>274</x:v>
      </x:c>
      <x:c r="R458" s="5" t="s">
        <x:v>557</x:v>
      </x:c>
      <x:c r="S458" s="5" t="s">
        <x:v>558</x:v>
      </x:c>
      <x:c r="T458" s="5" t="s">
        <x:v>559</x:v>
      </x:c>
      <x:c r="U458" s="151"/>
      <x:c r="V458" s="151"/>
      <x:c r="W458" s="151"/>
      <x:c r="X458" s="151"/>
      <x:c r="Y458" s="151"/>
      <x:c r="Z458" s="151"/>
    </x:row>
    <x:row r="459" ht="22" customHeight="1">
      <x:c r="A459" s="5" t="s">
        <x:v>271</x:v>
      </x:c>
      <x:c r="B459" s="5" t="s">
        <x:v>272</x:v>
      </x:c>
      <x:c r="C459" s="6">
        <x:v>46252</x:v>
      </x:c>
      <x:c r="D459" s="5">
        <x:v>2026</x:v>
      </x:c>
      <x:c r="E459" s="5" t="s">
        <x:v>417</x:v>
      </x:c>
      <x:c r="F459" s="5" t="s">
        <x:v>0</x:v>
      </x:c>
      <x:c r="G459" s="5" t="s">
        <x:v>555</x:v>
      </x:c>
      <x:c r="H459" s="8">
        <x:v>60020</x:v>
      </x:c>
      <x:c r="I459" s="8">
        <x:v>31189260</x:v>
      </x:c>
      <x:c r="J459" s="5" t="s">
        <x:v>556</x:v>
      </x:c>
      <x:c r="K459" s="7"/>
      <x:c r="L459" s="9">
        <x:f t="shared" si="14"/>
        <x:v>1.9243803796563305E-3</x:v>
      </x:c>
      <x:c r="M459" s="8"/>
      <x:c r="N459" s="8"/>
      <x:c r="O459" s="7"/>
      <x:c r="P459" s="9" t="str">
        <x:f t="shared" si="15"/>
      </x:c>
      <x:c r="Q459" s="10" t="s">
        <x:v>274</x:v>
      </x:c>
      <x:c r="R459" s="5" t="s">
        <x:v>557</x:v>
      </x:c>
      <x:c r="S459" s="5" t="s">
        <x:v>558</x:v>
      </x:c>
      <x:c r="T459" s="5" t="s">
        <x:v>559</x:v>
      </x:c>
      <x:c r="U459" s="151"/>
      <x:c r="V459" s="151"/>
      <x:c r="W459" s="151"/>
      <x:c r="X459" s="151"/>
      <x:c r="Y459" s="151"/>
      <x:c r="Z459" s="151"/>
    </x:row>
    <x:row r="460" ht="22" customHeight="1">
      <x:c r="A460" s="5" t="s">
        <x:v>271</x:v>
      </x:c>
      <x:c r="B460" s="5" t="s">
        <x:v>272</x:v>
      </x:c>
      <x:c r="C460" s="6">
        <x:v>46252</x:v>
      </x:c>
      <x:c r="D460" s="5">
        <x:v>2026</x:v>
      </x:c>
      <x:c r="E460" s="5" t="s">
        <x:v>459</x:v>
      </x:c>
      <x:c r="F460" s="5" t="s">
        <x:v>0</x:v>
      </x:c>
      <x:c r="G460" s="5" t="s">
        <x:v>555</x:v>
      </x:c>
      <x:c r="H460" s="8">
        <x:v>2100</x:v>
      </x:c>
      <x:c r="I460" s="8">
        <x:v>31189260</x:v>
      </x:c>
      <x:c r="J460" s="5" t="s">
        <x:v>556</x:v>
      </x:c>
      <x:c r="K460" s="7"/>
      <x:c r="L460" s="9">
        <x:f t="shared" si="14"/>
        <x:v>6.7330869664749984E-5</x:v>
      </x:c>
      <x:c r="M460" s="8"/>
      <x:c r="N460" s="8"/>
      <x:c r="O460" s="7"/>
      <x:c r="P460" s="9" t="str">
        <x:f t="shared" si="15"/>
      </x:c>
      <x:c r="Q460" s="10" t="s">
        <x:v>274</x:v>
      </x:c>
      <x:c r="R460" s="5" t="s">
        <x:v>557</x:v>
      </x:c>
      <x:c r="S460" s="5" t="s">
        <x:v>558</x:v>
      </x:c>
      <x:c r="T460" s="5" t="s">
        <x:v>559</x:v>
      </x:c>
      <x:c r="U460" s="151"/>
      <x:c r="V460" s="151"/>
      <x:c r="W460" s="151"/>
      <x:c r="X460" s="151"/>
      <x:c r="Y460" s="151"/>
      <x:c r="Z460" s="151"/>
    </x:row>
    <x:row r="461" ht="22" customHeight="1">
      <x:c r="A461" s="5" t="s">
        <x:v>271</x:v>
      </x:c>
      <x:c r="B461" s="5" t="s">
        <x:v>272</x:v>
      </x:c>
      <x:c r="C461" s="6">
        <x:v>46252</x:v>
      </x:c>
      <x:c r="D461" s="5">
        <x:v>2026</x:v>
      </x:c>
      <x:c r="E461" s="5" t="s">
        <x:v>530</x:v>
      </x:c>
      <x:c r="F461" s="5" t="s">
        <x:v>0</x:v>
      </x:c>
      <x:c r="G461" s="5" t="s">
        <x:v>555</x:v>
      </x:c>
      <x:c r="H461" s="8">
        <x:v>45010</x:v>
      </x:c>
      <x:c r="I461" s="8">
        <x:v>31189260</x:v>
      </x:c>
      <x:c r="J461" s="5" t="s">
        <x:v>556</x:v>
      </x:c>
      <x:c r="K461" s="7"/>
      <x:c r="L461" s="9">
        <x:f t="shared" si="14"/>
        <x:v>1.4431249731478078E-3</x:v>
      </x:c>
      <x:c r="M461" s="8"/>
      <x:c r="N461" s="8"/>
      <x:c r="O461" s="7"/>
      <x:c r="P461" s="9" t="str">
        <x:f t="shared" si="15"/>
      </x:c>
      <x:c r="Q461" s="10" t="s">
        <x:v>274</x:v>
      </x:c>
      <x:c r="R461" s="5" t="s">
        <x:v>557</x:v>
      </x:c>
      <x:c r="S461" s="5" t="s">
        <x:v>558</x:v>
      </x:c>
      <x:c r="T461" s="5" t="s">
        <x:v>559</x:v>
      </x:c>
      <x:c r="U461" s="151"/>
      <x:c r="V461" s="151"/>
      <x:c r="W461" s="151"/>
      <x:c r="X461" s="151"/>
      <x:c r="Y461" s="151"/>
      <x:c r="Z461" s="151"/>
    </x:row>
    <x:row r="462" ht="22" customHeight="1">
      <x:c r="A462" s="5" t="s">
        <x:v>271</x:v>
      </x:c>
      <x:c r="B462" s="5" t="s">
        <x:v>272</x:v>
      </x:c>
      <x:c r="C462" s="6">
        <x:v>46252</x:v>
      </x:c>
      <x:c r="D462" s="5">
        <x:v>2026</x:v>
      </x:c>
      <x:c r="E462" s="5" t="s">
        <x:v>571</x:v>
      </x:c>
      <x:c r="F462" s="5" t="s">
        <x:v>0</x:v>
      </x:c>
      <x:c r="G462" s="5" t="s">
        <x:v>555</x:v>
      </x:c>
      <x:c r="H462" s="8">
        <x:v>30010</x:v>
      </x:c>
      <x:c r="I462" s="8">
        <x:v>31189260</x:v>
      </x:c>
      <x:c r="J462" s="5" t="s">
        <x:v>556</x:v>
      </x:c>
      <x:c r="K462" s="7"/>
      <x:c r="L462" s="9">
        <x:f t="shared" si="14"/>
        <x:v>9.6219018982816526E-4</x:v>
      </x:c>
      <x:c r="M462" s="8"/>
      <x:c r="N462" s="8"/>
      <x:c r="O462" s="7"/>
      <x:c r="P462" s="9" t="str">
        <x:f t="shared" si="15"/>
      </x:c>
      <x:c r="Q462" s="10" t="s">
        <x:v>274</x:v>
      </x:c>
      <x:c r="R462" s="5" t="s">
        <x:v>557</x:v>
      </x:c>
      <x:c r="S462" s="5" t="s">
        <x:v>558</x:v>
      </x:c>
      <x:c r="T462" s="5" t="s">
        <x:v>559</x:v>
      </x:c>
      <x:c r="U462" s="151"/>
      <x:c r="V462" s="151"/>
      <x:c r="W462" s="151"/>
      <x:c r="X462" s="151"/>
      <x:c r="Y462" s="151"/>
      <x:c r="Z462" s="151"/>
    </x:row>
    <x:row r="463" ht="22" customHeight="1">
      <x:c r="A463" s="5" t="s">
        <x:v>271</x:v>
      </x:c>
      <x:c r="B463" s="5" t="s">
        <x:v>272</x:v>
      </x:c>
      <x:c r="C463" s="6">
        <x:v>46252</x:v>
      </x:c>
      <x:c r="D463" s="5">
        <x:v>2026</x:v>
      </x:c>
      <x:c r="E463" s="5" t="s">
        <x:v>383</x:v>
      </x:c>
      <x:c r="F463" s="5" t="s">
        <x:v>0</x:v>
      </x:c>
      <x:c r="G463" s="5" t="s">
        <x:v>555</x:v>
      </x:c>
      <x:c r="H463" s="8">
        <x:v>2990</x:v>
      </x:c>
      <x:c r="I463" s="8">
        <x:v>31189260</x:v>
      </x:c>
      <x:c r="J463" s="5" t="s">
        <x:v>556</x:v>
      </x:c>
      <x:c r="K463" s="7"/>
      <x:c r="L463" s="9">
        <x:f t="shared" si="14"/>
        <x:v>9.5866333475048783E-5</x:v>
      </x:c>
      <x:c r="M463" s="8"/>
      <x:c r="N463" s="8"/>
      <x:c r="O463" s="7"/>
      <x:c r="P463" s="9" t="str">
        <x:f t="shared" si="15"/>
      </x:c>
      <x:c r="Q463" s="10" t="s">
        <x:v>274</x:v>
      </x:c>
      <x:c r="R463" s="5" t="s">
        <x:v>557</x:v>
      </x:c>
      <x:c r="S463" s="5" t="s">
        <x:v>558</x:v>
      </x:c>
      <x:c r="T463" s="5" t="s">
        <x:v>559</x:v>
      </x:c>
      <x:c r="U463" s="151"/>
      <x:c r="V463" s="151"/>
      <x:c r="W463" s="151"/>
      <x:c r="X463" s="151"/>
      <x:c r="Y463" s="151"/>
      <x:c r="Z463" s="151"/>
    </x:row>
    <x:row r="464" ht="22" customHeight="1">
      <x:c r="A464" s="5" t="s">
        <x:v>271</x:v>
      </x:c>
      <x:c r="B464" s="5" t="s">
        <x:v>272</x:v>
      </x:c>
      <x:c r="C464" s="6">
        <x:v>46252</x:v>
      </x:c>
      <x:c r="D464" s="5">
        <x:v>2026</x:v>
      </x:c>
      <x:c r="E464" s="5" t="s">
        <x:v>572</x:v>
      </x:c>
      <x:c r="F464" s="5" t="s">
        <x:v>0</x:v>
      </x:c>
      <x:c r="G464" s="5" t="s">
        <x:v>555</x:v>
      </x:c>
      <x:c r="H464" s="8">
        <x:v>5990</x:v>
      </x:c>
      <x:c r="I464" s="8">
        <x:v>31189260</x:v>
      </x:c>
      <x:c r="J464" s="5" t="s">
        <x:v>556</x:v>
      </x:c>
      <x:c r="K464" s="7"/>
      <x:c r="L464" s="9">
        <x:f t="shared" si="14"/>
        <x:v>1.9205329013897732E-4</x:v>
      </x:c>
      <x:c r="M464" s="8"/>
      <x:c r="N464" s="8"/>
      <x:c r="O464" s="7"/>
      <x:c r="P464" s="9" t="str">
        <x:f t="shared" si="15"/>
      </x:c>
      <x:c r="Q464" s="10" t="s">
        <x:v>274</x:v>
      </x:c>
      <x:c r="R464" s="5" t="s">
        <x:v>557</x:v>
      </x:c>
      <x:c r="S464" s="5" t="s">
        <x:v>558</x:v>
      </x:c>
      <x:c r="T464" s="5" t="s">
        <x:v>559</x:v>
      </x:c>
      <x:c r="U464" s="151"/>
      <x:c r="V464" s="151"/>
      <x:c r="W464" s="151"/>
      <x:c r="X464" s="151"/>
      <x:c r="Y464" s="151"/>
      <x:c r="Z464" s="151"/>
    </x:row>
    <x:row r="465" ht="22" customHeight="1">
      <x:c r="A465" s="5" t="s">
        <x:v>271</x:v>
      </x:c>
      <x:c r="B465" s="5" t="s">
        <x:v>272</x:v>
      </x:c>
      <x:c r="C465" s="6">
        <x:v>46252</x:v>
      </x:c>
      <x:c r="D465" s="5">
        <x:v>2026</x:v>
      </x:c>
      <x:c r="E465" s="5" t="s">
        <x:v>460</x:v>
      </x:c>
      <x:c r="F465" s="5" t="s">
        <x:v>0</x:v>
      </x:c>
      <x:c r="G465" s="5" t="s">
        <x:v>555</x:v>
      </x:c>
      <x:c r="H465" s="8">
        <x:v>27950</x:v>
      </x:c>
      <x:c r="I465" s="8">
        <x:v>31189260</x:v>
      </x:c>
      <x:c r="J465" s="5" t="s">
        <x:v>556</x:v>
      </x:c>
      <x:c r="K465" s="7"/>
      <x:c r="L465" s="9">
        <x:f t="shared" si="14"/>
        <x:v>8.9614181291893425E-4</x:v>
      </x:c>
      <x:c r="M465" s="8"/>
      <x:c r="N465" s="8"/>
      <x:c r="O465" s="7"/>
      <x:c r="P465" s="9" t="str">
        <x:f t="shared" si="15"/>
      </x:c>
      <x:c r="Q465" s="10" t="s">
        <x:v>274</x:v>
      </x:c>
      <x:c r="R465" s="5" t="s">
        <x:v>557</x:v>
      </x:c>
      <x:c r="S465" s="5" t="s">
        <x:v>558</x:v>
      </x:c>
      <x:c r="T465" s="5" t="s">
        <x:v>559</x:v>
      </x:c>
      <x:c r="U465" s="151"/>
      <x:c r="V465" s="151"/>
      <x:c r="W465" s="151"/>
      <x:c r="X465" s="151"/>
      <x:c r="Y465" s="151"/>
      <x:c r="Z465" s="151"/>
    </x:row>
    <x:row r="466" ht="22" customHeight="1">
      <x:c r="A466" s="5" t="s">
        <x:v>271</x:v>
      </x:c>
      <x:c r="B466" s="5" t="s">
        <x:v>272</x:v>
      </x:c>
      <x:c r="C466" s="6">
        <x:v>46252</x:v>
      </x:c>
      <x:c r="D466" s="5">
        <x:v>2026</x:v>
      </x:c>
      <x:c r="E466" s="5" t="s">
        <x:v>418</x:v>
      </x:c>
      <x:c r="F466" s="5" t="s">
        <x:v>0</x:v>
      </x:c>
      <x:c r="G466" s="5" t="s">
        <x:v>555</x:v>
      </x:c>
      <x:c r="H466" s="8">
        <x:v>844390</x:v>
      </x:c>
      <x:c r="I466" s="8">
        <x:v>31189260</x:v>
      </x:c>
      <x:c r="J466" s="5" t="s">
        <x:v>556</x:v>
      </x:c>
      <x:c r="K466" s="7"/>
      <x:c r="L466" s="9">
        <x:f t="shared" si="14"/>
        <x:v>2.7073101445818207E-2</x:v>
      </x:c>
      <x:c r="M466" s="8"/>
      <x:c r="N466" s="8"/>
      <x:c r="O466" s="7"/>
      <x:c r="P466" s="9" t="str">
        <x:f t="shared" si="15"/>
      </x:c>
      <x:c r="Q466" s="10" t="s">
        <x:v>274</x:v>
      </x:c>
      <x:c r="R466" s="5" t="s">
        <x:v>557</x:v>
      </x:c>
      <x:c r="S466" s="5" t="s">
        <x:v>558</x:v>
      </x:c>
      <x:c r="T466" s="5" t="s">
        <x:v>559</x:v>
      </x:c>
      <x:c r="U466" s="151"/>
      <x:c r="V466" s="151"/>
      <x:c r="W466" s="151"/>
      <x:c r="X466" s="151"/>
      <x:c r="Y466" s="151"/>
      <x:c r="Z466" s="151"/>
    </x:row>
    <x:row r="467" ht="22" customHeight="1">
      <x:c r="A467" s="5" t="s">
        <x:v>271</x:v>
      </x:c>
      <x:c r="B467" s="5" t="s">
        <x:v>272</x:v>
      </x:c>
      <x:c r="C467" s="6">
        <x:v>46252</x:v>
      </x:c>
      <x:c r="D467" s="5">
        <x:v>2026</x:v>
      </x:c>
      <x:c r="E467" s="5" t="s">
        <x:v>387</x:v>
      </x:c>
      <x:c r="F467" s="5" t="s">
        <x:v>0</x:v>
      </x:c>
      <x:c r="G467" s="5" t="s">
        <x:v>555</x:v>
      </x:c>
      <x:c r="H467" s="8">
        <x:v>10500</x:v>
      </x:c>
      <x:c r="I467" s="8">
        <x:v>31189260</x:v>
      </x:c>
      <x:c r="J467" s="5" t="s">
        <x:v>556</x:v>
      </x:c>
      <x:c r="K467" s="7"/>
      <x:c r="L467" s="9">
        <x:f t="shared" si="14"/>
        <x:v>3.3665434832374992E-4</x:v>
      </x:c>
      <x:c r="M467" s="8"/>
      <x:c r="N467" s="8"/>
      <x:c r="O467" s="7"/>
      <x:c r="P467" s="9" t="str">
        <x:f t="shared" si="15"/>
      </x:c>
      <x:c r="Q467" s="10" t="s">
        <x:v>274</x:v>
      </x:c>
      <x:c r="R467" s="5" t="s">
        <x:v>557</x:v>
      </x:c>
      <x:c r="S467" s="5" t="s">
        <x:v>558</x:v>
      </x:c>
      <x:c r="T467" s="5" t="s">
        <x:v>559</x:v>
      </x:c>
      <x:c r="U467" s="151"/>
      <x:c r="V467" s="151"/>
      <x:c r="W467" s="151"/>
      <x:c r="X467" s="151"/>
      <x:c r="Y467" s="151"/>
      <x:c r="Z467" s="151"/>
    </x:row>
    <x:row r="468" ht="22" customHeight="1">
      <x:c r="A468" s="5" t="s">
        <x:v>271</x:v>
      </x:c>
      <x:c r="B468" s="5" t="s">
        <x:v>272</x:v>
      </x:c>
      <x:c r="C468" s="6">
        <x:v>46252</x:v>
      </x:c>
      <x:c r="D468" s="5">
        <x:v>2026</x:v>
      </x:c>
      <x:c r="E468" s="5" t="s">
        <x:v>506</x:v>
      </x:c>
      <x:c r="F468" s="5" t="s">
        <x:v>0</x:v>
      </x:c>
      <x:c r="G468" s="5" t="s">
        <x:v>555</x:v>
      </x:c>
      <x:c r="H468" s="8">
        <x:v>5220</x:v>
      </x:c>
      <x:c r="I468" s="8">
        <x:v>31189260</x:v>
      </x:c>
      <x:c r="J468" s="5" t="s">
        <x:v>556</x:v>
      </x:c>
      <x:c r="K468" s="7"/>
      <x:c r="L468" s="9">
        <x:f t="shared" si="14"/>
        <x:v>1.6736530459523567E-4</x:v>
      </x:c>
      <x:c r="M468" s="8"/>
      <x:c r="N468" s="8"/>
      <x:c r="O468" s="7"/>
      <x:c r="P468" s="9" t="str">
        <x:f t="shared" si="15"/>
      </x:c>
      <x:c r="Q468" s="10" t="s">
        <x:v>274</x:v>
      </x:c>
      <x:c r="R468" s="5" t="s">
        <x:v>557</x:v>
      </x:c>
      <x:c r="S468" s="5" t="s">
        <x:v>558</x:v>
      </x:c>
      <x:c r="T468" s="5" t="s">
        <x:v>559</x:v>
      </x:c>
      <x:c r="U468" s="151"/>
      <x:c r="V468" s="151"/>
      <x:c r="W468" s="151"/>
      <x:c r="X468" s="151"/>
      <x:c r="Y468" s="151"/>
      <x:c r="Z468" s="151"/>
    </x:row>
    <x:row r="469" ht="22" customHeight="1">
      <x:c r="A469" s="5" t="s">
        <x:v>271</x:v>
      </x:c>
      <x:c r="B469" s="5" t="s">
        <x:v>272</x:v>
      </x:c>
      <x:c r="C469" s="6">
        <x:v>46252</x:v>
      </x:c>
      <x:c r="D469" s="5">
        <x:v>2026</x:v>
      </x:c>
      <x:c r="E469" s="5" t="s">
        <x:v>573</x:v>
      </x:c>
      <x:c r="F469" s="5" t="s">
        <x:v>0</x:v>
      </x:c>
      <x:c r="G469" s="5" t="s">
        <x:v>555</x:v>
      </x:c>
      <x:c r="H469" s="8">
        <x:v>19980</x:v>
      </x:c>
      <x:c r="I469" s="8">
        <x:v>31189260</x:v>
      </x:c>
      <x:c r="J469" s="5" t="s">
        <x:v>556</x:v>
      </x:c>
      <x:c r="K469" s="7"/>
      <x:c r="L469" s="9">
        <x:f t="shared" si="14"/>
        <x:v>6.4060513138176412E-4</x:v>
      </x:c>
      <x:c r="M469" s="8"/>
      <x:c r="N469" s="8"/>
      <x:c r="O469" s="7"/>
      <x:c r="P469" s="9" t="str">
        <x:f t="shared" si="15"/>
      </x:c>
      <x:c r="Q469" s="10" t="s">
        <x:v>274</x:v>
      </x:c>
      <x:c r="R469" s="5" t="s">
        <x:v>557</x:v>
      </x:c>
      <x:c r="S469" s="5" t="s">
        <x:v>558</x:v>
      </x:c>
      <x:c r="T469" s="5" t="s">
        <x:v>559</x:v>
      </x:c>
      <x:c r="U469" s="151"/>
      <x:c r="V469" s="151"/>
      <x:c r="W469" s="151"/>
      <x:c r="X469" s="151"/>
      <x:c r="Y469" s="151"/>
      <x:c r="Z469" s="151"/>
    </x:row>
    <x:row r="470" ht="22" customHeight="1">
      <x:c r="A470" s="5" t="s">
        <x:v>271</x:v>
      </x:c>
      <x:c r="B470" s="5" t="s">
        <x:v>272</x:v>
      </x:c>
      <x:c r="C470" s="6">
        <x:v>46252</x:v>
      </x:c>
      <x:c r="D470" s="5">
        <x:v>2026</x:v>
      </x:c>
      <x:c r="E470" s="5" t="s">
        <x:v>419</x:v>
      </x:c>
      <x:c r="F470" s="5" t="s">
        <x:v>0</x:v>
      </x:c>
      <x:c r="G470" s="5" t="s">
        <x:v>555</x:v>
      </x:c>
      <x:c r="H470" s="8">
        <x:v>375180</x:v>
      </x:c>
      <x:c r="I470" s="8">
        <x:v>31189260</x:v>
      </x:c>
      <x:c r="J470" s="5" t="s">
        <x:v>556</x:v>
      </x:c>
      <x:c r="K470" s="7"/>
      <x:c r="L470" s="9">
        <x:f t="shared" si="14"/>
        <x:v>1.2029140800390904E-2</x:v>
      </x:c>
      <x:c r="M470" s="8"/>
      <x:c r="N470" s="8"/>
      <x:c r="O470" s="7"/>
      <x:c r="P470" s="9" t="str">
        <x:f t="shared" si="15"/>
      </x:c>
      <x:c r="Q470" s="10" t="s">
        <x:v>274</x:v>
      </x:c>
      <x:c r="R470" s="5" t="s">
        <x:v>557</x:v>
      </x:c>
      <x:c r="S470" s="5" t="s">
        <x:v>558</x:v>
      </x:c>
      <x:c r="T470" s="5" t="s">
        <x:v>559</x:v>
      </x:c>
      <x:c r="U470" s="151"/>
      <x:c r="V470" s="151"/>
      <x:c r="W470" s="151"/>
      <x:c r="X470" s="151"/>
      <x:c r="Y470" s="151"/>
      <x:c r="Z470" s="151"/>
    </x:row>
    <x:row r="471" ht="22" customHeight="1">
      <x:c r="A471" s="5" t="s">
        <x:v>271</x:v>
      </x:c>
      <x:c r="B471" s="5" t="s">
        <x:v>272</x:v>
      </x:c>
      <x:c r="C471" s="6">
        <x:v>46252</x:v>
      </x:c>
      <x:c r="D471" s="5">
        <x:v>2026</x:v>
      </x:c>
      <x:c r="E471" s="5" t="s">
        <x:v>463</x:v>
      </x:c>
      <x:c r="F471" s="5" t="s">
        <x:v>0</x:v>
      </x:c>
      <x:c r="G471" s="5" t="s">
        <x:v>555</x:v>
      </x:c>
      <x:c r="H471" s="8">
        <x:v>435810</x:v>
      </x:c>
      <x:c r="I471" s="8">
        <x:v>31189260</x:v>
      </x:c>
      <x:c r="J471" s="5" t="s">
        <x:v>556</x:v>
      </x:c>
      <x:c r="K471" s="7"/>
      <x:c r="L471" s="9">
        <x:f t="shared" si="14"/>
        <x:v>1.39730791945689E-2</x:v>
      </x:c>
      <x:c r="M471" s="8"/>
      <x:c r="N471" s="8"/>
      <x:c r="O471" s="7"/>
      <x:c r="P471" s="9" t="str">
        <x:f t="shared" si="15"/>
      </x:c>
      <x:c r="Q471" s="10" t="s">
        <x:v>274</x:v>
      </x:c>
      <x:c r="R471" s="5" t="s">
        <x:v>557</x:v>
      </x:c>
      <x:c r="S471" s="5" t="s">
        <x:v>558</x:v>
      </x:c>
      <x:c r="T471" s="5" t="s">
        <x:v>559</x:v>
      </x:c>
      <x:c r="U471" s="151"/>
      <x:c r="V471" s="151"/>
      <x:c r="W471" s="151"/>
      <x:c r="X471" s="151"/>
      <x:c r="Y471" s="151"/>
      <x:c r="Z471" s="151"/>
    </x:row>
    <x:row r="472" ht="22" customHeight="1">
      <x:c r="A472" s="5" t="s">
        <x:v>271</x:v>
      </x:c>
      <x:c r="B472" s="5" t="s">
        <x:v>272</x:v>
      </x:c>
      <x:c r="C472" s="6">
        <x:v>46252</x:v>
      </x:c>
      <x:c r="D472" s="5">
        <x:v>2026</x:v>
      </x:c>
      <x:c r="E472" s="5" t="s">
        <x:v>420</x:v>
      </x:c>
      <x:c r="F472" s="5" t="s">
        <x:v>0</x:v>
      </x:c>
      <x:c r="G472" s="5" t="s">
        <x:v>555</x:v>
      </x:c>
      <x:c r="H472" s="8">
        <x:v>126050</x:v>
      </x:c>
      <x:c r="I472" s="8">
        <x:v>31189260</x:v>
      </x:c>
      <x:c r="J472" s="5" t="s">
        <x:v>556</x:v>
      </x:c>
      <x:c r="K472" s="7"/>
      <x:c r="L472" s="9">
        <x:f t="shared" si="14"/>
        <x:v>4.0414552958293977E-3</x:v>
      </x:c>
      <x:c r="M472" s="8"/>
      <x:c r="N472" s="8"/>
      <x:c r="O472" s="7"/>
      <x:c r="P472" s="9" t="str">
        <x:f t="shared" si="15"/>
      </x:c>
      <x:c r="Q472" s="10" t="s">
        <x:v>274</x:v>
      </x:c>
      <x:c r="R472" s="5" t="s">
        <x:v>557</x:v>
      </x:c>
      <x:c r="S472" s="5" t="s">
        <x:v>558</x:v>
      </x:c>
      <x:c r="T472" s="5" t="s">
        <x:v>559</x:v>
      </x:c>
      <x:c r="U472" s="151"/>
      <x:c r="V472" s="151"/>
      <x:c r="W472" s="151"/>
      <x:c r="X472" s="151"/>
      <x:c r="Y472" s="151"/>
      <x:c r="Z472" s="151"/>
    </x:row>
    <x:row r="473" ht="22" customHeight="1">
      <x:c r="A473" s="5" t="s">
        <x:v>271</x:v>
      </x:c>
      <x:c r="B473" s="5" t="s">
        <x:v>272</x:v>
      </x:c>
      <x:c r="C473" s="6">
        <x:v>46252</x:v>
      </x:c>
      <x:c r="D473" s="5">
        <x:v>2026</x:v>
      </x:c>
      <x:c r="E473" s="5" t="s">
        <x:v>465</x:v>
      </x:c>
      <x:c r="F473" s="5" t="s">
        <x:v>0</x:v>
      </x:c>
      <x:c r="G473" s="5" t="s">
        <x:v>555</x:v>
      </x:c>
      <x:c r="H473" s="8">
        <x:v>163430</x:v>
      </x:c>
      <x:c r="I473" s="8">
        <x:v>31189260</x:v>
      </x:c>
      <x:c r="J473" s="5" t="s">
        <x:v>556</x:v>
      </x:c>
      <x:c r="K473" s="7"/>
      <x:c r="L473" s="9">
        <x:f t="shared" si="14"/>
        <x:v>5.2399447758619475E-3</x:v>
      </x:c>
      <x:c r="M473" s="8"/>
      <x:c r="N473" s="8"/>
      <x:c r="O473" s="7"/>
      <x:c r="P473" s="9" t="str">
        <x:f t="shared" si="15"/>
      </x:c>
      <x:c r="Q473" s="10" t="s">
        <x:v>274</x:v>
      </x:c>
      <x:c r="R473" s="5" t="s">
        <x:v>557</x:v>
      </x:c>
      <x:c r="S473" s="5" t="s">
        <x:v>558</x:v>
      </x:c>
      <x:c r="T473" s="5" t="s">
        <x:v>559</x:v>
      </x:c>
      <x:c r="U473" s="151"/>
      <x:c r="V473" s="151"/>
      <x:c r="W473" s="151"/>
      <x:c r="X473" s="151"/>
      <x:c r="Y473" s="151"/>
      <x:c r="Z473" s="151"/>
    </x:row>
    <x:row r="474" ht="22" customHeight="1">
      <x:c r="A474" s="5" t="s">
        <x:v>271</x:v>
      </x:c>
      <x:c r="B474" s="5" t="s">
        <x:v>272</x:v>
      </x:c>
      <x:c r="C474" s="6">
        <x:v>46252</x:v>
      </x:c>
      <x:c r="D474" s="5">
        <x:v>2026</x:v>
      </x:c>
      <x:c r="E474" s="5" t="s">
        <x:v>574</x:v>
      </x:c>
      <x:c r="F474" s="5" t="s">
        <x:v>0</x:v>
      </x:c>
      <x:c r="G474" s="5" t="s">
        <x:v>555</x:v>
      </x:c>
      <x:c r="H474" s="8">
        <x:v>1200580</x:v>
      </x:c>
      <x:c r="I474" s="8">
        <x:v>31189260</x:v>
      </x:c>
      <x:c r="J474" s="5" t="s">
        <x:v>556</x:v>
      </x:c>
      <x:c r="K474" s="7"/>
      <x:c r="L474" s="9">
        <x:f t="shared" si="14"/>
        <x:v>3.8493378810526446E-2</x:v>
      </x:c>
      <x:c r="M474" s="8"/>
      <x:c r="N474" s="8"/>
      <x:c r="O474" s="7"/>
      <x:c r="P474" s="9" t="str">
        <x:f t="shared" si="15"/>
      </x:c>
      <x:c r="Q474" s="10" t="s">
        <x:v>274</x:v>
      </x:c>
      <x:c r="R474" s="5" t="s">
        <x:v>557</x:v>
      </x:c>
      <x:c r="S474" s="5" t="s">
        <x:v>558</x:v>
      </x:c>
      <x:c r="T474" s="5" t="s">
        <x:v>559</x:v>
      </x:c>
      <x:c r="U474" s="151"/>
      <x:c r="V474" s="151"/>
      <x:c r="W474" s="151"/>
      <x:c r="X474" s="151"/>
      <x:c r="Y474" s="151"/>
      <x:c r="Z474" s="151"/>
    </x:row>
    <x:row r="475" ht="22" customHeight="1">
      <x:c r="A475" s="5" t="s">
        <x:v>271</x:v>
      </x:c>
      <x:c r="B475" s="5" t="s">
        <x:v>272</x:v>
      </x:c>
      <x:c r="C475" s="6">
        <x:v>46252</x:v>
      </x:c>
      <x:c r="D475" s="5">
        <x:v>2026</x:v>
      </x:c>
      <x:c r="E475" s="5" t="s">
        <x:v>575</x:v>
      </x:c>
      <x:c r="F475" s="5" t="s">
        <x:v>0</x:v>
      </x:c>
      <x:c r="G475" s="5" t="s">
        <x:v>555</x:v>
      </x:c>
      <x:c r="H475" s="8">
        <x:v>2030</x:v>
      </x:c>
      <x:c r="I475" s="8">
        <x:v>31189260</x:v>
      </x:c>
      <x:c r="J475" s="5" t="s">
        <x:v>556</x:v>
      </x:c>
      <x:c r="K475" s="7"/>
      <x:c r="L475" s="9">
        <x:f t="shared" si="14"/>
        <x:v>6.5086507342591651E-5</x:v>
      </x:c>
      <x:c r="M475" s="8"/>
      <x:c r="N475" s="8"/>
      <x:c r="O475" s="7"/>
      <x:c r="P475" s="9" t="str">
        <x:f t="shared" si="15"/>
      </x:c>
      <x:c r="Q475" s="10" t="s">
        <x:v>274</x:v>
      </x:c>
      <x:c r="R475" s="5" t="s">
        <x:v>557</x:v>
      </x:c>
      <x:c r="S475" s="5" t="s">
        <x:v>558</x:v>
      </x:c>
      <x:c r="T475" s="5" t="s">
        <x:v>559</x:v>
      </x:c>
      <x:c r="U475" s="151"/>
      <x:c r="V475" s="151"/>
      <x:c r="W475" s="151"/>
      <x:c r="X475" s="151"/>
      <x:c r="Y475" s="151"/>
      <x:c r="Z475" s="151"/>
    </x:row>
    <x:row r="476" ht="22" customHeight="1">
      <x:c r="A476" s="5" t="s">
        <x:v>271</x:v>
      </x:c>
      <x:c r="B476" s="5" t="s">
        <x:v>272</x:v>
      </x:c>
      <x:c r="C476" s="6">
        <x:v>46252</x:v>
      </x:c>
      <x:c r="D476" s="5">
        <x:v>2026</x:v>
      </x:c>
      <x:c r="E476" s="5" t="s">
        <x:v>508</x:v>
      </x:c>
      <x:c r="F476" s="5" t="s">
        <x:v>0</x:v>
      </x:c>
      <x:c r="G476" s="5" t="s">
        <x:v>555</x:v>
      </x:c>
      <x:c r="H476" s="8">
        <x:v>2030</x:v>
      </x:c>
      <x:c r="I476" s="8">
        <x:v>31189260</x:v>
      </x:c>
      <x:c r="J476" s="5" t="s">
        <x:v>556</x:v>
      </x:c>
      <x:c r="K476" s="7"/>
      <x:c r="L476" s="9">
        <x:f t="shared" si="14"/>
        <x:v>6.5086507342591651E-5</x:v>
      </x:c>
      <x:c r="M476" s="8"/>
      <x:c r="N476" s="8"/>
      <x:c r="O476" s="7"/>
      <x:c r="P476" s="9" t="str">
        <x:f t="shared" si="15"/>
      </x:c>
      <x:c r="Q476" s="10" t="s">
        <x:v>274</x:v>
      </x:c>
      <x:c r="R476" s="5" t="s">
        <x:v>557</x:v>
      </x:c>
      <x:c r="S476" s="5" t="s">
        <x:v>558</x:v>
      </x:c>
      <x:c r="T476" s="5" t="s">
        <x:v>559</x:v>
      </x:c>
      <x:c r="U476" s="151"/>
      <x:c r="V476" s="151"/>
      <x:c r="W476" s="151"/>
      <x:c r="X476" s="151"/>
      <x:c r="Y476" s="151"/>
      <x:c r="Z476" s="151"/>
    </x:row>
    <x:row r="477" ht="22" customHeight="1">
      <x:c r="A477" s="5" t="s">
        <x:v>271</x:v>
      </x:c>
      <x:c r="B477" s="5" t="s">
        <x:v>272</x:v>
      </x:c>
      <x:c r="C477" s="6">
        <x:v>46252</x:v>
      </x:c>
      <x:c r="D477" s="5">
        <x:v>2026</x:v>
      </x:c>
      <x:c r="E477" s="5" t="s">
        <x:v>469</x:v>
      </x:c>
      <x:c r="F477" s="5" t="s">
        <x:v>0</x:v>
      </x:c>
      <x:c r="G477" s="5" t="s">
        <x:v>555</x:v>
      </x:c>
      <x:c r="H477" s="8">
        <x:v>140310</x:v>
      </x:c>
      <x:c r="I477" s="8">
        <x:v>31189260</x:v>
      </x:c>
      <x:c r="J477" s="5" t="s">
        <x:v>556</x:v>
      </x:c>
      <x:c r="K477" s="7"/>
      <x:c r="L477" s="9">
        <x:f t="shared" si="14"/>
        <x:v>4.498663963171938E-3</x:v>
      </x:c>
      <x:c r="M477" s="8"/>
      <x:c r="N477" s="8"/>
      <x:c r="O477" s="7"/>
      <x:c r="P477" s="9" t="str">
        <x:f t="shared" si="15"/>
      </x:c>
      <x:c r="Q477" s="10" t="s">
        <x:v>274</x:v>
      </x:c>
      <x:c r="R477" s="5" t="s">
        <x:v>557</x:v>
      </x:c>
      <x:c r="S477" s="5" t="s">
        <x:v>558</x:v>
      </x:c>
      <x:c r="T477" s="5" t="s">
        <x:v>559</x:v>
      </x:c>
      <x:c r="U477" s="151"/>
      <x:c r="V477" s="151"/>
      <x:c r="W477" s="151"/>
      <x:c r="X477" s="151"/>
      <x:c r="Y477" s="151"/>
      <x:c r="Z477" s="151"/>
    </x:row>
    <x:row r="478" ht="22" customHeight="1">
      <x:c r="A478" s="5" t="s">
        <x:v>271</x:v>
      </x:c>
      <x:c r="B478" s="5" t="s">
        <x:v>272</x:v>
      </x:c>
      <x:c r="C478" s="6">
        <x:v>46252</x:v>
      </x:c>
      <x:c r="D478" s="5">
        <x:v>2026</x:v>
      </x:c>
      <x:c r="E478" s="5" t="s">
        <x:v>576</x:v>
      </x:c>
      <x:c r="F478" s="5" t="s">
        <x:v>0</x:v>
      </x:c>
      <x:c r="G478" s="5" t="s">
        <x:v>555</x:v>
      </x:c>
      <x:c r="H478" s="8">
        <x:v>145280</x:v>
      </x:c>
      <x:c r="I478" s="8">
        <x:v>31189260</x:v>
      </x:c>
      <x:c r="J478" s="5" t="s">
        <x:v>556</x:v>
      </x:c>
      <x:c r="K478" s="7"/>
      <x:c r="L478" s="9">
        <x:f t="shared" si="14"/>
        <x:v>4.6580136880451798E-3</x:v>
      </x:c>
      <x:c r="M478" s="8"/>
      <x:c r="N478" s="8"/>
      <x:c r="O478" s="7"/>
      <x:c r="P478" s="9" t="str">
        <x:f t="shared" si="15"/>
      </x:c>
      <x:c r="Q478" s="10" t="s">
        <x:v>274</x:v>
      </x:c>
      <x:c r="R478" s="5" t="s">
        <x:v>557</x:v>
      </x:c>
      <x:c r="S478" s="5" t="s">
        <x:v>558</x:v>
      </x:c>
      <x:c r="T478" s="5" t="s">
        <x:v>559</x:v>
      </x:c>
      <x:c r="U478" s="151"/>
      <x:c r="V478" s="151"/>
      <x:c r="W478" s="151"/>
      <x:c r="X478" s="151"/>
      <x:c r="Y478" s="151"/>
      <x:c r="Z478" s="151"/>
    </x:row>
    <x:row r="479" ht="22" customHeight="1">
      <x:c r="A479" s="5" t="s">
        <x:v>271</x:v>
      </x:c>
      <x:c r="B479" s="5" t="s">
        <x:v>272</x:v>
      </x:c>
      <x:c r="C479" s="6">
        <x:v>46252</x:v>
      </x:c>
      <x:c r="D479" s="5">
        <x:v>2026</x:v>
      </x:c>
      <x:c r="E479" s="5" t="s">
        <x:v>577</x:v>
      </x:c>
      <x:c r="F479" s="5" t="s">
        <x:v>0</x:v>
      </x:c>
      <x:c r="G479" s="5" t="s">
        <x:v>555</x:v>
      </x:c>
      <x:c r="H479" s="8">
        <x:v>71410</x:v>
      </x:c>
      <x:c r="I479" s="8">
        <x:v>31189260</x:v>
      </x:c>
      <x:c r="J479" s="5" t="s">
        <x:v>556</x:v>
      </x:c>
      <x:c r="K479" s="7"/>
      <x:c r="L479" s="9">
        <x:f t="shared" si="14"/>
        <x:v>2.289570191790379E-3</x:v>
      </x:c>
      <x:c r="M479" s="8"/>
      <x:c r="N479" s="8"/>
      <x:c r="O479" s="7"/>
      <x:c r="P479" s="9" t="str">
        <x:f t="shared" si="15"/>
      </x:c>
      <x:c r="Q479" s="10" t="s">
        <x:v>274</x:v>
      </x:c>
      <x:c r="R479" s="5" t="s">
        <x:v>557</x:v>
      </x:c>
      <x:c r="S479" s="5" t="s">
        <x:v>558</x:v>
      </x:c>
      <x:c r="T479" s="5" t="s">
        <x:v>559</x:v>
      </x:c>
      <x:c r="U479" s="151"/>
      <x:c r="V479" s="151"/>
      <x:c r="W479" s="151"/>
      <x:c r="X479" s="151"/>
      <x:c r="Y479" s="151"/>
      <x:c r="Z479" s="151"/>
    </x:row>
    <x:row r="480" ht="22" customHeight="1">
      <x:c r="A480" s="5" t="s">
        <x:v>271</x:v>
      </x:c>
      <x:c r="B480" s="5" t="s">
        <x:v>272</x:v>
      </x:c>
      <x:c r="C480" s="6">
        <x:v>46252</x:v>
      </x:c>
      <x:c r="D480" s="5">
        <x:v>2026</x:v>
      </x:c>
      <x:c r="E480" s="5" t="s">
        <x:v>421</x:v>
      </x:c>
      <x:c r="F480" s="5" t="s">
        <x:v>0</x:v>
      </x:c>
      <x:c r="G480" s="5" t="s">
        <x:v>555</x:v>
      </x:c>
      <x:c r="H480" s="8">
        <x:v>1020490</x:v>
      </x:c>
      <x:c r="I480" s="8">
        <x:v>31189260</x:v>
      </x:c>
      <x:c r="J480" s="5" t="s">
        <x:v>556</x:v>
      </x:c>
      <x:c r="K480" s="7"/>
      <x:c r="L480" s="9">
        <x:f t="shared" si="14"/>
        <x:v>3.2719275801990813E-2</x:v>
      </x:c>
      <x:c r="M480" s="8"/>
      <x:c r="N480" s="8"/>
      <x:c r="O480" s="7"/>
      <x:c r="P480" s="9" t="str">
        <x:f t="shared" si="15"/>
      </x:c>
      <x:c r="Q480" s="10" t="s">
        <x:v>274</x:v>
      </x:c>
      <x:c r="R480" s="5" t="s">
        <x:v>557</x:v>
      </x:c>
      <x:c r="S480" s="5" t="s">
        <x:v>558</x:v>
      </x:c>
      <x:c r="T480" s="5" t="s">
        <x:v>559</x:v>
      </x:c>
      <x:c r="U480" s="151"/>
      <x:c r="V480" s="151"/>
      <x:c r="W480" s="151"/>
      <x:c r="X480" s="151"/>
      <x:c r="Y480" s="151"/>
      <x:c r="Z480" s="151"/>
    </x:row>
    <x:row r="481" ht="22" customHeight="1">
      <x:c r="A481" s="5" t="s">
        <x:v>271</x:v>
      </x:c>
      <x:c r="B481" s="5" t="s">
        <x:v>272</x:v>
      </x:c>
      <x:c r="C481" s="6">
        <x:v>46252</x:v>
      </x:c>
      <x:c r="D481" s="5">
        <x:v>2026</x:v>
      </x:c>
      <x:c r="E481" s="5" t="s">
        <x:v>422</x:v>
      </x:c>
      <x:c r="F481" s="5" t="s">
        <x:v>0</x:v>
      </x:c>
      <x:c r="G481" s="5" t="s">
        <x:v>555</x:v>
      </x:c>
      <x:c r="H481" s="8">
        <x:v>684320</x:v>
      </x:c>
      <x:c r="I481" s="8">
        <x:v>31189260</x:v>
      </x:c>
      <x:c r="J481" s="5" t="s">
        <x:v>556</x:v>
      </x:c>
      <x:c r="K481" s="7"/>
      <x:c r="L481" s="9">
        <x:f t="shared" si="14"/>
        <x:v>2.1940886061419862E-2</x:v>
      </x:c>
      <x:c r="M481" s="8"/>
      <x:c r="N481" s="8"/>
      <x:c r="O481" s="7"/>
      <x:c r="P481" s="9" t="str">
        <x:f t="shared" si="15"/>
      </x:c>
      <x:c r="Q481" s="10" t="s">
        <x:v>274</x:v>
      </x:c>
      <x:c r="R481" s="5" t="s">
        <x:v>557</x:v>
      </x:c>
      <x:c r="S481" s="5" t="s">
        <x:v>558</x:v>
      </x:c>
      <x:c r="T481" s="5" t="s">
        <x:v>559</x:v>
      </x:c>
      <x:c r="U481" s="151"/>
      <x:c r="V481" s="151"/>
      <x:c r="W481" s="151"/>
      <x:c r="X481" s="151"/>
      <x:c r="Y481" s="151"/>
      <x:c r="Z481" s="151"/>
    </x:row>
    <x:row r="482" ht="22" customHeight="1">
      <x:c r="A482" s="5" t="s">
        <x:v>271</x:v>
      </x:c>
      <x:c r="B482" s="5" t="s">
        <x:v>272</x:v>
      </x:c>
      <x:c r="C482" s="6">
        <x:v>46252</x:v>
      </x:c>
      <x:c r="D482" s="5">
        <x:v>2026</x:v>
      </x:c>
      <x:c r="E482" s="5" t="s">
        <x:v>423</x:v>
      </x:c>
      <x:c r="F482" s="5" t="s">
        <x:v>0</x:v>
      </x:c>
      <x:c r="G482" s="5" t="s">
        <x:v>555</x:v>
      </x:c>
      <x:c r="H482" s="8">
        <x:v>684320</x:v>
      </x:c>
      <x:c r="I482" s="8">
        <x:v>31189260</x:v>
      </x:c>
      <x:c r="J482" s="5" t="s">
        <x:v>556</x:v>
      </x:c>
      <x:c r="K482" s="7"/>
      <x:c r="L482" s="9">
        <x:f t="shared" si="14"/>
        <x:v>2.1940886061419862E-2</x:v>
      </x:c>
      <x:c r="M482" s="8"/>
      <x:c r="N482" s="8"/>
      <x:c r="O482" s="7"/>
      <x:c r="P482" s="9" t="str">
        <x:f t="shared" si="15"/>
      </x:c>
      <x:c r="Q482" s="10" t="s">
        <x:v>274</x:v>
      </x:c>
      <x:c r="R482" s="5" t="s">
        <x:v>557</x:v>
      </x:c>
      <x:c r="S482" s="5" t="s">
        <x:v>558</x:v>
      </x:c>
      <x:c r="T482" s="5" t="s">
        <x:v>559</x:v>
      </x:c>
      <x:c r="U482" s="151"/>
      <x:c r="V482" s="151"/>
      <x:c r="W482" s="151"/>
      <x:c r="X482" s="151"/>
      <x:c r="Y482" s="151"/>
      <x:c r="Z482" s="151"/>
    </x:row>
    <x:row r="483" ht="22" customHeight="1">
      <x:c r="A483" s="5" t="s">
        <x:v>271</x:v>
      </x:c>
      <x:c r="B483" s="5" t="s">
        <x:v>272</x:v>
      </x:c>
      <x:c r="C483" s="6">
        <x:v>46252</x:v>
      </x:c>
      <x:c r="D483" s="5">
        <x:v>2026</x:v>
      </x:c>
      <x:c r="E483" s="5" t="s">
        <x:v>398</x:v>
      </x:c>
      <x:c r="F483" s="5" t="s">
        <x:v>0</x:v>
      </x:c>
      <x:c r="G483" s="5" t="s">
        <x:v>555</x:v>
      </x:c>
      <x:c r="H483" s="8">
        <x:v>21010</x:v>
      </x:c>
      <x:c r="I483" s="8">
        <x:v>31189260</x:v>
      </x:c>
      <x:c r="J483" s="5" t="s">
        <x:v>556</x:v>
      </x:c>
      <x:c r="K483" s="7"/>
      <x:c r="L483" s="9">
        <x:f t="shared" si="14"/>
        <x:v>6.7362931983637963E-4</x:v>
      </x:c>
      <x:c r="M483" s="8"/>
      <x:c r="N483" s="8"/>
      <x:c r="O483" s="7"/>
      <x:c r="P483" s="9" t="str">
        <x:f t="shared" si="15"/>
      </x:c>
      <x:c r="Q483" s="10" t="s">
        <x:v>274</x:v>
      </x:c>
      <x:c r="R483" s="5" t="s">
        <x:v>557</x:v>
      </x:c>
      <x:c r="S483" s="5" t="s">
        <x:v>558</x:v>
      </x:c>
      <x:c r="T483" s="5" t="s">
        <x:v>559</x:v>
      </x:c>
      <x:c r="U483" s="151"/>
      <x:c r="V483" s="151"/>
      <x:c r="W483" s="151"/>
      <x:c r="X483" s="151"/>
      <x:c r="Y483" s="151"/>
      <x:c r="Z483" s="151"/>
    </x:row>
    <x:row r="484" ht="22" customHeight="1">
      <x:c r="A484" s="5" t="s">
        <x:v>271</x:v>
      </x:c>
      <x:c r="B484" s="5" t="s">
        <x:v>272</x:v>
      </x:c>
      <x:c r="C484" s="6">
        <x:v>46252</x:v>
      </x:c>
      <x:c r="D484" s="5">
        <x:v>2026</x:v>
      </x:c>
      <x:c r="E484" s="5" t="s">
        <x:v>473</x:v>
      </x:c>
      <x:c r="F484" s="5" t="s">
        <x:v>0</x:v>
      </x:c>
      <x:c r="G484" s="5" t="s">
        <x:v>555</x:v>
      </x:c>
      <x:c r="H484" s="8">
        <x:v>9860</x:v>
      </x:c>
      <x:c r="I484" s="8">
        <x:v>31189260</x:v>
      </x:c>
      <x:c r="J484" s="5" t="s">
        <x:v>556</x:v>
      </x:c>
      <x:c r="K484" s="7"/>
      <x:c r="L484" s="9">
        <x:f t="shared" si="14"/>
        <x:v>3.1613446423544515E-4</x:v>
      </x:c>
      <x:c r="M484" s="8"/>
      <x:c r="N484" s="8"/>
      <x:c r="O484" s="7"/>
      <x:c r="P484" s="9" t="str">
        <x:f t="shared" si="15"/>
      </x:c>
      <x:c r="Q484" s="10" t="s">
        <x:v>274</x:v>
      </x:c>
      <x:c r="R484" s="5" t="s">
        <x:v>557</x:v>
      </x:c>
      <x:c r="S484" s="5" t="s">
        <x:v>558</x:v>
      </x:c>
      <x:c r="T484" s="5" t="s">
        <x:v>559</x:v>
      </x:c>
      <x:c r="U484" s="151"/>
      <x:c r="V484" s="151"/>
      <x:c r="W484" s="151"/>
      <x:c r="X484" s="151"/>
      <x:c r="Y484" s="151"/>
      <x:c r="Z484" s="151"/>
    </x:row>
    <x:row r="485" ht="22" customHeight="1">
      <x:c r="A485" s="5" t="s">
        <x:v>271</x:v>
      </x:c>
      <x:c r="B485" s="5" t="s">
        <x:v>272</x:v>
      </x:c>
      <x:c r="C485" s="6">
        <x:v>46252</x:v>
      </x:c>
      <x:c r="D485" s="5">
        <x:v>2026</x:v>
      </x:c>
      <x:c r="E485" s="5" t="s">
        <x:v>424</x:v>
      </x:c>
      <x:c r="F485" s="5" t="s">
        <x:v>0</x:v>
      </x:c>
      <x:c r="G485" s="5" t="s">
        <x:v>555</x:v>
      </x:c>
      <x:c r="H485" s="8">
        <x:v>391530</x:v>
      </x:c>
      <x:c r="I485" s="8">
        <x:v>31189260</x:v>
      </x:c>
      <x:c r="J485" s="5" t="s">
        <x:v>556</x:v>
      </x:c>
      <x:c r="K485" s="7"/>
      <x:c r="L485" s="9">
        <x:f t="shared" si="14"/>
        <x:v>1.2553359714209315E-2</x:v>
      </x:c>
      <x:c r="M485" s="8"/>
      <x:c r="N485" s="8"/>
      <x:c r="O485" s="7"/>
      <x:c r="P485" s="9" t="str">
        <x:f t="shared" si="15"/>
      </x:c>
      <x:c r="Q485" s="10" t="s">
        <x:v>274</x:v>
      </x:c>
      <x:c r="R485" s="5" t="s">
        <x:v>557</x:v>
      </x:c>
      <x:c r="S485" s="5" t="s">
        <x:v>558</x:v>
      </x:c>
      <x:c r="T485" s="5" t="s">
        <x:v>559</x:v>
      </x:c>
      <x:c r="U485" s="151"/>
      <x:c r="V485" s="151"/>
      <x:c r="W485" s="151"/>
      <x:c r="X485" s="151"/>
      <x:c r="Y485" s="151"/>
      <x:c r="Z485" s="151"/>
    </x:row>
    <x:row r="486" ht="22" customHeight="1">
      <x:c r="A486" s="5" t="s">
        <x:v>271</x:v>
      </x:c>
      <x:c r="B486" s="5" t="s">
        <x:v>272</x:v>
      </x:c>
      <x:c r="C486" s="6">
        <x:v>46252</x:v>
      </x:c>
      <x:c r="D486" s="5">
        <x:v>2026</x:v>
      </x:c>
      <x:c r="E486" s="5" t="s">
        <x:v>402</x:v>
      </x:c>
      <x:c r="F486" s="5" t="s">
        <x:v>0</x:v>
      </x:c>
      <x:c r="G486" s="5" t="s">
        <x:v>555</x:v>
      </x:c>
      <x:c r="H486" s="8">
        <x:v>2100</x:v>
      </x:c>
      <x:c r="I486" s="8">
        <x:v>31189260</x:v>
      </x:c>
      <x:c r="J486" s="5" t="s">
        <x:v>556</x:v>
      </x:c>
      <x:c r="K486" s="7"/>
      <x:c r="L486" s="9">
        <x:f t="shared" si="14"/>
        <x:v>6.7330869664749984E-5</x:v>
      </x:c>
      <x:c r="M486" s="8"/>
      <x:c r="N486" s="8"/>
      <x:c r="O486" s="7"/>
      <x:c r="P486" s="9" t="str">
        <x:f t="shared" si="15"/>
      </x:c>
      <x:c r="Q486" s="10" t="s">
        <x:v>274</x:v>
      </x:c>
      <x:c r="R486" s="5" t="s">
        <x:v>557</x:v>
      </x:c>
      <x:c r="S486" s="5" t="s">
        <x:v>558</x:v>
      </x:c>
      <x:c r="T486" s="5" t="s">
        <x:v>559</x:v>
      </x:c>
      <x:c r="U486" s="151"/>
      <x:c r="V486" s="151"/>
      <x:c r="W486" s="151"/>
      <x:c r="X486" s="151"/>
      <x:c r="Y486" s="151"/>
      <x:c r="Z486" s="151"/>
    </x:row>
    <x:row r="487" ht="22" customHeight="1">
      <x:c r="A487" s="5" t="s">
        <x:v>271</x:v>
      </x:c>
      <x:c r="B487" s="5" t="s">
        <x:v>272</x:v>
      </x:c>
      <x:c r="C487" s="6">
        <x:v>46252</x:v>
      </x:c>
      <x:c r="D487" s="5">
        <x:v>2026</x:v>
      </x:c>
      <x:c r="E487" s="5" t="s">
        <x:v>578</x:v>
      </x:c>
      <x:c r="F487" s="5" t="s">
        <x:v>0</x:v>
      </x:c>
      <x:c r="G487" s="5" t="s">
        <x:v>555</x:v>
      </x:c>
      <x:c r="H487" s="8">
        <x:v>240110</x:v>
      </x:c>
      <x:c r="I487" s="8">
        <x:v>31189260</x:v>
      </x:c>
      <x:c r="J487" s="5" t="s">
        <x:v>556</x:v>
      </x:c>
      <x:c r="K487" s="7"/>
      <x:c r="L487" s="9">
        <x:f t="shared" si="14"/>
        <x:v>7.6984833881919611E-3</x:v>
      </x:c>
      <x:c r="M487" s="8"/>
      <x:c r="N487" s="8"/>
      <x:c r="O487" s="7"/>
      <x:c r="P487" s="9" t="str">
        <x:f t="shared" si="15"/>
      </x:c>
      <x:c r="Q487" s="10" t="s">
        <x:v>274</x:v>
      </x:c>
      <x:c r="R487" s="5" t="s">
        <x:v>557</x:v>
      </x:c>
      <x:c r="S487" s="5" t="s">
        <x:v>558</x:v>
      </x:c>
      <x:c r="T487" s="5" t="s">
        <x:v>559</x:v>
      </x:c>
      <x:c r="U487" s="151"/>
      <x:c r="V487" s="151"/>
      <x:c r="W487" s="151"/>
      <x:c r="X487" s="151"/>
      <x:c r="Y487" s="151"/>
      <x:c r="Z487" s="151"/>
    </x:row>
    <x:row r="488" ht="22" customHeight="1">
      <x:c r="A488" s="5" t="s">
        <x:v>271</x:v>
      </x:c>
      <x:c r="B488" s="5" t="s">
        <x:v>272</x:v>
      </x:c>
      <x:c r="C488" s="6">
        <x:v>46252</x:v>
      </x:c>
      <x:c r="D488" s="5">
        <x:v>2026</x:v>
      </x:c>
      <x:c r="E488" s="5" t="s">
        <x:v>474</x:v>
      </x:c>
      <x:c r="F488" s="5" t="s">
        <x:v>0</x:v>
      </x:c>
      <x:c r="G488" s="5" t="s">
        <x:v>555</x:v>
      </x:c>
      <x:c r="H488" s="8">
        <x:v>2030</x:v>
      </x:c>
      <x:c r="I488" s="8">
        <x:v>31189260</x:v>
      </x:c>
      <x:c r="J488" s="5" t="s">
        <x:v>556</x:v>
      </x:c>
      <x:c r="K488" s="7"/>
      <x:c r="L488" s="9">
        <x:f t="shared" si="14"/>
        <x:v>6.5086507342591651E-5</x:v>
      </x:c>
      <x:c r="M488" s="8"/>
      <x:c r="N488" s="8"/>
      <x:c r="O488" s="7"/>
      <x:c r="P488" s="9" t="str">
        <x:f t="shared" si="15"/>
      </x:c>
      <x:c r="Q488" s="10" t="s">
        <x:v>274</x:v>
      </x:c>
      <x:c r="R488" s="5" t="s">
        <x:v>557</x:v>
      </x:c>
      <x:c r="S488" s="5" t="s">
        <x:v>558</x:v>
      </x:c>
      <x:c r="T488" s="5" t="s">
        <x:v>559</x:v>
      </x:c>
      <x:c r="U488" s="151"/>
      <x:c r="V488" s="151"/>
      <x:c r="W488" s="151"/>
      <x:c r="X488" s="151"/>
      <x:c r="Y488" s="151"/>
      <x:c r="Z488" s="151"/>
    </x:row>
    <x:row r="489" ht="22" customHeight="1">
      <x:c r="A489" s="5" t="s">
        <x:v>271</x:v>
      </x:c>
      <x:c r="B489" s="5" t="s">
        <x:v>272</x:v>
      </x:c>
      <x:c r="C489" s="6">
        <x:v>46252</x:v>
      </x:c>
      <x:c r="D489" s="5">
        <x:v>2026</x:v>
      </x:c>
      <x:c r="E489" s="5" t="s">
        <x:v>425</x:v>
      </x:c>
      <x:c r="F489" s="5" t="s">
        <x:v>0</x:v>
      </x:c>
      <x:c r="G489" s="5" t="s">
        <x:v>555</x:v>
      </x:c>
      <x:c r="H489" s="8">
        <x:v>2900110</x:v>
      </x:c>
      <x:c r="I489" s="8">
        <x:v>31189260</x:v>
      </x:c>
      <x:c r="J489" s="5" t="s">
        <x:v>556</x:v>
      </x:c>
      <x:c r="K489" s="7"/>
      <x:c r="L489" s="9">
        <x:f t="shared" si="14"/>
        <x:v>9.2984251630208598E-2</x:v>
      </x:c>
      <x:c r="M489" s="8"/>
      <x:c r="N489" s="8"/>
      <x:c r="O489" s="7"/>
      <x:c r="P489" s="9" t="str">
        <x:f t="shared" si="15"/>
      </x:c>
      <x:c r="Q489" s="10" t="s">
        <x:v>274</x:v>
      </x:c>
      <x:c r="R489" s="5" t="s">
        <x:v>557</x:v>
      </x:c>
      <x:c r="S489" s="5" t="s">
        <x:v>558</x:v>
      </x:c>
      <x:c r="T489" s="5" t="s">
        <x:v>559</x:v>
      </x:c>
      <x:c r="U489" s="151"/>
      <x:c r="V489" s="151"/>
      <x:c r="W489" s="151"/>
      <x:c r="X489" s="151"/>
      <x:c r="Y489" s="151"/>
      <x:c r="Z489" s="151"/>
    </x:row>
    <x:row r="490" ht="22" customHeight="1">
      <x:c r="A490" s="5" t="s">
        <x:v>271</x:v>
      </x:c>
      <x:c r="B490" s="5" t="s">
        <x:v>272</x:v>
      </x:c>
      <x:c r="C490" s="6">
        <x:v>46252</x:v>
      </x:c>
      <x:c r="D490" s="5">
        <x:v>2026</x:v>
      </x:c>
      <x:c r="E490" s="5" t="s">
        <x:v>579</x:v>
      </x:c>
      <x:c r="F490" s="5" t="s">
        <x:v>0</x:v>
      </x:c>
      <x:c r="G490" s="5" t="s">
        <x:v>555</x:v>
      </x:c>
      <x:c r="H490" s="8">
        <x:v>3001480</x:v>
      </x:c>
      <x:c r="I490" s="8">
        <x:v>31189260</x:v>
      </x:c>
      <x:c r="J490" s="5" t="s">
        <x:v>556</x:v>
      </x:c>
      <x:c r="K490" s="7"/>
      <x:c r="L490" s="9">
        <x:f t="shared" si="14"/>
        <x:v>9.623440889588275E-2</x:v>
      </x:c>
      <x:c r="M490" s="8"/>
      <x:c r="N490" s="8"/>
      <x:c r="O490" s="7"/>
      <x:c r="P490" s="9" t="str">
        <x:f t="shared" si="15"/>
      </x:c>
      <x:c r="Q490" s="10" t="s">
        <x:v>274</x:v>
      </x:c>
      <x:c r="R490" s="5" t="s">
        <x:v>557</x:v>
      </x:c>
      <x:c r="S490" s="5" t="s">
        <x:v>558</x:v>
      </x:c>
      <x:c r="T490" s="5" t="s">
        <x:v>559</x:v>
      </x:c>
      <x:c r="U490" s="151"/>
      <x:c r="V490" s="151"/>
      <x:c r="W490" s="151"/>
      <x:c r="X490" s="151"/>
      <x:c r="Y490" s="151"/>
      <x:c r="Z490" s="151"/>
    </x:row>
    <x:row r="491" ht="22" customHeight="1">
      <x:c r="A491" s="5" t="s">
        <x:v>271</x:v>
      </x:c>
      <x:c r="B491" s="5" t="s">
        <x:v>272</x:v>
      </x:c>
      <x:c r="C491" s="6">
        <x:v>46252</x:v>
      </x:c>
      <x:c r="D491" s="5">
        <x:v>2026</x:v>
      </x:c>
      <x:c r="E491" s="5" t="s">
        <x:v>404</x:v>
      </x:c>
      <x:c r="F491" s="5" t="s">
        <x:v>0</x:v>
      </x:c>
      <x:c r="G491" s="5" t="s">
        <x:v>555</x:v>
      </x:c>
      <x:c r="H491" s="8">
        <x:v>44120</x:v>
      </x:c>
      <x:c r="I491" s="8">
        <x:v>31189260</x:v>
      </x:c>
      <x:c r="J491" s="5" t="s">
        <x:v>556</x:v>
      </x:c>
      <x:c r="K491" s="7"/>
      <x:c r="L491" s="9">
        <x:f t="shared" si="14"/>
        <x:v>1.4145895093375092E-3</x:v>
      </x:c>
      <x:c r="M491" s="8"/>
      <x:c r="N491" s="8"/>
      <x:c r="O491" s="7"/>
      <x:c r="P491" s="9" t="str">
        <x:f t="shared" si="15"/>
      </x:c>
      <x:c r="Q491" s="10" t="s">
        <x:v>274</x:v>
      </x:c>
      <x:c r="R491" s="5" t="s">
        <x:v>557</x:v>
      </x:c>
      <x:c r="S491" s="5" t="s">
        <x:v>558</x:v>
      </x:c>
      <x:c r="T491" s="5" t="s">
        <x:v>559</x:v>
      </x:c>
      <x:c r="U491" s="151"/>
      <x:c r="V491" s="151"/>
      <x:c r="W491" s="151"/>
      <x:c r="X491" s="151"/>
      <x:c r="Y491" s="151"/>
      <x:c r="Z491" s="151"/>
    </x:row>
    <x:row r="492" ht="22" customHeight="1">
      <x:c r="A492" s="5" t="s">
        <x:v>299</x:v>
      </x:c>
      <x:c r="B492" s="5" t="s">
        <x:v>300</x:v>
      </x:c>
      <x:c r="C492" s="6">
        <x:v>45657</x:v>
      </x:c>
      <x:c r="D492" s="5">
        <x:v>2024</x:v>
      </x:c>
      <x:c r="E492" s="5" t="s">
        <x:v>432</x:v>
      </x:c>
      <x:c r="F492" s="5" t="s">
        <x:v>0</x:v>
      </x:c>
      <x:c r="G492" s="5" t="s">
        <x:v>580</x:v>
      </x:c>
      <x:c r="H492" s="8">
        <x:v>1609442</x:v>
      </x:c>
      <x:c r="I492" s="8">
        <x:v>14170108</x:v>
      </x:c>
      <x:c r="J492" s="5" t="s">
        <x:v>581</x:v>
      </x:c>
      <x:c r="K492" s="7"/>
      <x:c r="L492" s="9">
        <x:f t="shared" si="14"/>
        <x:v>0.1135800799824532</x:v>
      </x:c>
      <x:c r="M492" s="8">
        <x:v>1609577</x:v>
      </x:c>
      <x:c r="N492" s="8">
        <x:v>14176588</x:v>
      </x:c>
      <x:c r="O492" s="7"/>
      <x:c r="P492" s="9">
        <x:f t="shared" si="15"/>
        <x:v>0.11353768621899712</x:v>
      </x:c>
      <x:c r="Q492" s="10" t="s">
        <x:v>302</x:v>
      </x:c>
      <x:c r="R492" s="5" t="s">
        <x:v>582</x:v>
      </x:c>
      <x:c r="S492" s="5" t="s">
        <x:v>357</x:v>
      </x:c>
      <x:c r="T492" s="5" t="s">
        <x:v>583</x:v>
      </x:c>
      <x:c r="U492" s="151"/>
      <x:c r="V492" s="151"/>
      <x:c r="W492" s="151"/>
      <x:c r="X492" s="151"/>
      <x:c r="Y492" s="151"/>
      <x:c r="Z492" s="151"/>
    </x:row>
    <x:row r="493" ht="22" customHeight="1">
      <x:c r="A493" s="5" t="s">
        <x:v>299</x:v>
      </x:c>
      <x:c r="B493" s="5" t="s">
        <x:v>300</x:v>
      </x:c>
      <x:c r="C493" s="6">
        <x:v>45657</x:v>
      </x:c>
      <x:c r="D493" s="5">
        <x:v>2024</x:v>
      </x:c>
      <x:c r="E493" s="5" t="s">
        <x:v>527</x:v>
      </x:c>
      <x:c r="F493" s="5" t="s">
        <x:v>0</x:v>
      </x:c>
      <x:c r="G493" s="5" t="s">
        <x:v>580</x:v>
      </x:c>
      <x:c r="H493" s="8">
        <x:v>29548</x:v>
      </x:c>
      <x:c r="I493" s="8">
        <x:v>14170108</x:v>
      </x:c>
      <x:c r="J493" s="5" t="s">
        <x:v>581</x:v>
      </x:c>
      <x:c r="K493" s="7"/>
      <x:c r="L493" s="9">
        <x:f t="shared" si="14"/>
        <x:v>2.0852346361792018E-3</x:v>
      </x:c>
      <x:c r="M493" s="8">
        <x:v>29683</x:v>
      </x:c>
      <x:c r="N493" s="8">
        <x:v>14176588</x:v>
      </x:c>
      <x:c r="O493" s="7"/>
      <x:c r="P493" s="9">
        <x:f t="shared" si="15"/>
        <x:v>2.0938042355466632E-3</x:v>
      </x:c>
      <x:c r="Q493" s="10" t="s">
        <x:v>302</x:v>
      </x:c>
      <x:c r="R493" s="5" t="s">
        <x:v>582</x:v>
      </x:c>
      <x:c r="S493" s="5" t="s">
        <x:v>357</x:v>
      </x:c>
      <x:c r="T493" s="5" t="s">
        <x:v>583</x:v>
      </x:c>
      <x:c r="U493" s="151"/>
      <x:c r="V493" s="151"/>
      <x:c r="W493" s="151"/>
      <x:c r="X493" s="151"/>
      <x:c r="Y493" s="151"/>
      <x:c r="Z493" s="151"/>
    </x:row>
    <x:row r="494" ht="22" customHeight="1">
      <x:c r="A494" s="5" t="s">
        <x:v>299</x:v>
      </x:c>
      <x:c r="B494" s="5" t="s">
        <x:v>300</x:v>
      </x:c>
      <x:c r="C494" s="6">
        <x:v>45657</x:v>
      </x:c>
      <x:c r="D494" s="5">
        <x:v>2024</x:v>
      </x:c>
      <x:c r="E494" s="5" t="s">
        <x:v>532</x:v>
      </x:c>
      <x:c r="F494" s="5" t="s">
        <x:v>0</x:v>
      </x:c>
      <x:c r="G494" s="5" t="s">
        <x:v>580</x:v>
      </x:c>
      <x:c r="H494" s="8">
        <x:v>19306</x:v>
      </x:c>
      <x:c r="I494" s="8">
        <x:v>14170108</x:v>
      </x:c>
      <x:c r="J494" s="5" t="s">
        <x:v>581</x:v>
      </x:c>
      <x:c r="K494" s="7"/>
      <x:c r="L494" s="9">
        <x:f t="shared" si="14"/>
        <x:v>1.362445508531057E-3</x:v>
      </x:c>
      <x:c r="M494" s="8">
        <x:v>19441</x:v>
      </x:c>
      <x:c r="N494" s="8">
        <x:v>14176588</x:v>
      </x:c>
      <x:c r="O494" s="7"/>
      <x:c r="P494" s="9">
        <x:f t="shared" si="15"/>
        <x:v>1.3713454887734622E-3</x:v>
      </x:c>
      <x:c r="Q494" s="10" t="s">
        <x:v>302</x:v>
      </x:c>
      <x:c r="R494" s="5" t="s">
        <x:v>582</x:v>
      </x:c>
      <x:c r="S494" s="5" t="s">
        <x:v>357</x:v>
      </x:c>
      <x:c r="T494" s="5" t="s">
        <x:v>583</x:v>
      </x:c>
      <x:c r="U494" s="151"/>
      <x:c r="V494" s="151"/>
      <x:c r="W494" s="151"/>
      <x:c r="X494" s="151"/>
      <x:c r="Y494" s="151"/>
      <x:c r="Z494" s="151"/>
    </x:row>
    <x:row r="495" ht="22" customHeight="1">
      <x:c r="A495" s="5" t="s">
        <x:v>299</x:v>
      </x:c>
      <x:c r="B495" s="5" t="s">
        <x:v>300</x:v>
      </x:c>
      <x:c r="C495" s="6">
        <x:v>45657</x:v>
      </x:c>
      <x:c r="D495" s="5">
        <x:v>2024</x:v>
      </x:c>
      <x:c r="E495" s="5" t="s">
        <x:v>534</x:v>
      </x:c>
      <x:c r="F495" s="5" t="s">
        <x:v>0</x:v>
      </x:c>
      <x:c r="G495" s="5" t="s">
        <x:v>580</x:v>
      </x:c>
      <x:c r="H495" s="8">
        <x:v>16516</x:v>
      </x:c>
      <x:c r="I495" s="8">
        <x:v>14170108</x:v>
      </x:c>
      <x:c r="J495" s="5" t="s">
        <x:v>581</x:v>
      </x:c>
      <x:c r="K495" s="7"/>
      <x:c r="L495" s="9">
        <x:f t="shared" si="14"/>
        <x:v>1.1655521609291897E-3</x:v>
      </x:c>
      <x:c r="M495" s="8">
        <x:v>16651</x:v>
      </x:c>
      <x:c r="N495" s="8">
        <x:v>14176588</x:v>
      </x:c>
      <x:c r="O495" s="7"/>
      <x:c r="P495" s="9">
        <x:f t="shared" si="15"/>
        <x:v>1.1745421394767203E-3</x:v>
      </x:c>
      <x:c r="Q495" s="10" t="s">
        <x:v>302</x:v>
      </x:c>
      <x:c r="R495" s="5" t="s">
        <x:v>582</x:v>
      </x:c>
      <x:c r="S495" s="5" t="s">
        <x:v>357</x:v>
      </x:c>
      <x:c r="T495" s="5" t="s">
        <x:v>583</x:v>
      </x:c>
      <x:c r="U495" s="151"/>
      <x:c r="V495" s="151"/>
      <x:c r="W495" s="151"/>
      <x:c r="X495" s="151"/>
      <x:c r="Y495" s="151"/>
      <x:c r="Z495" s="151"/>
    </x:row>
    <x:row r="496" ht="22" customHeight="1">
      <x:c r="A496" s="5" t="s">
        <x:v>299</x:v>
      </x:c>
      <x:c r="B496" s="5" t="s">
        <x:v>300</x:v>
      </x:c>
      <x:c r="C496" s="6">
        <x:v>45657</x:v>
      </x:c>
      <x:c r="D496" s="5">
        <x:v>2024</x:v>
      </x:c>
      <x:c r="E496" s="5" t="s">
        <x:v>584</x:v>
      </x:c>
      <x:c r="F496" s="5" t="s">
        <x:v>0</x:v>
      </x:c>
      <x:c r="G496" s="5" t="s">
        <x:v>580</x:v>
      </x:c>
      <x:c r="H496" s="8">
        <x:v>129293</x:v>
      </x:c>
      <x:c r="I496" s="8">
        <x:v>14170108</x:v>
      </x:c>
      <x:c r="J496" s="5" t="s">
        <x:v>581</x:v>
      </x:c>
      <x:c r="K496" s="7"/>
      <x:c r="L496" s="9">
        <x:f t="shared" si="14"/>
        <x:v>9.1243482406767832E-3</x:v>
      </x:c>
      <x:c r="M496" s="8">
        <x:v>129428</x:v>
      </x:c>
      <x:c r="N496" s="8">
        <x:v>14176588</x:v>
      </x:c>
      <x:c r="O496" s="7"/>
      <x:c r="P496" s="9">
        <x:f t="shared" si="15"/>
        <x:v>9.1297003199923704E-3</x:v>
      </x:c>
      <x:c r="Q496" s="10" t="s">
        <x:v>302</x:v>
      </x:c>
      <x:c r="R496" s="5" t="s">
        <x:v>582</x:v>
      </x:c>
      <x:c r="S496" s="5" t="s">
        <x:v>357</x:v>
      </x:c>
      <x:c r="T496" s="5" t="s">
        <x:v>583</x:v>
      </x:c>
      <x:c r="U496" s="151"/>
      <x:c r="V496" s="151"/>
      <x:c r="W496" s="151"/>
      <x:c r="X496" s="151"/>
      <x:c r="Y496" s="151"/>
      <x:c r="Z496" s="151"/>
    </x:row>
    <x:row r="497" ht="22" customHeight="1">
      <x:c r="A497" s="5" t="s">
        <x:v>299</x:v>
      </x:c>
      <x:c r="B497" s="5" t="s">
        <x:v>300</x:v>
      </x:c>
      <x:c r="C497" s="6">
        <x:v>45657</x:v>
      </x:c>
      <x:c r="D497" s="5">
        <x:v>2024</x:v>
      </x:c>
      <x:c r="E497" s="5" t="s">
        <x:v>436</x:v>
      </x:c>
      <x:c r="F497" s="5" t="s">
        <x:v>0</x:v>
      </x:c>
      <x:c r="G497" s="5" t="s">
        <x:v>580</x:v>
      </x:c>
      <x:c r="H497" s="8">
        <x:v>1609442</x:v>
      </x:c>
      <x:c r="I497" s="8">
        <x:v>14170108</x:v>
      </x:c>
      <x:c r="J497" s="5" t="s">
        <x:v>581</x:v>
      </x:c>
      <x:c r="K497" s="7"/>
      <x:c r="L497" s="9">
        <x:f t="shared" si="14"/>
        <x:v>0.1135800799824532</x:v>
      </x:c>
      <x:c r="M497" s="8">
        <x:v>1609577</x:v>
      </x:c>
      <x:c r="N497" s="8">
        <x:v>14176588</x:v>
      </x:c>
      <x:c r="O497" s="7"/>
      <x:c r="P497" s="9">
        <x:f t="shared" si="15"/>
        <x:v>0.11353768621899712</x:v>
      </x:c>
      <x:c r="Q497" s="10" t="s">
        <x:v>302</x:v>
      </x:c>
      <x:c r="R497" s="5" t="s">
        <x:v>582</x:v>
      </x:c>
      <x:c r="S497" s="5" t="s">
        <x:v>357</x:v>
      </x:c>
      <x:c r="T497" s="5" t="s">
        <x:v>583</x:v>
      </x:c>
      <x:c r="U497" s="151"/>
      <x:c r="V497" s="151"/>
      <x:c r="W497" s="151"/>
      <x:c r="X497" s="151"/>
      <x:c r="Y497" s="151"/>
      <x:c r="Z497" s="151"/>
    </x:row>
    <x:row r="498" ht="22" customHeight="1">
      <x:c r="A498" s="5" t="s">
        <x:v>299</x:v>
      </x:c>
      <x:c r="B498" s="5" t="s">
        <x:v>300</x:v>
      </x:c>
      <x:c r="C498" s="6">
        <x:v>45657</x:v>
      </x:c>
      <x:c r="D498" s="5">
        <x:v>2024</x:v>
      </x:c>
      <x:c r="E498" s="5" t="s">
        <x:v>437</x:v>
      </x:c>
      <x:c r="F498" s="5" t="s">
        <x:v>0</x:v>
      </x:c>
      <x:c r="G498" s="5" t="s">
        <x:v>580</x:v>
      </x:c>
      <x:c r="H498" s="8">
        <x:v>441995</x:v>
      </x:c>
      <x:c r="I498" s="8">
        <x:v>14170108</x:v>
      </x:c>
      <x:c r="J498" s="5" t="s">
        <x:v>581</x:v>
      </x:c>
      <x:c r="K498" s="7"/>
      <x:c r="L498" s="9">
        <x:f t="shared" si="14"/>
        <x:v>3.1192069954583269E-2</x:v>
      </x:c>
      <x:c r="M498" s="8">
        <x:v>442130</x:v>
      </x:c>
      <x:c r="N498" s="8">
        <x:v>14176588</x:v>
      </x:c>
      <x:c r="O498" s="7"/>
      <x:c r="P498" s="9">
        <x:f t="shared" si="15"/>
        <x:v>3.1187335062569356E-2</x:v>
      </x:c>
      <x:c r="Q498" s="10" t="s">
        <x:v>302</x:v>
      </x:c>
      <x:c r="R498" s="5" t="s">
        <x:v>582</x:v>
      </x:c>
      <x:c r="S498" s="5" t="s">
        <x:v>357</x:v>
      </x:c>
      <x:c r="T498" s="5" t="s">
        <x:v>583</x:v>
      </x:c>
      <x:c r="U498" s="151"/>
      <x:c r="V498" s="151"/>
      <x:c r="W498" s="151"/>
      <x:c r="X498" s="151"/>
      <x:c r="Y498" s="151"/>
      <x:c r="Z498" s="151"/>
    </x:row>
    <x:row r="499" ht="22" customHeight="1">
      <x:c r="A499" s="5" t="s">
        <x:v>299</x:v>
      </x:c>
      <x:c r="B499" s="5" t="s">
        <x:v>300</x:v>
      </x:c>
      <x:c r="C499" s="6">
        <x:v>45657</x:v>
      </x:c>
      <x:c r="D499" s="5">
        <x:v>2024</x:v>
      </x:c>
      <x:c r="E499" s="5" t="s">
        <x:v>529</x:v>
      </x:c>
      <x:c r="F499" s="5" t="s">
        <x:v>0</x:v>
      </x:c>
      <x:c r="G499" s="5" t="s">
        <x:v>580</x:v>
      </x:c>
      <x:c r="H499" s="8">
        <x:v>441995</x:v>
      </x:c>
      <x:c r="I499" s="8">
        <x:v>14170108</x:v>
      </x:c>
      <x:c r="J499" s="5" t="s">
        <x:v>581</x:v>
      </x:c>
      <x:c r="K499" s="7"/>
      <x:c r="L499" s="9">
        <x:f t="shared" si="14"/>
        <x:v>3.1192069954583269E-2</x:v>
      </x:c>
      <x:c r="M499" s="8">
        <x:v>442130</x:v>
      </x:c>
      <x:c r="N499" s="8">
        <x:v>14176588</x:v>
      </x:c>
      <x:c r="O499" s="7"/>
      <x:c r="P499" s="9">
        <x:f t="shared" si="15"/>
        <x:v>3.1187335062569356E-2</x:v>
      </x:c>
      <x:c r="Q499" s="10" t="s">
        <x:v>302</x:v>
      </x:c>
      <x:c r="R499" s="5" t="s">
        <x:v>582</x:v>
      </x:c>
      <x:c r="S499" s="5" t="s">
        <x:v>357</x:v>
      </x:c>
      <x:c r="T499" s="5" t="s">
        <x:v>583</x:v>
      </x:c>
      <x:c r="U499" s="151"/>
      <x:c r="V499" s="151"/>
      <x:c r="W499" s="151"/>
      <x:c r="X499" s="151"/>
      <x:c r="Y499" s="151"/>
      <x:c r="Z499" s="151"/>
    </x:row>
    <x:row r="500" ht="22" customHeight="1">
      <x:c r="A500" s="5" t="s">
        <x:v>299</x:v>
      </x:c>
      <x:c r="B500" s="5" t="s">
        <x:v>300</x:v>
      </x:c>
      <x:c r="C500" s="6">
        <x:v>45657</x:v>
      </x:c>
      <x:c r="D500" s="5">
        <x:v>2024</x:v>
      </x:c>
      <x:c r="E500" s="5" t="s">
        <x:v>585</x:v>
      </x:c>
      <x:c r="F500" s="5" t="s">
        <x:v>0</x:v>
      </x:c>
      <x:c r="G500" s="5" t="s">
        <x:v>580</x:v>
      </x:c>
      <x:c r="H500" s="8">
        <x:v>64684</x:v>
      </x:c>
      <x:c r="I500" s="8">
        <x:v>14170108</x:v>
      </x:c>
      <x:c r="J500" s="5" t="s">
        <x:v>581</x:v>
      </x:c>
      <x:c r="K500" s="7"/>
      <x:c r="L500" s="9">
        <x:f t="shared" si="14"/>
        <x:v>4.5648205363007822E-3</x:v>
      </x:c>
      <x:c r="M500" s="8">
        <x:v>64819</x:v>
      </x:c>
      <x:c r="N500" s="8">
        <x:v>14176588</x:v>
      </x:c>
      <x:c r="O500" s="7"/>
      <x:c r="P500" s="9">
        <x:f t="shared" si="15"/>
        <x:v>4.5722567376578907E-3</x:v>
      </x:c>
      <x:c r="Q500" s="10" t="s">
        <x:v>302</x:v>
      </x:c>
      <x:c r="R500" s="5" t="s">
        <x:v>582</x:v>
      </x:c>
      <x:c r="S500" s="5" t="s">
        <x:v>357</x:v>
      </x:c>
      <x:c r="T500" s="5" t="s">
        <x:v>583</x:v>
      </x:c>
      <x:c r="U500" s="151"/>
      <x:c r="V500" s="151"/>
      <x:c r="W500" s="151"/>
      <x:c r="X500" s="151"/>
      <x:c r="Y500" s="151"/>
      <x:c r="Z500" s="151"/>
    </x:row>
    <x:row r="501" ht="22" customHeight="1">
      <x:c r="A501" s="5" t="s">
        <x:v>299</x:v>
      </x:c>
      <x:c r="B501" s="5" t="s">
        <x:v>300</x:v>
      </x:c>
      <x:c r="C501" s="6">
        <x:v>45657</x:v>
      </x:c>
      <x:c r="D501" s="5">
        <x:v>2024</x:v>
      </x:c>
      <x:c r="E501" s="5" t="s">
        <x:v>586</x:v>
      </x:c>
      <x:c r="F501" s="5" t="s">
        <x:v>0</x:v>
      </x:c>
      <x:c r="G501" s="5" t="s">
        <x:v>580</x:v>
      </x:c>
      <x:c r="H501" s="8">
        <x:v>86317</x:v>
      </x:c>
      <x:c r="I501" s="8">
        <x:v>14170108</x:v>
      </x:c>
      <x:c r="J501" s="5" t="s">
        <x:v>581</x:v>
      </x:c>
      <x:c r="K501" s="7"/>
      <x:c r="L501" s="9">
        <x:f t="shared" si="14"/>
        <x:v>6.0914849766847221E-3</x:v>
      </x:c>
      <x:c r="M501" s="8">
        <x:v>86452</x:v>
      </x:c>
      <x:c r="N501" s="8">
        <x:v>14176588</x:v>
      </x:c>
      <x:c r="O501" s="7"/>
      <x:c r="P501" s="9">
        <x:f t="shared" si="15"/>
        <x:v>6.0982233524738113E-3</x:v>
      </x:c>
      <x:c r="Q501" s="10" t="s">
        <x:v>302</x:v>
      </x:c>
      <x:c r="R501" s="5" t="s">
        <x:v>582</x:v>
      </x:c>
      <x:c r="S501" s="5" t="s">
        <x:v>357</x:v>
      </x:c>
      <x:c r="T501" s="5" t="s">
        <x:v>583</x:v>
      </x:c>
      <x:c r="U501" s="151"/>
      <x:c r="V501" s="151"/>
      <x:c r="W501" s="151"/>
      <x:c r="X501" s="151"/>
      <x:c r="Y501" s="151"/>
      <x:c r="Z501" s="151"/>
    </x:row>
    <x:row r="502" ht="22" customHeight="1">
      <x:c r="A502" s="5" t="s">
        <x:v>299</x:v>
      </x:c>
      <x:c r="B502" s="5" t="s">
        <x:v>300</x:v>
      </x:c>
      <x:c r="C502" s="6">
        <x:v>45657</x:v>
      </x:c>
      <x:c r="D502" s="5">
        <x:v>2024</x:v>
      </x:c>
      <x:c r="E502" s="5" t="s">
        <x:v>442</x:v>
      </x:c>
      <x:c r="F502" s="5" t="s">
        <x:v>0</x:v>
      </x:c>
      <x:c r="G502" s="5" t="s">
        <x:v>580</x:v>
      </x:c>
      <x:c r="H502" s="8">
        <x:v>86090</x:v>
      </x:c>
      <x:c r="I502" s="8">
        <x:v>14170108</x:v>
      </x:c>
      <x:c r="J502" s="5" t="s">
        <x:v>581</x:v>
      </x:c>
      <x:c r="K502" s="7"/>
      <x:c r="L502" s="9">
        <x:f t="shared" si="14"/>
        <x:v>6.0754653387257171E-3</x:v>
      </x:c>
      <x:c r="M502" s="8">
        <x:v>86225</x:v>
      </x:c>
      <x:c r="N502" s="8">
        <x:v>14176588</x:v>
      </x:c>
      <x:c r="O502" s="7"/>
      <x:c r="P502" s="9">
        <x:f t="shared" si="15"/>
        <x:v>6.082211036957553E-3</x:v>
      </x:c>
      <x:c r="Q502" s="10" t="s">
        <x:v>302</x:v>
      </x:c>
      <x:c r="R502" s="5" t="s">
        <x:v>582</x:v>
      </x:c>
      <x:c r="S502" s="5" t="s">
        <x:v>357</x:v>
      </x:c>
      <x:c r="T502" s="5" t="s">
        <x:v>583</x:v>
      </x:c>
      <x:c r="U502" s="151"/>
      <x:c r="V502" s="151"/>
      <x:c r="W502" s="151"/>
      <x:c r="X502" s="151"/>
      <x:c r="Y502" s="151"/>
      <x:c r="Z502" s="151"/>
    </x:row>
    <x:row r="503" ht="22" customHeight="1">
      <x:c r="A503" s="5" t="s">
        <x:v>299</x:v>
      </x:c>
      <x:c r="B503" s="5" t="s">
        <x:v>300</x:v>
      </x:c>
      <x:c r="C503" s="6">
        <x:v>45657</x:v>
      </x:c>
      <x:c r="D503" s="5">
        <x:v>2024</x:v>
      </x:c>
      <x:c r="E503" s="5" t="s">
        <x:v>587</x:v>
      </x:c>
      <x:c r="F503" s="5" t="s">
        <x:v>0</x:v>
      </x:c>
      <x:c r="G503" s="5" t="s">
        <x:v>580</x:v>
      </x:c>
      <x:c r="H503" s="8">
        <x:v>64514</x:v>
      </x:c>
      <x:c r="I503" s="8">
        <x:v>14170108</x:v>
      </x:c>
      <x:c r="J503" s="5" t="s">
        <x:v>581</x:v>
      </x:c>
      <x:c r="K503" s="7"/>
      <x:c r="L503" s="9">
        <x:f t="shared" si="14"/>
        <x:v>4.552823450604611E-3</x:v>
      </x:c>
      <x:c r="M503" s="8">
        <x:v>64649</x:v>
      </x:c>
      <x:c r="N503" s="8">
        <x:v>14176588</x:v>
      </x:c>
      <x:c r="O503" s="7"/>
      <x:c r="P503" s="9">
        <x:f t="shared" si="15"/>
        <x:v>4.5602651357294155E-3</x:v>
      </x:c>
      <x:c r="Q503" s="10" t="s">
        <x:v>302</x:v>
      </x:c>
      <x:c r="R503" s="5" t="s">
        <x:v>582</x:v>
      </x:c>
      <x:c r="S503" s="5" t="s">
        <x:v>357</x:v>
      </x:c>
      <x:c r="T503" s="5" t="s">
        <x:v>583</x:v>
      </x:c>
      <x:c r="U503" s="151"/>
      <x:c r="V503" s="151"/>
      <x:c r="W503" s="151"/>
      <x:c r="X503" s="151"/>
      <x:c r="Y503" s="151"/>
      <x:c r="Z503" s="151"/>
    </x:row>
    <x:row r="504" ht="22" customHeight="1">
      <x:c r="A504" s="5" t="s">
        <x:v>299</x:v>
      </x:c>
      <x:c r="B504" s="5" t="s">
        <x:v>300</x:v>
      </x:c>
      <x:c r="C504" s="6">
        <x:v>45657</x:v>
      </x:c>
      <x:c r="D504" s="5">
        <x:v>2024</x:v>
      </x:c>
      <x:c r="E504" s="5" t="s">
        <x:v>588</x:v>
      </x:c>
      <x:c r="F504" s="5" t="s">
        <x:v>0</x:v>
      </x:c>
      <x:c r="G504" s="5" t="s">
        <x:v>580</x:v>
      </x:c>
      <x:c r="H504" s="8">
        <x:v>81728</x:v>
      </x:c>
      <x:c r="I504" s="8">
        <x:v>14170108</x:v>
      </x:c>
      <x:c r="J504" s="5" t="s">
        <x:v>581</x:v>
      </x:c>
      <x:c r="K504" s="7"/>
      <x:c r="L504" s="9">
        <x:f t="shared" si="14"/>
        <x:v>5.7676342339804329E-3</x:v>
      </x:c>
      <x:c r="M504" s="8">
        <x:v>81863</x:v>
      </x:c>
      <x:c r="N504" s="8">
        <x:v>14176588</x:v>
      </x:c>
      <x:c r="O504" s="7"/>
      <x:c r="P504" s="9">
        <x:f t="shared" si="15"/>
        <x:v>5.7745206392398512E-3</x:v>
      </x:c>
      <x:c r="Q504" s="10" t="s">
        <x:v>302</x:v>
      </x:c>
      <x:c r="R504" s="5" t="s">
        <x:v>582</x:v>
      </x:c>
      <x:c r="S504" s="5" t="s">
        <x:v>357</x:v>
      </x:c>
      <x:c r="T504" s="5" t="s">
        <x:v>583</x:v>
      </x:c>
      <x:c r="U504" s="151"/>
      <x:c r="V504" s="151"/>
      <x:c r="W504" s="151"/>
      <x:c r="X504" s="151"/>
      <x:c r="Y504" s="151"/>
      <x:c r="Z504" s="151"/>
    </x:row>
    <x:row r="505" ht="22" customHeight="1">
      <x:c r="A505" s="5" t="s">
        <x:v>299</x:v>
      </x:c>
      <x:c r="B505" s="5" t="s">
        <x:v>300</x:v>
      </x:c>
      <x:c r="C505" s="6">
        <x:v>45657</x:v>
      </x:c>
      <x:c r="D505" s="5">
        <x:v>2024</x:v>
      </x:c>
      <x:c r="E505" s="5" t="s">
        <x:v>528</x:v>
      </x:c>
      <x:c r="F505" s="5" t="s">
        <x:v>0</x:v>
      </x:c>
      <x:c r="G505" s="5" t="s">
        <x:v>580</x:v>
      </x:c>
      <x:c r="H505" s="8">
        <x:v>22768</x:v>
      </x:c>
      <x:c r="I505" s="8">
        <x:v>14170108</x:v>
      </x:c>
      <x:c r="J505" s="5" t="s">
        <x:v>581</x:v>
      </x:c>
      <x:c r="K505" s="7"/>
      <x:c r="L505" s="9">
        <x:f t="shared" si="14"/>
        <x:v>1.6067626301789655E-3</x:v>
      </x:c>
      <x:c r="M505" s="8">
        <x:v>22903</x:v>
      </x:c>
      <x:c r="N505" s="8">
        <x:v>14176588</x:v>
      </x:c>
      <x:c r="O505" s="7"/>
      <x:c r="P505" s="9">
        <x:f t="shared" si="15"/>
        <x:v>1.6155509351051184E-3</x:v>
      </x:c>
      <x:c r="Q505" s="10" t="s">
        <x:v>302</x:v>
      </x:c>
      <x:c r="R505" s="5" t="s">
        <x:v>582</x:v>
      </x:c>
      <x:c r="S505" s="5" t="s">
        <x:v>357</x:v>
      </x:c>
      <x:c r="T505" s="5" t="s">
        <x:v>583</x:v>
      </x:c>
      <x:c r="U505" s="151"/>
      <x:c r="V505" s="151"/>
      <x:c r="W505" s="151"/>
      <x:c r="X505" s="151"/>
      <x:c r="Y505" s="151"/>
      <x:c r="Z505" s="151"/>
    </x:row>
    <x:row r="506" ht="22" customHeight="1">
      <x:c r="A506" s="5" t="s">
        <x:v>299</x:v>
      </x:c>
      <x:c r="B506" s="5" t="s">
        <x:v>300</x:v>
      </x:c>
      <x:c r="C506" s="6">
        <x:v>45657</x:v>
      </x:c>
      <x:c r="D506" s="5">
        <x:v>2024</x:v>
      </x:c>
      <x:c r="E506" s="5" t="s">
        <x:v>549</x:v>
      </x:c>
      <x:c r="F506" s="5" t="s">
        <x:v>0</x:v>
      </x:c>
      <x:c r="G506" s="5" t="s">
        <x:v>580</x:v>
      </x:c>
      <x:c r="H506" s="8">
        <x:v>64514</x:v>
      </x:c>
      <x:c r="I506" s="8">
        <x:v>14170108</x:v>
      </x:c>
      <x:c r="J506" s="5" t="s">
        <x:v>581</x:v>
      </x:c>
      <x:c r="K506" s="7"/>
      <x:c r="L506" s="9">
        <x:f t="shared" si="14"/>
        <x:v>4.552823450604611E-3</x:v>
      </x:c>
      <x:c r="M506" s="8">
        <x:v>64649</x:v>
      </x:c>
      <x:c r="N506" s="8">
        <x:v>14176588</x:v>
      </x:c>
      <x:c r="O506" s="7"/>
      <x:c r="P506" s="9">
        <x:f t="shared" si="15"/>
        <x:v>4.5602651357294155E-3</x:v>
      </x:c>
      <x:c r="Q506" s="10" t="s">
        <x:v>302</x:v>
      </x:c>
      <x:c r="R506" s="5" t="s">
        <x:v>582</x:v>
      </x:c>
      <x:c r="S506" s="5" t="s">
        <x:v>357</x:v>
      </x:c>
      <x:c r="T506" s="5" t="s">
        <x:v>583</x:v>
      </x:c>
      <x:c r="U506" s="151"/>
      <x:c r="V506" s="151"/>
      <x:c r="W506" s="151"/>
      <x:c r="X506" s="151"/>
      <x:c r="Y506" s="151"/>
      <x:c r="Z506" s="151"/>
    </x:row>
    <x:row r="507" ht="22" customHeight="1">
      <x:c r="A507" s="5" t="s">
        <x:v>299</x:v>
      </x:c>
      <x:c r="B507" s="5" t="s">
        <x:v>300</x:v>
      </x:c>
      <x:c r="C507" s="6">
        <x:v>45657</x:v>
      </x:c>
      <x:c r="D507" s="5">
        <x:v>2024</x:v>
      </x:c>
      <x:c r="E507" s="5" t="s">
        <x:v>589</x:v>
      </x:c>
      <x:c r="F507" s="5" t="s">
        <x:v>0</x:v>
      </x:c>
      <x:c r="G507" s="5" t="s">
        <x:v>580</x:v>
      </x:c>
      <x:c r="H507" s="8">
        <x:v>64684</x:v>
      </x:c>
      <x:c r="I507" s="8">
        <x:v>14170108</x:v>
      </x:c>
      <x:c r="J507" s="5" t="s">
        <x:v>581</x:v>
      </x:c>
      <x:c r="K507" s="7"/>
      <x:c r="L507" s="9">
        <x:f t="shared" si="14"/>
        <x:v>4.5648205363007822E-3</x:v>
      </x:c>
      <x:c r="M507" s="8">
        <x:v>64819</x:v>
      </x:c>
      <x:c r="N507" s="8">
        <x:v>14176588</x:v>
      </x:c>
      <x:c r="O507" s="7"/>
      <x:c r="P507" s="9">
        <x:f t="shared" si="15"/>
        <x:v>4.5722567376578907E-3</x:v>
      </x:c>
      <x:c r="Q507" s="10" t="s">
        <x:v>302</x:v>
      </x:c>
      <x:c r="R507" s="5" t="s">
        <x:v>582</x:v>
      </x:c>
      <x:c r="S507" s="5" t="s">
        <x:v>357</x:v>
      </x:c>
      <x:c r="T507" s="5" t="s">
        <x:v>583</x:v>
      </x:c>
      <x:c r="U507" s="151"/>
      <x:c r="V507" s="151"/>
      <x:c r="W507" s="151"/>
      <x:c r="X507" s="151"/>
      <x:c r="Y507" s="151"/>
      <x:c r="Z507" s="151"/>
    </x:row>
    <x:row r="508" ht="22" customHeight="1">
      <x:c r="A508" s="5" t="s">
        <x:v>299</x:v>
      </x:c>
      <x:c r="B508" s="5" t="s">
        <x:v>300</x:v>
      </x:c>
      <x:c r="C508" s="6">
        <x:v>45657</x:v>
      </x:c>
      <x:c r="D508" s="5">
        <x:v>2024</x:v>
      </x:c>
      <x:c r="E508" s="5" t="s">
        <x:v>524</x:v>
      </x:c>
      <x:c r="F508" s="5" t="s">
        <x:v>0</x:v>
      </x:c>
      <x:c r="G508" s="5" t="s">
        <x:v>580</x:v>
      </x:c>
      <x:c r="H508" s="8">
        <x:v>81728</x:v>
      </x:c>
      <x:c r="I508" s="8">
        <x:v>14170108</x:v>
      </x:c>
      <x:c r="J508" s="5" t="s">
        <x:v>581</x:v>
      </x:c>
      <x:c r="K508" s="7"/>
      <x:c r="L508" s="9">
        <x:f t="shared" si="14"/>
        <x:v>5.7676342339804329E-3</x:v>
      </x:c>
      <x:c r="M508" s="8">
        <x:v>81863</x:v>
      </x:c>
      <x:c r="N508" s="8">
        <x:v>14176588</x:v>
      </x:c>
      <x:c r="O508" s="7"/>
      <x:c r="P508" s="9">
        <x:f t="shared" si="15"/>
        <x:v>5.7745206392398512E-3</x:v>
      </x:c>
      <x:c r="Q508" s="10" t="s">
        <x:v>302</x:v>
      </x:c>
      <x:c r="R508" s="5" t="s">
        <x:v>582</x:v>
      </x:c>
      <x:c r="S508" s="5" t="s">
        <x:v>357</x:v>
      </x:c>
      <x:c r="T508" s="5" t="s">
        <x:v>583</x:v>
      </x:c>
      <x:c r="U508" s="151"/>
      <x:c r="V508" s="151"/>
      <x:c r="W508" s="151"/>
      <x:c r="X508" s="151"/>
      <x:c r="Y508" s="151"/>
      <x:c r="Z508" s="151"/>
    </x:row>
    <x:row r="509" ht="22" customHeight="1">
      <x:c r="A509" s="5" t="s">
        <x:v>299</x:v>
      </x:c>
      <x:c r="B509" s="5" t="s">
        <x:v>300</x:v>
      </x:c>
      <x:c r="C509" s="6">
        <x:v>45657</x:v>
      </x:c>
      <x:c r="D509" s="5">
        <x:v>2024</x:v>
      </x:c>
      <x:c r="E509" s="5" t="s">
        <x:v>530</x:v>
      </x:c>
      <x:c r="F509" s="5" t="s">
        <x:v>0</x:v>
      </x:c>
      <x:c r="G509" s="5" t="s">
        <x:v>580</x:v>
      </x:c>
      <x:c r="H509" s="8">
        <x:v>1034609</x:v>
      </x:c>
      <x:c r="I509" s="8">
        <x:v>14170108</x:v>
      </x:c>
      <x:c r="J509" s="5" t="s">
        <x:v>581</x:v>
      </x:c>
      <x:c r="K509" s="7"/>
      <x:c r="L509" s="9">
        <x:f t="shared" si="14"/>
        <x:v>7.3013487264881827E-2</x:v>
      </x:c>
      <x:c r="M509" s="8">
        <x:v>1034744</x:v>
      </x:c>
      <x:c r="N509" s="8">
        <x:v>14176588</x:v>
      </x:c>
      <x:c r="O509" s="7"/>
      <x:c r="P509" s="9">
        <x:f t="shared" si="15"/>
        <x:v>7.2989636152225063E-2</x:v>
      </x:c>
      <x:c r="Q509" s="10" t="s">
        <x:v>302</x:v>
      </x:c>
      <x:c r="R509" s="5" t="s">
        <x:v>582</x:v>
      </x:c>
      <x:c r="S509" s="5" t="s">
        <x:v>357</x:v>
      </x:c>
      <x:c r="T509" s="5" t="s">
        <x:v>583</x:v>
      </x:c>
      <x:c r="U509" s="151"/>
      <x:c r="V509" s="151"/>
      <x:c r="W509" s="151"/>
      <x:c r="X509" s="151"/>
      <x:c r="Y509" s="151"/>
      <x:c r="Z509" s="151"/>
    </x:row>
    <x:row r="510" ht="22" customHeight="1">
      <x:c r="A510" s="5" t="s">
        <x:v>299</x:v>
      </x:c>
      <x:c r="B510" s="5" t="s">
        <x:v>300</x:v>
      </x:c>
      <x:c r="C510" s="6">
        <x:v>45657</x:v>
      </x:c>
      <x:c r="D510" s="5">
        <x:v>2024</x:v>
      </x:c>
      <x:c r="E510" s="5" t="s">
        <x:v>590</x:v>
      </x:c>
      <x:c r="F510" s="5" t="s">
        <x:v>0</x:v>
      </x:c>
      <x:c r="G510" s="5" t="s">
        <x:v>580</x:v>
      </x:c>
      <x:c r="H510" s="8">
        <x:v>64514</x:v>
      </x:c>
      <x:c r="I510" s="8">
        <x:v>14170108</x:v>
      </x:c>
      <x:c r="J510" s="5" t="s">
        <x:v>581</x:v>
      </x:c>
      <x:c r="K510" s="7"/>
      <x:c r="L510" s="9">
        <x:f t="shared" si="14"/>
        <x:v>4.552823450604611E-3</x:v>
      </x:c>
      <x:c r="M510" s="8">
        <x:v>64649</x:v>
      </x:c>
      <x:c r="N510" s="8">
        <x:v>14176588</x:v>
      </x:c>
      <x:c r="O510" s="7"/>
      <x:c r="P510" s="9">
        <x:f t="shared" si="15"/>
        <x:v>4.5602651357294155E-3</x:v>
      </x:c>
      <x:c r="Q510" s="10" t="s">
        <x:v>302</x:v>
      </x:c>
      <x:c r="R510" s="5" t="s">
        <x:v>582</x:v>
      </x:c>
      <x:c r="S510" s="5" t="s">
        <x:v>357</x:v>
      </x:c>
      <x:c r="T510" s="5" t="s">
        <x:v>583</x:v>
      </x:c>
      <x:c r="U510" s="151"/>
      <x:c r="V510" s="151"/>
      <x:c r="W510" s="151"/>
      <x:c r="X510" s="151"/>
      <x:c r="Y510" s="151"/>
      <x:c r="Z510" s="151"/>
    </x:row>
    <x:row r="511" ht="22" customHeight="1">
      <x:c r="A511" s="5" t="s">
        <x:v>299</x:v>
      </x:c>
      <x:c r="B511" s="5" t="s">
        <x:v>300</x:v>
      </x:c>
      <x:c r="C511" s="6">
        <x:v>45657</x:v>
      </x:c>
      <x:c r="D511" s="5">
        <x:v>2024</x:v>
      </x:c>
      <x:c r="E511" s="5" t="s">
        <x:v>591</x:v>
      </x:c>
      <x:c r="F511" s="5" t="s">
        <x:v>0</x:v>
      </x:c>
      <x:c r="G511" s="5" t="s">
        <x:v>580</x:v>
      </x:c>
      <x:c r="H511" s="8">
        <x:v>64514</x:v>
      </x:c>
      <x:c r="I511" s="8">
        <x:v>14170108</x:v>
      </x:c>
      <x:c r="J511" s="5" t="s">
        <x:v>581</x:v>
      </x:c>
      <x:c r="K511" s="7"/>
      <x:c r="L511" s="9">
        <x:f t="shared" si="14"/>
        <x:v>4.552823450604611E-3</x:v>
      </x:c>
      <x:c r="M511" s="8">
        <x:v>64649</x:v>
      </x:c>
      <x:c r="N511" s="8">
        <x:v>14176588</x:v>
      </x:c>
      <x:c r="O511" s="7"/>
      <x:c r="P511" s="9">
        <x:f t="shared" si="15"/>
        <x:v>4.5602651357294155E-3</x:v>
      </x:c>
      <x:c r="Q511" s="10" t="s">
        <x:v>302</x:v>
      </x:c>
      <x:c r="R511" s="5" t="s">
        <x:v>582</x:v>
      </x:c>
      <x:c r="S511" s="5" t="s">
        <x:v>357</x:v>
      </x:c>
      <x:c r="T511" s="5" t="s">
        <x:v>583</x:v>
      </x:c>
      <x:c r="U511" s="151"/>
      <x:c r="V511" s="151"/>
      <x:c r="W511" s="151"/>
      <x:c r="X511" s="151"/>
      <x:c r="Y511" s="151"/>
      <x:c r="Z511" s="151"/>
    </x:row>
    <x:row r="512" ht="22" customHeight="1">
      <x:c r="A512" s="5" t="s">
        <x:v>299</x:v>
      </x:c>
      <x:c r="B512" s="5" t="s">
        <x:v>300</x:v>
      </x:c>
      <x:c r="C512" s="6">
        <x:v>45657</x:v>
      </x:c>
      <x:c r="D512" s="5">
        <x:v>2024</x:v>
      </x:c>
      <x:c r="E512" s="5" t="s">
        <x:v>592</x:v>
      </x:c>
      <x:c r="F512" s="5" t="s">
        <x:v>0</x:v>
      </x:c>
      <x:c r="G512" s="5" t="s">
        <x:v>580</x:v>
      </x:c>
      <x:c r="H512" s="8">
        <x:v>64514</x:v>
      </x:c>
      <x:c r="I512" s="8">
        <x:v>14170108</x:v>
      </x:c>
      <x:c r="J512" s="5" t="s">
        <x:v>581</x:v>
      </x:c>
      <x:c r="K512" s="7"/>
      <x:c r="L512" s="9">
        <x:f t="shared" si="14"/>
        <x:v>4.552823450604611E-3</x:v>
      </x:c>
      <x:c r="M512" s="8">
        <x:v>64649</x:v>
      </x:c>
      <x:c r="N512" s="8">
        <x:v>14176588</x:v>
      </x:c>
      <x:c r="O512" s="7"/>
      <x:c r="P512" s="9">
        <x:f t="shared" si="15"/>
        <x:v>4.5602651357294155E-3</x:v>
      </x:c>
      <x:c r="Q512" s="10" t="s">
        <x:v>302</x:v>
      </x:c>
      <x:c r="R512" s="5" t="s">
        <x:v>582</x:v>
      </x:c>
      <x:c r="S512" s="5" t="s">
        <x:v>357</x:v>
      </x:c>
      <x:c r="T512" s="5" t="s">
        <x:v>583</x:v>
      </x:c>
      <x:c r="U512" s="151"/>
      <x:c r="V512" s="151"/>
      <x:c r="W512" s="151"/>
      <x:c r="X512" s="151"/>
      <x:c r="Y512" s="151"/>
      <x:c r="Z512" s="151"/>
    </x:row>
    <x:row r="513" ht="22" customHeight="1">
      <x:c r="A513" s="5" t="s">
        <x:v>299</x:v>
      </x:c>
      <x:c r="B513" s="5" t="s">
        <x:v>300</x:v>
      </x:c>
      <x:c r="C513" s="6">
        <x:v>45657</x:v>
      </x:c>
      <x:c r="D513" s="5">
        <x:v>2024</x:v>
      </x:c>
      <x:c r="E513" s="5" t="s">
        <x:v>462</x:v>
      </x:c>
      <x:c r="F513" s="5" t="s">
        <x:v>0</x:v>
      </x:c>
      <x:c r="G513" s="5" t="s">
        <x:v>580</x:v>
      </x:c>
      <x:c r="H513" s="8">
        <x:v>215445</x:v>
      </x:c>
      <x:c r="I513" s="8">
        <x:v>14170108</x:v>
      </x:c>
      <x:c r="J513" s="5" t="s">
        <x:v>581</x:v>
      </x:c>
      <x:c r="K513" s="7"/>
      <x:c r="L513" s="9">
        <x:f t="shared" si="14"/>
        <x:v>1.5204188987126986E-2</x:v>
      </x:c>
      <x:c r="M513" s="8">
        <x:v>215580</x:v>
      </x:c>
      <x:c r="N513" s="8">
        <x:v>14176588</x:v>
      </x:c>
      <x:c r="O513" s="7"/>
      <x:c r="P513" s="9">
        <x:f t="shared" si="15"/>
        <x:v>1.5206762022004166E-2</x:v>
      </x:c>
      <x:c r="Q513" s="10" t="s">
        <x:v>302</x:v>
      </x:c>
      <x:c r="R513" s="5" t="s">
        <x:v>582</x:v>
      </x:c>
      <x:c r="S513" s="5" t="s">
        <x:v>357</x:v>
      </x:c>
      <x:c r="T513" s="5" t="s">
        <x:v>583</x:v>
      </x:c>
      <x:c r="U513" s="151"/>
      <x:c r="V513" s="151"/>
      <x:c r="W513" s="151"/>
      <x:c r="X513" s="151"/>
      <x:c r="Y513" s="151"/>
      <x:c r="Z513" s="151"/>
    </x:row>
    <x:row r="514" ht="22" customHeight="1">
      <x:c r="A514" s="5" t="s">
        <x:v>299</x:v>
      </x:c>
      <x:c r="B514" s="5" t="s">
        <x:v>300</x:v>
      </x:c>
      <x:c r="C514" s="6">
        <x:v>45657</x:v>
      </x:c>
      <x:c r="D514" s="5">
        <x:v>2024</x:v>
      </x:c>
      <x:c r="E514" s="5" t="s">
        <x:v>533</x:v>
      </x:c>
      <x:c r="F514" s="5" t="s">
        <x:v>0</x:v>
      </x:c>
      <x:c r="G514" s="5" t="s">
        <x:v>580</x:v>
      </x:c>
      <x:c r="H514" s="8">
        <x:v>12524</x:v>
      </x:c>
      <x:c r="I514" s="8">
        <x:v>14170108</x:v>
      </x:c>
      <x:c r="J514" s="5" t="s">
        <x:v>581</x:v>
      </x:c>
      <x:c r="K514" s="7"/>
      <x:c r="L514" s="9">
        <x:f t="shared" si="14"/>
        <x:v>8.8383236034615968E-4</x:v>
      </x:c>
      <x:c r="M514" s="8">
        <x:v>12659</x:v>
      </x:c>
      <x:c r="N514" s="8">
        <x:v>14176588</x:v>
      </x:c>
      <x:c r="O514" s="7"/>
      <x:c r="P514" s="9">
        <x:f t="shared" si="15"/>
        <x:v>8.9295111066217063E-4</x:v>
      </x:c>
      <x:c r="Q514" s="10" t="s">
        <x:v>302</x:v>
      </x:c>
      <x:c r="R514" s="5" t="s">
        <x:v>582</x:v>
      </x:c>
      <x:c r="S514" s="5" t="s">
        <x:v>357</x:v>
      </x:c>
      <x:c r="T514" s="5" t="s">
        <x:v>583</x:v>
      </x:c>
      <x:c r="U514" s="151"/>
      <x:c r="V514" s="151"/>
      <x:c r="W514" s="151"/>
      <x:c r="X514" s="151"/>
      <x:c r="Y514" s="151"/>
      <x:c r="Z514" s="151"/>
    </x:row>
    <x:row r="515" ht="22" customHeight="1">
      <x:c r="A515" s="5" t="s">
        <x:v>299</x:v>
      </x:c>
      <x:c r="B515" s="5" t="s">
        <x:v>300</x:v>
      </x:c>
      <x:c r="C515" s="6">
        <x:v>45657</x:v>
      </x:c>
      <x:c r="D515" s="5">
        <x:v>2024</x:v>
      </x:c>
      <x:c r="E515" s="5" t="s">
        <x:v>526</x:v>
      </x:c>
      <x:c r="F515" s="5" t="s">
        <x:v>0</x:v>
      </x:c>
      <x:c r="G515" s="5" t="s">
        <x:v>580</x:v>
      </x:c>
      <x:c r="H515" s="8">
        <x:v>61244</x:v>
      </x:c>
      <x:c r="I515" s="8">
        <x:v>14170108</x:v>
      </x:c>
      <x:c r="J515" s="5" t="s">
        <x:v>581</x:v>
      </x:c>
      <x:c r="K515" s="7"/>
      <x:c r="L515" s="9">
        <x:f t="shared" si="14"/>
        <x:v>4.3220559786841424E-3</x:v>
      </x:c>
      <x:c r="M515" s="8">
        <x:v>61379</x:v>
      </x:c>
      <x:c r="N515" s="8">
        <x:v>14176588</x:v>
      </x:c>
      <x:c r="O515" s="7"/>
      <x:c r="P515" s="9">
        <x:f t="shared" si="15"/>
        <x:v>4.3296031456934491E-3</x:v>
      </x:c>
      <x:c r="Q515" s="10" t="s">
        <x:v>302</x:v>
      </x:c>
      <x:c r="R515" s="5" t="s">
        <x:v>582</x:v>
      </x:c>
      <x:c r="S515" s="5" t="s">
        <x:v>357</x:v>
      </x:c>
      <x:c r="T515" s="5" t="s">
        <x:v>583</x:v>
      </x:c>
      <x:c r="U515" s="151"/>
      <x:c r="V515" s="151"/>
      <x:c r="W515" s="151"/>
      <x:c r="X515" s="151"/>
      <x:c r="Y515" s="151"/>
      <x:c r="Z515" s="151"/>
    </x:row>
    <x:row r="516" ht="22" customHeight="1">
      <x:c r="A516" s="5" t="s">
        <x:v>299</x:v>
      </x:c>
      <x:c r="B516" s="5" t="s">
        <x:v>300</x:v>
      </x:c>
      <x:c r="C516" s="6">
        <x:v>45657</x:v>
      </x:c>
      <x:c r="D516" s="5">
        <x:v>2024</x:v>
      </x:c>
      <x:c r="E516" s="5" t="s">
        <x:v>475</x:v>
      </x:c>
      <x:c r="F516" s="5" t="s">
        <x:v>0</x:v>
      </x:c>
      <x:c r="G516" s="5" t="s">
        <x:v>580</x:v>
      </x:c>
      <x:c r="H516" s="8">
        <x:v>172646</x:v>
      </x:c>
      <x:c r="I516" s="8">
        <x:v>14170108</x:v>
      </x:c>
      <x:c r="J516" s="5" t="s">
        <x:v>581</x:v>
      </x:c>
      <x:c r="K516" s="7"/>
      <x:c r="L516" s="9">
        <x:f t="shared" si="14"/>
        <x:v>1.2183816806477409E-2</x:v>
      </x:c>
      <x:c r="M516" s="8">
        <x:v>172781</x:v>
      </x:c>
      <x:c r="N516" s="8">
        <x:v>14176588</x:v>
      </x:c>
      <x:c r="O516" s="7"/>
      <x:c r="P516" s="9">
        <x:f t="shared" si="15"/>
        <x:v>1.2187770428258195E-2</x:v>
      </x:c>
      <x:c r="Q516" s="10" t="s">
        <x:v>302</x:v>
      </x:c>
      <x:c r="R516" s="5" t="s">
        <x:v>582</x:v>
      </x:c>
      <x:c r="S516" s="5" t="s">
        <x:v>357</x:v>
      </x:c>
      <x:c r="T516" s="5" t="s">
        <x:v>583</x:v>
      </x:c>
      <x:c r="U516" s="151"/>
      <x:c r="V516" s="151"/>
      <x:c r="W516" s="151"/>
      <x:c r="X516" s="151"/>
      <x:c r="Y516" s="151"/>
      <x:c r="Z516" s="151"/>
    </x:row>
    <x:row r="517" ht="22" customHeight="1">
      <x:c r="A517" s="5" t="s">
        <x:v>299</x:v>
      </x:c>
      <x:c r="B517" s="5" t="s">
        <x:v>300</x:v>
      </x:c>
      <x:c r="C517" s="6">
        <x:v>45657</x:v>
      </x:c>
      <x:c r="D517" s="5">
        <x:v>2024</x:v>
      </x:c>
      <x:c r="E517" s="5" t="s">
        <x:v>531</x:v>
      </x:c>
      <x:c r="F517" s="5" t="s">
        <x:v>0</x:v>
      </x:c>
      <x:c r="G517" s="5" t="s">
        <x:v>580</x:v>
      </x:c>
      <x:c r="H517" s="8">
        <x:v>482267</x:v>
      </x:c>
      <x:c r="I517" s="8">
        <x:v>14170108</x:v>
      </x:c>
      <x:c r="J517" s="5" t="s">
        <x:v>581</x:v>
      </x:c>
      <x:c r="K517" s="7"/>
      <x:c r="L517" s="9">
        <x:f t="shared" si="14"/>
        <x:v>3.4034108984913873E-2</x:v>
      </x:c>
      <x:c r="M517" s="8">
        <x:v>482402</x:v>
      </x:c>
      <x:c r="N517" s="8">
        <x:v>14176588</x:v>
      </x:c>
      <x:c r="O517" s="7"/>
      <x:c r="P517" s="9">
        <x:f t="shared" si="15"/>
        <x:v>3.4028075020590284E-2</x:v>
      </x:c>
      <x:c r="Q517" s="10" t="s">
        <x:v>302</x:v>
      </x:c>
      <x:c r="R517" s="5" t="s">
        <x:v>582</x:v>
      </x:c>
      <x:c r="S517" s="5" t="s">
        <x:v>357</x:v>
      </x:c>
      <x:c r="T517" s="5" t="s">
        <x:v>583</x:v>
      </x:c>
      <x:c r="U517" s="151"/>
      <x:c r="V517" s="151"/>
      <x:c r="W517" s="151"/>
      <x:c r="X517" s="151"/>
      <x:c r="Y517" s="151"/>
      <x:c r="Z517" s="151"/>
    </x:row>
    <x:row r="518" ht="22" customHeight="1">
      <x:c r="A518" s="5" t="s">
        <x:v>299</x:v>
      </x:c>
      <x:c r="B518" s="5" t="s">
        <x:v>300</x:v>
      </x:c>
      <x:c r="C518" s="6">
        <x:v>45657</x:v>
      </x:c>
      <x:c r="D518" s="5">
        <x:v>2024</x:v>
      </x:c>
      <x:c r="E518" s="5" t="s">
        <x:v>410</x:v>
      </x:c>
      <x:c r="F518" s="5" t="s">
        <x:v>0</x:v>
      </x:c>
      <x:c r="G518" s="5" t="s">
        <x:v>410</x:v>
      </x:c>
      <x:c r="H518" s="8">
        <x:v>567039</x:v>
      </x:c>
      <x:c r="I518" s="8">
        <x:v>14170108</x:v>
      </x:c>
      <x:c r="J518" s="5" t="s">
        <x:v>581</x:v>
      </x:c>
      <x:c r="K518" s="7"/>
      <x:c r="L518" s="9" t="n">
        <x:f t="shared" ref="L518:L581" si="16">IF(AND(H518&lt;&gt;"",I518&lt;&gt;""),H518/I518,IF(K518&lt;&gt;"",K518,""))</x:f>
        <x:v>0.0400165616239481</x:v>
      </x:c>
      <x:c r="M518" s="8">
        <x:v>567174</x:v>
      </x:c>
      <x:c r="N518" s="8">
        <x:v>14176588</x:v>
      </x:c>
      <x:c r="O518" s="7"/>
      <x:c r="P518" s="9" t="n">
        <x:f t="shared" ref="P518:P581" si="17">IF(AND(M518&lt;&gt;"",N518&lt;&gt;""),M518/N518,IF(O518&lt;&gt;"",O518,""))</x:f>
        <x:v>0.04000779313047681</x:v>
      </x:c>
      <x:c r="Q518" s="10" t="s">
        <x:v>302</x:v>
      </x:c>
      <x:c r="R518" s="5" t="s">
        <x:v>582</x:v>
      </x:c>
      <x:c r="S518" s="5" t="s">
        <x:v>357</x:v>
      </x:c>
      <x:c r="T518" s="5" t="s">
        <x:v>583</x:v>
      </x:c>
      <x:c r="U518" s="151"/>
      <x:c r="V518" s="151"/>
      <x:c r="W518" s="151"/>
      <x:c r="X518" s="151"/>
      <x:c r="Y518" s="151"/>
      <x:c r="Z518" s="151"/>
    </x:row>
    <x:row r="519" ht="22" customHeight="1">
      <x:c r="A519" s="5" t="s">
        <x:v>299</x:v>
      </x:c>
      <x:c r="B519" s="5" t="s">
        <x:v>300</x:v>
      </x:c>
      <x:c r="C519" s="6">
        <x:v>45657</x:v>
      </x:c>
      <x:c r="D519" s="5">
        <x:v>2024</x:v>
      </x:c>
      <x:c r="E519" s="5" t="s">
        <x:v>426</x:v>
      </x:c>
      <x:c r="F519" s="5" t="s">
        <x:v>0</x:v>
      </x:c>
      <x:c r="G519" s="5" t="s">
        <x:v>426</x:v>
      </x:c>
      <x:c r="H519" s="8">
        <x:v>4253664</x:v>
      </x:c>
      <x:c r="I519" s="8">
        <x:v>14170108</x:v>
      </x:c>
      <x:c r="J519" s="5" t="s">
        <x:v>581</x:v>
      </x:c>
      <x:c r="K519" s="7"/>
      <x:c r="L519" s="9">
        <x:f t="shared" si="16"/>
        <x:v>0.30018571488657675</x:v>
      </x:c>
      <x:c r="M519" s="8">
        <x:v>4253799</x:v>
      </x:c>
      <x:c r="N519" s="8">
        <x:v>14176588</x:v>
      </x:c>
      <x:c r="O519" s="7"/>
      <x:c r="P519" s="9">
        <x:f t="shared" si="17"/>
        <x:v>0.30005802524556685</x:v>
      </x:c>
      <x:c r="Q519" s="10" t="s">
        <x:v>302</x:v>
      </x:c>
      <x:c r="R519" s="5" t="s">
        <x:v>582</x:v>
      </x:c>
      <x:c r="S519" s="5" t="s">
        <x:v>357</x:v>
      </x:c>
      <x:c r="T519" s="5" t="s">
        <x:v>583</x:v>
      </x:c>
      <x:c r="U519" s="151"/>
      <x:c r="V519" s="151"/>
      <x:c r="W519" s="151"/>
      <x:c r="X519" s="151"/>
      <x:c r="Y519" s="151"/>
      <x:c r="Z519" s="151"/>
    </x:row>
    <x:row r="520" ht="22" customHeight="1">
      <x:c r="A520" s="5" t="s">
        <x:v>299</x:v>
      </x:c>
      <x:c r="B520" s="5" t="s">
        <x:v>300</x:v>
      </x:c>
      <x:c r="C520" s="6">
        <x:v>45657</x:v>
      </x:c>
      <x:c r="D520" s="5">
        <x:v>2024</x:v>
      </x:c>
      <x:c r="E520" s="5" t="s">
        <x:v>407</x:v>
      </x:c>
      <x:c r="F520" s="5" t="s">
        <x:v>0</x:v>
      </x:c>
      <x:c r="G520" s="5" t="s">
        <x:v>408</x:v>
      </x:c>
      <x:c r="H520" s="8">
        <x:v>22630</x:v>
      </x:c>
      <x:c r="I520" s="8">
        <x:v>14170108</x:v>
      </x:c>
      <x:c r="J520" s="5" t="s">
        <x:v>581</x:v>
      </x:c>
      <x:c r="K520" s="7"/>
      <x:c r="L520" s="9">
        <x:f t="shared" si="16"/>
        <x:v>1.5970238194373677E-3</x:v>
      </x:c>
      <x:c r="M520" s="8">
        <x:v>22765</x:v>
      </x:c>
      <x:c r="N520" s="8">
        <x:v>14176588</x:v>
      </x:c>
      <x:c r="O520" s="7"/>
      <x:c r="P520" s="9">
        <x:f t="shared" si="17"/>
        <x:v>1.6058165758925914E-3</x:v>
      </x:c>
      <x:c r="Q520" s="10" t="s">
        <x:v>302</x:v>
      </x:c>
      <x:c r="R520" s="5" t="s">
        <x:v>582</x:v>
      </x:c>
      <x:c r="S520" s="5" t="s">
        <x:v>357</x:v>
      </x:c>
      <x:c r="T520" s="5" t="s">
        <x:v>583</x:v>
      </x:c>
      <x:c r="U520" s="151"/>
      <x:c r="V520" s="151"/>
      <x:c r="W520" s="151"/>
      <x:c r="X520" s="151"/>
      <x:c r="Y520" s="151"/>
      <x:c r="Z520" s="151"/>
    </x:row>
    <x:row r="521" ht="22" customHeight="1">
      <x:c r="A521" s="5" t="s">
        <x:v>299</x:v>
      </x:c>
      <x:c r="B521" s="5" t="s">
        <x:v>300</x:v>
      </x:c>
      <x:c r="C521" s="6">
        <x:v>45657</x:v>
      </x:c>
      <x:c r="D521" s="5">
        <x:v>2024</x:v>
      </x:c>
      <x:c r="E521" s="5" t="s">
        <x:v>409</x:v>
      </x:c>
      <x:c r="F521" s="5" t="s">
        <x:v>0</x:v>
      </x:c>
      <x:c r="G521" s="5" t="s">
        <x:v>408</x:v>
      </x:c>
      <x:c r="H521" s="8">
        <x:v>46545</x:v>
      </x:c>
      <x:c r="I521" s="8">
        <x:v>14170108</x:v>
      </x:c>
      <x:c r="J521" s="5" t="s">
        <x:v>581</x:v>
      </x:c>
      <x:c r="K521" s="7"/>
      <x:c r="L521" s="9">
        <x:f t="shared" si="16"/>
        <x:v>3.284731492519323E-3</x:v>
      </x:c>
      <x:c r="M521" s="8">
        <x:v>46680</x:v>
      </x:c>
      <x:c r="N521" s="8">
        <x:v>14176588</x:v>
      </x:c>
      <x:c r="O521" s="7"/>
      <x:c r="P521" s="9">
        <x:f t="shared" si="17"/>
        <x:v>3.2927528118895746E-3</x:v>
      </x:c>
      <x:c r="Q521" s="10" t="s">
        <x:v>302</x:v>
      </x:c>
      <x:c r="R521" s="5" t="s">
        <x:v>582</x:v>
      </x:c>
      <x:c r="S521" s="5" t="s">
        <x:v>357</x:v>
      </x:c>
      <x:c r="T521" s="5" t="s">
        <x:v>583</x:v>
      </x:c>
      <x:c r="U521" s="151"/>
      <x:c r="V521" s="151"/>
      <x:c r="W521" s="151"/>
      <x:c r="X521" s="151"/>
      <x:c r="Y521" s="151"/>
      <x:c r="Z521" s="151"/>
    </x:row>
    <x:row r="522" ht="22" customHeight="1">
      <x:c r="A522" s="5" t="s">
        <x:v>299</x:v>
      </x:c>
      <x:c r="B522" s="5" t="s">
        <x:v>300</x:v>
      </x:c>
      <x:c r="C522" s="6">
        <x:v>45657</x:v>
      </x:c>
      <x:c r="D522" s="5">
        <x:v>2024</x:v>
      </x:c>
      <x:c r="E522" s="5" t="s">
        <x:v>438</x:v>
      </x:c>
      <x:c r="F522" s="5" t="s">
        <x:v>0</x:v>
      </x:c>
      <x:c r="G522" s="5" t="s">
        <x:v>408</x:v>
      </x:c>
      <x:c r="H522" s="8">
        <x:v>424</x:v>
      </x:c>
      <x:c r="I522" s="8">
        <x:v>14170108</x:v>
      </x:c>
      <x:c r="J522" s="5" t="s">
        <x:v>581</x:v>
      </x:c>
      <x:c r="K522" s="7"/>
      <x:c r="L522" s="9">
        <x:f t="shared" si="16"/>
        <x:v>2.9922143148097389E-5</x:v>
      </x:c>
      <x:c r="M522" s="8">
        <x:v>559</x:v>
      </x:c>
      <x:c r="N522" s="8">
        <x:v>14176588</x:v>
      </x:c>
      <x:c r="O522" s="7"/>
      <x:c r="P522" s="9">
        <x:f t="shared" si="17"/>
        <x:v>3.9431208694221771E-5</x:v>
      </x:c>
      <x:c r="Q522" s="10" t="s">
        <x:v>302</x:v>
      </x:c>
      <x:c r="R522" s="5" t="s">
        <x:v>582</x:v>
      </x:c>
      <x:c r="S522" s="5" t="s">
        <x:v>357</x:v>
      </x:c>
      <x:c r="T522" s="5" t="s">
        <x:v>583</x:v>
      </x:c>
      <x:c r="U522" s="151"/>
      <x:c r="V522" s="151"/>
      <x:c r="W522" s="151"/>
      <x:c r="X522" s="151"/>
      <x:c r="Y522" s="151"/>
      <x:c r="Z522" s="151"/>
    </x:row>
    <x:row r="523" ht="22" customHeight="1">
      <x:c r="A523" s="5" t="s">
        <x:v>299</x:v>
      </x:c>
      <x:c r="B523" s="5" t="s">
        <x:v>300</x:v>
      </x:c>
      <x:c r="C523" s="6">
        <x:v>45657</x:v>
      </x:c>
      <x:c r="D523" s="5">
        <x:v>2024</x:v>
      </x:c>
      <x:c r="E523" s="5" t="s">
        <x:v>440</x:v>
      </x:c>
      <x:c r="F523" s="5" t="s">
        <x:v>0</x:v>
      </x:c>
      <x:c r="G523" s="5" t="s">
        <x:v>408</x:v>
      </x:c>
      <x:c r="H523" s="8">
        <x:v>6895</x:v>
      </x:c>
      <x:c r="I523" s="8">
        <x:v>14170108</x:v>
      </x:c>
      <x:c r="J523" s="5" t="s">
        <x:v>581</x:v>
      </x:c>
      <x:c r="K523" s="7"/>
      <x:c r="L523" s="9">
        <x:f t="shared" si="16"/>
        <x:v>4.8658768161823464E-4</x:v>
      </x:c>
      <x:c r="M523" s="8">
        <x:v>7030</x:v>
      </x:c>
      <x:c r="N523" s="8">
        <x:v>14176588</x:v>
      </x:c>
      <x:c r="O523" s="7"/>
      <x:c r="P523" s="9">
        <x:f t="shared" si="17"/>
        <x:v>4.9588800915989094E-4</x:v>
      </x:c>
      <x:c r="Q523" s="10" t="s">
        <x:v>302</x:v>
      </x:c>
      <x:c r="R523" s="5" t="s">
        <x:v>582</x:v>
      </x:c>
      <x:c r="S523" s="5" t="s">
        <x:v>357</x:v>
      </x:c>
      <x:c r="T523" s="5" t="s">
        <x:v>583</x:v>
      </x:c>
      <x:c r="U523" s="151"/>
      <x:c r="V523" s="151"/>
      <x:c r="W523" s="151"/>
      <x:c r="X523" s="151"/>
      <x:c r="Y523" s="151"/>
      <x:c r="Z523" s="151"/>
    </x:row>
    <x:row r="524" ht="22" customHeight="1">
      <x:c r="A524" s="5" t="s">
        <x:v>299</x:v>
      </x:c>
      <x:c r="B524" s="5" t="s">
        <x:v>300</x:v>
      </x:c>
      <x:c r="C524" s="6">
        <x:v>45657</x:v>
      </x:c>
      <x:c r="D524" s="5">
        <x:v>2024</x:v>
      </x:c>
      <x:c r="E524" s="5" t="s">
        <x:v>411</x:v>
      </x:c>
      <x:c r="F524" s="5" t="s">
        <x:v>0</x:v>
      </x:c>
      <x:c r="G524" s="5" t="s">
        <x:v>408</x:v>
      </x:c>
      <x:c r="H524" s="8">
        <x:v>24061</x:v>
      </x:c>
      <x:c r="I524" s="8">
        <x:v>14170108</x:v>
      </x:c>
      <x:c r="J524" s="5" t="s">
        <x:v>581</x:v>
      </x:c>
      <x:c r="K524" s="7"/>
      <x:c r="L524" s="9">
        <x:f t="shared" si="16"/>
        <x:v>1.6980110525621965E-3</x:v>
      </x:c>
      <x:c r="M524" s="8">
        <x:v>24196</x:v>
      </x:c>
      <x:c r="N524" s="8">
        <x:v>14176588</x:v>
      </x:c>
      <x:c r="O524" s="7"/>
      <x:c r="P524" s="9">
        <x:f t="shared" si="17"/>
        <x:v>1.7067576485964042E-3</x:v>
      </x:c>
      <x:c r="Q524" s="10" t="s">
        <x:v>302</x:v>
      </x:c>
      <x:c r="R524" s="5" t="s">
        <x:v>582</x:v>
      </x:c>
      <x:c r="S524" s="5" t="s">
        <x:v>357</x:v>
      </x:c>
      <x:c r="T524" s="5" t="s">
        <x:v>583</x:v>
      </x:c>
      <x:c r="U524" s="151"/>
      <x:c r="V524" s="151"/>
      <x:c r="W524" s="151"/>
      <x:c r="X524" s="151"/>
      <x:c r="Y524" s="151"/>
      <x:c r="Z524" s="151"/>
    </x:row>
    <x:row r="525" ht="22" customHeight="1">
      <x:c r="A525" s="5" t="s">
        <x:v>299</x:v>
      </x:c>
      <x:c r="B525" s="5" t="s">
        <x:v>300</x:v>
      </x:c>
      <x:c r="C525" s="6">
        <x:v>45657</x:v>
      </x:c>
      <x:c r="D525" s="5">
        <x:v>2024</x:v>
      </x:c>
      <x:c r="E525" s="5" t="s">
        <x:v>412</x:v>
      </x:c>
      <x:c r="F525" s="5" t="s">
        <x:v>0</x:v>
      </x:c>
      <x:c r="G525" s="5" t="s">
        <x:v>408</x:v>
      </x:c>
      <x:c r="H525" s="8">
        <x:v>22630</x:v>
      </x:c>
      <x:c r="I525" s="8">
        <x:v>14170108</x:v>
      </x:c>
      <x:c r="J525" s="5" t="s">
        <x:v>581</x:v>
      </x:c>
      <x:c r="K525" s="7"/>
      <x:c r="L525" s="9">
        <x:f t="shared" si="16"/>
        <x:v>1.5970238194373677E-3</x:v>
      </x:c>
      <x:c r="M525" s="8">
        <x:v>22765</x:v>
      </x:c>
      <x:c r="N525" s="8">
        <x:v>14176588</x:v>
      </x:c>
      <x:c r="O525" s="7"/>
      <x:c r="P525" s="9">
        <x:f t="shared" si="17"/>
        <x:v>1.6058165758925914E-3</x:v>
      </x:c>
      <x:c r="Q525" s="10" t="s">
        <x:v>302</x:v>
      </x:c>
      <x:c r="R525" s="5" t="s">
        <x:v>582</x:v>
      </x:c>
      <x:c r="S525" s="5" t="s">
        <x:v>357</x:v>
      </x:c>
      <x:c r="T525" s="5" t="s">
        <x:v>583</x:v>
      </x:c>
      <x:c r="U525" s="151"/>
      <x:c r="V525" s="151"/>
      <x:c r="W525" s="151"/>
      <x:c r="X525" s="151"/>
      <x:c r="Y525" s="151"/>
      <x:c r="Z525" s="151"/>
    </x:row>
    <x:row r="526" ht="22" customHeight="1">
      <x:c r="A526" s="5" t="s">
        <x:v>299</x:v>
      </x:c>
      <x:c r="B526" s="5" t="s">
        <x:v>300</x:v>
      </x:c>
      <x:c r="C526" s="6">
        <x:v>45657</x:v>
      </x:c>
      <x:c r="D526" s="5">
        <x:v>2024</x:v>
      </x:c>
      <x:c r="E526" s="5" t="s">
        <x:v>413</x:v>
      </x:c>
      <x:c r="F526" s="5" t="s">
        <x:v>0</x:v>
      </x:c>
      <x:c r="G526" s="5" t="s">
        <x:v>408</x:v>
      </x:c>
      <x:c r="H526" s="8">
        <x:v>268659</x:v>
      </x:c>
      <x:c r="I526" s="8">
        <x:v>14170108</x:v>
      </x:c>
      <x:c r="J526" s="5" t="s">
        <x:v>581</x:v>
      </x:c>
      <x:c r="K526" s="7"/>
      <x:c r="L526" s="9">
        <x:f t="shared" si="16"/>
        <x:v>1.8959559094397869E-2</x:v>
      </x:c>
      <x:c r="M526" s="8">
        <x:v>268794</x:v>
      </x:c>
      <x:c r="N526" s="8">
        <x:v>14176588</x:v>
      </x:c>
      <x:c r="O526" s="7"/>
      <x:c r="P526" s="9">
        <x:f t="shared" si="17"/>
        <x:v>1.8960415580956434E-2</x:v>
      </x:c>
      <x:c r="Q526" s="10" t="s">
        <x:v>302</x:v>
      </x:c>
      <x:c r="R526" s="5" t="s">
        <x:v>582</x:v>
      </x:c>
      <x:c r="S526" s="5" t="s">
        <x:v>357</x:v>
      </x:c>
      <x:c r="T526" s="5" t="s">
        <x:v>583</x:v>
      </x:c>
      <x:c r="U526" s="151"/>
      <x:c r="V526" s="151"/>
      <x:c r="W526" s="151"/>
      <x:c r="X526" s="151"/>
      <x:c r="Y526" s="151"/>
      <x:c r="Z526" s="151"/>
    </x:row>
    <x:row r="527" ht="22" customHeight="1">
      <x:c r="A527" s="5" t="s">
        <x:v>299</x:v>
      </x:c>
      <x:c r="B527" s="5" t="s">
        <x:v>300</x:v>
      </x:c>
      <x:c r="C527" s="6">
        <x:v>45657</x:v>
      </x:c>
      <x:c r="D527" s="5">
        <x:v>2024</x:v>
      </x:c>
      <x:c r="E527" s="5" t="s">
        <x:v>414</x:v>
      </x:c>
      <x:c r="F527" s="5" t="s">
        <x:v>0</x:v>
      </x:c>
      <x:c r="G527" s="5" t="s">
        <x:v>408</x:v>
      </x:c>
      <x:c r="H527" s="8">
        <x:v>268659</x:v>
      </x:c>
      <x:c r="I527" s="8">
        <x:v>14170108</x:v>
      </x:c>
      <x:c r="J527" s="5" t="s">
        <x:v>581</x:v>
      </x:c>
      <x:c r="K527" s="7"/>
      <x:c r="L527" s="9">
        <x:f t="shared" si="16"/>
        <x:v>1.8959559094397869E-2</x:v>
      </x:c>
      <x:c r="M527" s="8">
        <x:v>268794</x:v>
      </x:c>
      <x:c r="N527" s="8">
        <x:v>14176588</x:v>
      </x:c>
      <x:c r="O527" s="7"/>
      <x:c r="P527" s="9">
        <x:f t="shared" si="17"/>
        <x:v>1.8960415580956434E-2</x:v>
      </x:c>
      <x:c r="Q527" s="10" t="s">
        <x:v>302</x:v>
      </x:c>
      <x:c r="R527" s="5" t="s">
        <x:v>582</x:v>
      </x:c>
      <x:c r="S527" s="5" t="s">
        <x:v>357</x:v>
      </x:c>
      <x:c r="T527" s="5" t="s">
        <x:v>583</x:v>
      </x:c>
      <x:c r="U527" s="151"/>
      <x:c r="V527" s="151"/>
      <x:c r="W527" s="151"/>
      <x:c r="X527" s="151"/>
      <x:c r="Y527" s="151"/>
      <x:c r="Z527" s="151"/>
    </x:row>
    <x:row r="528" ht="22" customHeight="1">
      <x:c r="A528" s="5" t="s">
        <x:v>299</x:v>
      </x:c>
      <x:c r="B528" s="5" t="s">
        <x:v>300</x:v>
      </x:c>
      <x:c r="C528" s="6">
        <x:v>45657</x:v>
      </x:c>
      <x:c r="D528" s="5">
        <x:v>2024</x:v>
      </x:c>
      <x:c r="E528" s="5" t="s">
        <x:v>452</x:v>
      </x:c>
      <x:c r="F528" s="5" t="s">
        <x:v>0</x:v>
      </x:c>
      <x:c r="G528" s="5" t="s">
        <x:v>408</x:v>
      </x:c>
      <x:c r="H528" s="8">
        <x:v>22315</x:v>
      </x:c>
      <x:c r="I528" s="8">
        <x:v>14170108</x:v>
      </x:c>
      <x:c r="J528" s="5" t="s">
        <x:v>581</x:v>
      </x:c>
      <x:c r="K528" s="7"/>
      <x:c r="L528" s="9">
        <x:f t="shared" si="16"/>
        <x:v>1.5747939253532859E-3</x:v>
      </x:c>
      <x:c r="M528" s="8">
        <x:v>22450</x:v>
      </x:c>
      <x:c r="N528" s="8">
        <x:v>14176588</x:v>
      </x:c>
      <x:c r="O528" s="7"/>
      <x:c r="P528" s="9">
        <x:f t="shared" si="17"/>
        <x:v>1.5835968429074754E-3</x:v>
      </x:c>
      <x:c r="Q528" s="10" t="s">
        <x:v>302</x:v>
      </x:c>
      <x:c r="R528" s="5" t="s">
        <x:v>582</x:v>
      </x:c>
      <x:c r="S528" s="5" t="s">
        <x:v>357</x:v>
      </x:c>
      <x:c r="T528" s="5" t="s">
        <x:v>583</x:v>
      </x:c>
      <x:c r="U528" s="151"/>
      <x:c r="V528" s="151"/>
      <x:c r="W528" s="151"/>
      <x:c r="X528" s="151"/>
      <x:c r="Y528" s="151"/>
      <x:c r="Z528" s="151"/>
    </x:row>
    <x:row r="529" ht="22" customHeight="1">
      <x:c r="A529" s="5" t="s">
        <x:v>299</x:v>
      </x:c>
      <x:c r="B529" s="5" t="s">
        <x:v>300</x:v>
      </x:c>
      <x:c r="C529" s="6">
        <x:v>45657</x:v>
      </x:c>
      <x:c r="D529" s="5">
        <x:v>2024</x:v>
      </x:c>
      <x:c r="E529" s="5" t="s">
        <x:v>416</x:v>
      </x:c>
      <x:c r="F529" s="5" t="s">
        <x:v>0</x:v>
      </x:c>
      <x:c r="G529" s="5" t="s">
        <x:v>408</x:v>
      </x:c>
      <x:c r="H529" s="8">
        <x:v>278459</x:v>
      </x:c>
      <x:c r="I529" s="8">
        <x:v>14170108</x:v>
      </x:c>
      <x:c r="J529" s="5" t="s">
        <x:v>581</x:v>
      </x:c>
      <x:c r="K529" s="7"/>
      <x:c r="L529" s="9">
        <x:f t="shared" si="16"/>
        <x:v>1.9651155799235969E-2</x:v>
      </x:c>
      <x:c r="M529" s="8">
        <x:v>278594</x:v>
      </x:c>
      <x:c r="N529" s="8">
        <x:v>14176588</x:v>
      </x:c>
      <x:c r="O529" s="7"/>
      <x:c r="P529" s="9">
        <x:f t="shared" si="17"/>
        <x:v>1.9651696162715598E-2</x:v>
      </x:c>
      <x:c r="Q529" s="10" t="s">
        <x:v>302</x:v>
      </x:c>
      <x:c r="R529" s="5" t="s">
        <x:v>582</x:v>
      </x:c>
      <x:c r="S529" s="5" t="s">
        <x:v>357</x:v>
      </x:c>
      <x:c r="T529" s="5" t="s">
        <x:v>583</x:v>
      </x:c>
      <x:c r="U529" s="151"/>
      <x:c r="V529" s="151"/>
      <x:c r="W529" s="151"/>
      <x:c r="X529" s="151"/>
      <x:c r="Y529" s="151"/>
      <x:c r="Z529" s="151"/>
    </x:row>
    <x:row r="530" ht="22" customHeight="1">
      <x:c r="A530" s="5" t="s">
        <x:v>299</x:v>
      </x:c>
      <x:c r="B530" s="5" t="s">
        <x:v>300</x:v>
      </x:c>
      <x:c r="C530" s="6">
        <x:v>45657</x:v>
      </x:c>
      <x:c r="D530" s="5">
        <x:v>2024</x:v>
      </x:c>
      <x:c r="E530" s="5" t="s">
        <x:v>373</x:v>
      </x:c>
      <x:c r="F530" s="5" t="s">
        <x:v>0</x:v>
      </x:c>
      <x:c r="G530" s="5" t="s">
        <x:v>408</x:v>
      </x:c>
      <x:c r="H530" s="8">
        <x:v>708831</x:v>
      </x:c>
      <x:c r="I530" s="8">
        <x:v>14170108</x:v>
      </x:c>
      <x:c r="J530" s="5" t="s">
        <x:v>581</x:v>
      </x:c>
      <x:c r="K530" s="7"/>
      <x:c r="L530" s="9">
        <x:f t="shared" si="16"/>
        <x:v>5.0022977947662785E-2</x:v>
      </x:c>
      <x:c r="M530" s="8">
        <x:v>708966</x:v>
      </x:c>
      <x:c r="N530" s="8">
        <x:v>14176588</x:v>
      </x:c>
      <x:c r="O530" s="7"/>
      <x:c r="P530" s="9">
        <x:f t="shared" si="17"/>
        <x:v>5.0009635604843707E-2</x:v>
      </x:c>
      <x:c r="Q530" s="10" t="s">
        <x:v>302</x:v>
      </x:c>
      <x:c r="R530" s="5" t="s">
        <x:v>582</x:v>
      </x:c>
      <x:c r="S530" s="5" t="s">
        <x:v>357</x:v>
      </x:c>
      <x:c r="T530" s="5" t="s">
        <x:v>583</x:v>
      </x:c>
      <x:c r="U530" s="151"/>
      <x:c r="V530" s="151"/>
      <x:c r="W530" s="151"/>
      <x:c r="X530" s="151"/>
      <x:c r="Y530" s="151"/>
      <x:c r="Z530" s="151"/>
    </x:row>
    <x:row r="531" ht="22" customHeight="1">
      <x:c r="A531" s="5" t="s">
        <x:v>299</x:v>
      </x:c>
      <x:c r="B531" s="5" t="s">
        <x:v>300</x:v>
      </x:c>
      <x:c r="C531" s="6">
        <x:v>45657</x:v>
      </x:c>
      <x:c r="D531" s="5">
        <x:v>2024</x:v>
      </x:c>
      <x:c r="E531" s="5" t="s">
        <x:v>376</x:v>
      </x:c>
      <x:c r="F531" s="5" t="s">
        <x:v>0</x:v>
      </x:c>
      <x:c r="G531" s="5" t="s">
        <x:v>408</x:v>
      </x:c>
      <x:c r="H531" s="8">
        <x:v>424</x:v>
      </x:c>
      <x:c r="I531" s="8">
        <x:v>14170108</x:v>
      </x:c>
      <x:c r="J531" s="5" t="s">
        <x:v>581</x:v>
      </x:c>
      <x:c r="K531" s="7"/>
      <x:c r="L531" s="9">
        <x:f t="shared" si="16"/>
        <x:v>2.9922143148097389E-5</x:v>
      </x:c>
      <x:c r="M531" s="8">
        <x:v>559</x:v>
      </x:c>
      <x:c r="N531" s="8">
        <x:v>14176588</x:v>
      </x:c>
      <x:c r="O531" s="7"/>
      <x:c r="P531" s="9">
        <x:f t="shared" si="17"/>
        <x:v>3.9431208694221771E-5</x:v>
      </x:c>
      <x:c r="Q531" s="10" t="s">
        <x:v>302</x:v>
      </x:c>
      <x:c r="R531" s="5" t="s">
        <x:v>582</x:v>
      </x:c>
      <x:c r="S531" s="5" t="s">
        <x:v>357</x:v>
      </x:c>
      <x:c r="T531" s="5" t="s">
        <x:v>583</x:v>
      </x:c>
      <x:c r="U531" s="151"/>
      <x:c r="V531" s="151"/>
      <x:c r="W531" s="151"/>
      <x:c r="X531" s="151"/>
      <x:c r="Y531" s="151"/>
      <x:c r="Z531" s="151"/>
    </x:row>
    <x:row r="532" ht="22" customHeight="1">
      <x:c r="A532" s="5" t="s">
        <x:v>299</x:v>
      </x:c>
      <x:c r="B532" s="5" t="s">
        <x:v>300</x:v>
      </x:c>
      <x:c r="C532" s="6">
        <x:v>45657</x:v>
      </x:c>
      <x:c r="D532" s="5">
        <x:v>2024</x:v>
      </x:c>
      <x:c r="E532" s="5" t="s">
        <x:v>418</x:v>
      </x:c>
      <x:c r="F532" s="5" t="s">
        <x:v>0</x:v>
      </x:c>
      <x:c r="G532" s="5" t="s">
        <x:v>408</x:v>
      </x:c>
      <x:c r="H532" s="8">
        <x:v>28207</x:v>
      </x:c>
      <x:c r="I532" s="8">
        <x:v>14170108</x:v>
      </x:c>
      <x:c r="J532" s="5" t="s">
        <x:v>581</x:v>
      </x:c>
      <x:c r="K532" s="7"/>
      <x:c r="L532" s="9">
        <x:f t="shared" si="16"/>
        <x:v>1.990598801364111E-3</x:v>
      </x:c>
      <x:c r="M532" s="8">
        <x:v>28342</x:v>
      </x:c>
      <x:c r="N532" s="8">
        <x:v>14176588</x:v>
      </x:c>
      <x:c r="O532" s="7"/>
      <x:c r="P532" s="9">
        <x:f t="shared" si="17"/>
        <x:v>1.9992116579814552E-3</x:v>
      </x:c>
      <x:c r="Q532" s="10" t="s">
        <x:v>302</x:v>
      </x:c>
      <x:c r="R532" s="5" t="s">
        <x:v>582</x:v>
      </x:c>
      <x:c r="S532" s="5" t="s">
        <x:v>357</x:v>
      </x:c>
      <x:c r="T532" s="5" t="s">
        <x:v>583</x:v>
      </x:c>
      <x:c r="U532" s="151"/>
      <x:c r="V532" s="151"/>
      <x:c r="W532" s="151"/>
      <x:c r="X532" s="151"/>
      <x:c r="Y532" s="151"/>
      <x:c r="Z532" s="151"/>
    </x:row>
    <x:row r="533" ht="22" customHeight="1">
      <x:c r="A533" s="5" t="s">
        <x:v>299</x:v>
      </x:c>
      <x:c r="B533" s="5" t="s">
        <x:v>300</x:v>
      </x:c>
      <x:c r="C533" s="6">
        <x:v>45657</x:v>
      </x:c>
      <x:c r="D533" s="5">
        <x:v>2024</x:v>
      </x:c>
      <x:c r="E533" s="5" t="s">
        <x:v>419</x:v>
      </x:c>
      <x:c r="F533" s="5" t="s">
        <x:v>0</x:v>
      </x:c>
      <x:c r="G533" s="5" t="s">
        <x:v>408</x:v>
      </x:c>
      <x:c r="H533" s="8">
        <x:v>24061</x:v>
      </x:c>
      <x:c r="I533" s="8">
        <x:v>14170108</x:v>
      </x:c>
      <x:c r="J533" s="5" t="s">
        <x:v>581</x:v>
      </x:c>
      <x:c r="K533" s="7"/>
      <x:c r="L533" s="9">
        <x:f t="shared" si="16"/>
        <x:v>1.6980110525621965E-3</x:v>
      </x:c>
      <x:c r="M533" s="8">
        <x:v>24196</x:v>
      </x:c>
      <x:c r="N533" s="8">
        <x:v>14176588</x:v>
      </x:c>
      <x:c r="O533" s="7"/>
      <x:c r="P533" s="9">
        <x:f t="shared" si="17"/>
        <x:v>1.7067576485964042E-3</x:v>
      </x:c>
      <x:c r="Q533" s="10" t="s">
        <x:v>302</x:v>
      </x:c>
      <x:c r="R533" s="5" t="s">
        <x:v>582</x:v>
      </x:c>
      <x:c r="S533" s="5" t="s">
        <x:v>357</x:v>
      </x:c>
      <x:c r="T533" s="5" t="s">
        <x:v>583</x:v>
      </x:c>
      <x:c r="U533" s="151"/>
      <x:c r="V533" s="151"/>
      <x:c r="W533" s="151"/>
      <x:c r="X533" s="151"/>
      <x:c r="Y533" s="151"/>
      <x:c r="Z533" s="151"/>
    </x:row>
    <x:row r="534" ht="22" customHeight="1">
      <x:c r="A534" s="5" t="s">
        <x:v>299</x:v>
      </x:c>
      <x:c r="B534" s="5" t="s">
        <x:v>300</x:v>
      </x:c>
      <x:c r="C534" s="6">
        <x:v>45657</x:v>
      </x:c>
      <x:c r="D534" s="5">
        <x:v>2024</x:v>
      </x:c>
      <x:c r="E534" s="5" t="s">
        <x:v>420</x:v>
      </x:c>
      <x:c r="F534" s="5" t="s">
        <x:v>0</x:v>
      </x:c>
      <x:c r="G534" s="5" t="s">
        <x:v>408</x:v>
      </x:c>
      <x:c r="H534" s="8">
        <x:v>7667</x:v>
      </x:c>
      <x:c r="I534" s="8">
        <x:v>14170108</x:v>
      </x:c>
      <x:c r="J534" s="5" t="s">
        <x:v>581</x:v>
      </x:c>
      <x:c r="K534" s="7"/>
      <x:c r="L534" s="9">
        <x:f t="shared" si="16"/>
        <x:v>5.4106856489731763E-4</x:v>
      </x:c>
      <x:c r="M534" s="8">
        <x:v>7802</x:v>
      </x:c>
      <x:c r="N534" s="8">
        <x:v>14176588</x:v>
      </x:c>
      <x:c r="O534" s="7"/>
      <x:c r="P534" s="9">
        <x:f t="shared" si="17"/>
        <x:v>5.5034398968214354E-4</x:v>
      </x:c>
      <x:c r="Q534" s="10" t="s">
        <x:v>302</x:v>
      </x:c>
      <x:c r="R534" s="5" t="s">
        <x:v>582</x:v>
      </x:c>
      <x:c r="S534" s="5" t="s">
        <x:v>357</x:v>
      </x:c>
      <x:c r="T534" s="5" t="s">
        <x:v>583</x:v>
      </x:c>
      <x:c r="U534" s="151"/>
      <x:c r="V534" s="151"/>
      <x:c r="W534" s="151"/>
      <x:c r="X534" s="151"/>
      <x:c r="Y534" s="151"/>
      <x:c r="Z534" s="151"/>
    </x:row>
    <x:row r="535" ht="22" customHeight="1">
      <x:c r="A535" s="5" t="s">
        <x:v>299</x:v>
      </x:c>
      <x:c r="B535" s="5" t="s">
        <x:v>300</x:v>
      </x:c>
      <x:c r="C535" s="6">
        <x:v>45657</x:v>
      </x:c>
      <x:c r="D535" s="5">
        <x:v>2024</x:v>
      </x:c>
      <x:c r="E535" s="5" t="s">
        <x:v>577</x:v>
      </x:c>
      <x:c r="F535" s="5" t="s">
        <x:v>0</x:v>
      </x:c>
      <x:c r="G535" s="5" t="s">
        <x:v>408</x:v>
      </x:c>
      <x:c r="H535" s="8">
        <x:v>4214</x:v>
      </x:c>
      <x:c r="I535" s="8">
        <x:v>14170108</x:v>
      </x:c>
      <x:c r="J535" s="5" t="s">
        <x:v>581</x:v>
      </x:c>
      <x:c r="K535" s="7"/>
      <x:c r="L535" s="9">
        <x:f t="shared" si="16"/>
        <x:v>2.9738658308038304E-4</x:v>
      </x:c>
      <x:c r="M535" s="8">
        <x:v>4349</x:v>
      </x:c>
      <x:c r="N535" s="8">
        <x:v>14176588</x:v>
      </x:c>
      <x:c r="O535" s="7"/>
      <x:c r="P535" s="9">
        <x:f t="shared" si="17"/>
        <x:v>3.0677339286434792E-4</x:v>
      </x:c>
      <x:c r="Q535" s="10" t="s">
        <x:v>302</x:v>
      </x:c>
      <x:c r="R535" s="5" t="s">
        <x:v>582</x:v>
      </x:c>
      <x:c r="S535" s="5" t="s">
        <x:v>357</x:v>
      </x:c>
      <x:c r="T535" s="5" t="s">
        <x:v>583</x:v>
      </x:c>
      <x:c r="U535" s="151"/>
      <x:c r="V535" s="151"/>
      <x:c r="W535" s="151"/>
      <x:c r="X535" s="151"/>
      <x:c r="Y535" s="151"/>
      <x:c r="Z535" s="151"/>
    </x:row>
    <x:row r="536" ht="22" customHeight="1">
      <x:c r="A536" s="5" t="s">
        <x:v>299</x:v>
      </x:c>
      <x:c r="B536" s="5" t="s">
        <x:v>300</x:v>
      </x:c>
      <x:c r="C536" s="6">
        <x:v>45657</x:v>
      </x:c>
      <x:c r="D536" s="5">
        <x:v>2024</x:v>
      </x:c>
      <x:c r="E536" s="5" t="s">
        <x:v>421</x:v>
      </x:c>
      <x:c r="F536" s="5" t="s">
        <x:v>0</x:v>
      </x:c>
      <x:c r="G536" s="5" t="s">
        <x:v>408</x:v>
      </x:c>
      <x:c r="H536" s="8">
        <x:v>278460</x:v>
      </x:c>
      <x:c r="I536" s="8">
        <x:v>14170108</x:v>
      </x:c>
      <x:c r="J536" s="5" t="s">
        <x:v>581</x:v>
      </x:c>
      <x:c r="K536" s="7"/>
      <x:c r="L536" s="9">
        <x:f t="shared" si="16"/>
        <x:v>1.96512263703283E-2</x:v>
      </x:c>
      <x:c r="M536" s="8">
        <x:v>278595</x:v>
      </x:c>
      <x:c r="N536" s="8">
        <x:v>14176588</x:v>
      </x:c>
      <x:c r="O536" s="7"/>
      <x:c r="P536" s="9">
        <x:f t="shared" si="17"/>
        <x:v>1.9651766701550472E-2</x:v>
      </x:c>
      <x:c r="Q536" s="10" t="s">
        <x:v>302</x:v>
      </x:c>
      <x:c r="R536" s="5" t="s">
        <x:v>582</x:v>
      </x:c>
      <x:c r="S536" s="5" t="s">
        <x:v>357</x:v>
      </x:c>
      <x:c r="T536" s="5" t="s">
        <x:v>583</x:v>
      </x:c>
      <x:c r="U536" s="151"/>
      <x:c r="V536" s="151"/>
      <x:c r="W536" s="151"/>
      <x:c r="X536" s="151"/>
      <x:c r="Y536" s="151"/>
      <x:c r="Z536" s="151"/>
    </x:row>
    <x:row r="537" ht="22" customHeight="1">
      <x:c r="A537" s="5" t="s">
        <x:v>299</x:v>
      </x:c>
      <x:c r="B537" s="5" t="s">
        <x:v>300</x:v>
      </x:c>
      <x:c r="C537" s="6">
        <x:v>45657</x:v>
      </x:c>
      <x:c r="D537" s="5">
        <x:v>2024</x:v>
      </x:c>
      <x:c r="E537" s="5" t="s">
        <x:v>422</x:v>
      </x:c>
      <x:c r="F537" s="5" t="s">
        <x:v>0</x:v>
      </x:c>
      <x:c r="G537" s="5" t="s">
        <x:v>408</x:v>
      </x:c>
      <x:c r="H537" s="8">
        <x:v>46257</x:v>
      </x:c>
      <x:c r="I537" s="8">
        <x:v>14170108</x:v>
      </x:c>
      <x:c r="J537" s="5" t="s">
        <x:v>581</x:v>
      </x:c>
      <x:c r="K537" s="7"/>
      <x:c r="L537" s="9">
        <x:f t="shared" si="16"/>
        <x:v>3.2644070179281624E-3</x:v>
      </x:c>
      <x:c r="M537" s="8">
        <x:v>46392</x:v>
      </x:c>
      <x:c r="N537" s="8">
        <x:v>14176588</x:v>
      </x:c>
      <x:c r="O537" s="7"/>
      <x:c r="P537" s="9">
        <x:f t="shared" si="17"/>
        <x:v>3.27243762744604E-3</x:v>
      </x:c>
      <x:c r="Q537" s="10" t="s">
        <x:v>302</x:v>
      </x:c>
      <x:c r="R537" s="5" t="s">
        <x:v>582</x:v>
      </x:c>
      <x:c r="S537" s="5" t="s">
        <x:v>357</x:v>
      </x:c>
      <x:c r="T537" s="5" t="s">
        <x:v>583</x:v>
      </x:c>
      <x:c r="U537" s="151"/>
      <x:c r="V537" s="151"/>
      <x:c r="W537" s="151"/>
      <x:c r="X537" s="151"/>
      <x:c r="Y537" s="151"/>
      <x:c r="Z537" s="151"/>
    </x:row>
    <x:row r="538" ht="22" customHeight="1">
      <x:c r="A538" s="5" t="s">
        <x:v>299</x:v>
      </x:c>
      <x:c r="B538" s="5" t="s">
        <x:v>300</x:v>
      </x:c>
      <x:c r="C538" s="6">
        <x:v>45657</x:v>
      </x:c>
      <x:c r="D538" s="5">
        <x:v>2024</x:v>
      </x:c>
      <x:c r="E538" s="5" t="s">
        <x:v>423</x:v>
      </x:c>
      <x:c r="F538" s="5" t="s">
        <x:v>0</x:v>
      </x:c>
      <x:c r="G538" s="5" t="s">
        <x:v>408</x:v>
      </x:c>
      <x:c r="H538" s="8">
        <x:v>66705</x:v>
      </x:c>
      <x:c r="I538" s="8">
        <x:v>14170108</x:v>
      </x:c>
      <x:c r="J538" s="5" t="s">
        <x:v>581</x:v>
      </x:c>
      <x:c r="K538" s="7"/>
      <x:c r="L538" s="9">
        <x:f t="shared" si="16"/>
        <x:v>4.7074447139005575E-3</x:v>
      </x:c>
      <x:c r="M538" s="8">
        <x:v>66840</x:v>
      </x:c>
      <x:c r="N538" s="8">
        <x:v>14176588</x:v>
      </x:c>
      <x:c r="O538" s="7"/>
      <x:c r="P538" s="9">
        <x:f t="shared" si="17"/>
        <x:v>4.714815722937E-3</x:v>
      </x:c>
      <x:c r="Q538" s="10" t="s">
        <x:v>302</x:v>
      </x:c>
      <x:c r="R538" s="5" t="s">
        <x:v>582</x:v>
      </x:c>
      <x:c r="S538" s="5" t="s">
        <x:v>357</x:v>
      </x:c>
      <x:c r="T538" s="5" t="s">
        <x:v>583</x:v>
      </x:c>
      <x:c r="U538" s="151"/>
      <x:c r="V538" s="151"/>
      <x:c r="W538" s="151"/>
      <x:c r="X538" s="151"/>
      <x:c r="Y538" s="151"/>
      <x:c r="Z538" s="151"/>
    </x:row>
    <x:row r="539" ht="22" customHeight="1">
      <x:c r="A539" s="5" t="s">
        <x:v>299</x:v>
      </x:c>
      <x:c r="B539" s="5" t="s">
        <x:v>300</x:v>
      </x:c>
      <x:c r="C539" s="6">
        <x:v>45657</x:v>
      </x:c>
      <x:c r="D539" s="5">
        <x:v>2024</x:v>
      </x:c>
      <x:c r="E539" s="5" t="s">
        <x:v>425</x:v>
      </x:c>
      <x:c r="F539" s="5" t="s">
        <x:v>0</x:v>
      </x:c>
      <x:c r="G539" s="5" t="s">
        <x:v>408</x:v>
      </x:c>
      <x:c r="H539" s="8">
        <x:v>136461</x:v>
      </x:c>
      <x:c r="I539" s="8">
        <x:v>14170108</x:v>
      </x:c>
      <x:c r="J539" s="5" t="s">
        <x:v>581</x:v>
      </x:c>
      <x:c r="K539" s="7"/>
      <x:c r="L539" s="9">
        <x:f t="shared" si="16"/>
        <x:v>9.6302018305012213E-3</x:v>
      </x:c>
      <x:c r="M539" s="8">
        <x:v>136596</x:v>
      </x:c>
      <x:c r="N539" s="8">
        <x:v>14176588</x:v>
      </x:c>
      <x:c r="O539" s="7"/>
      <x:c r="P539" s="9">
        <x:f t="shared" si="17"/>
        <x:v>9.6353226883647888E-3</x:v>
      </x:c>
      <x:c r="Q539" s="10" t="s">
        <x:v>302</x:v>
      </x:c>
      <x:c r="R539" s="5" t="s">
        <x:v>582</x:v>
      </x:c>
      <x:c r="S539" s="5" t="s">
        <x:v>357</x:v>
      </x:c>
      <x:c r="T539" s="5" t="s">
        <x:v>583</x:v>
      </x:c>
      <x:c r="U539" s="151"/>
      <x:c r="V539" s="151"/>
      <x:c r="W539" s="151"/>
      <x:c r="X539" s="151"/>
      <x:c r="Y539" s="151"/>
      <x:c r="Z539" s="151"/>
    </x:row>
    <x:row r="540" ht="22" customHeight="1">
      <x:c r="A540" s="5" t="s">
        <x:v>308</x:v>
      </x:c>
      <x:c r="B540" s="5" t="s">
        <x:v>309</x:v>
      </x:c>
      <x:c r="C540" s="6">
        <x:v>46252</x:v>
      </x:c>
      <x:c r="D540" s="5">
        <x:v>2026</x:v>
      </x:c>
      <x:c r="E540" s="5" t="s">
        <x:v>468</x:v>
      </x:c>
      <x:c r="F540" s="5" t="s">
        <x:v>0</x:v>
      </x:c>
      <x:c r="G540" s="5" t="s">
        <x:v>337</x:v>
      </x:c>
      <x:c r="H540" s="8">
        <x:v>15400</x:v>
      </x:c>
      <x:c r="I540" s="8"/>
      <x:c r="J540" s="5" t="s">
        <x:v>593</x:v>
      </x:c>
      <x:c r="K540" s="7">
        <x:v>0.2351</x:v>
      </x:c>
      <x:c r="L540" s="9">
        <x:f t="shared" si="16"/>
        <x:v>0.2351</x:v>
      </x:c>
      <x:c r="M540" s="8"/>
      <x:c r="N540" s="8"/>
      <x:c r="O540" s="7"/>
      <x:c r="P540" s="9" t="str">
        <x:f t="shared" si="17"/>
      </x:c>
      <x:c r="Q540" s="10" t="s">
        <x:v>310</x:v>
      </x:c>
      <x:c r="R540" s="5" t="s">
        <x:v>594</x:v>
      </x:c>
      <x:c r="S540" s="5" t="s">
        <x:v>558</x:v>
      </x:c>
      <x:c r="T540" s="5" t="s">
        <x:v>595</x:v>
      </x:c>
      <x:c r="U540" s="151"/>
      <x:c r="V540" s="151"/>
      <x:c r="W540" s="151"/>
      <x:c r="X540" s="151"/>
      <x:c r="Y540" s="151"/>
      <x:c r="Z540" s="151"/>
    </x:row>
    <x:row r="541" ht="22" customHeight="1">
      <x:c r="A541" s="5" t="s">
        <x:v>308</x:v>
      </x:c>
      <x:c r="B541" s="5" t="s">
        <x:v>309</x:v>
      </x:c>
      <x:c r="C541" s="6">
        <x:v>46252</x:v>
      </x:c>
      <x:c r="D541" s="5">
        <x:v>2026</x:v>
      </x:c>
      <x:c r="E541" s="5" t="s">
        <x:v>450</x:v>
      </x:c>
      <x:c r="F541" s="5" t="s">
        <x:v>0</x:v>
      </x:c>
      <x:c r="G541" s="5" t="s">
        <x:v>337</x:v>
      </x:c>
      <x:c r="H541" s="8">
        <x:v>5400</x:v>
      </x:c>
      <x:c r="I541" s="8"/>
      <x:c r="J541" s="5" t="s">
        <x:v>593</x:v>
      </x:c>
      <x:c r="K541" s="7">
        <x:v>8.2500000000000004E-2</x:v>
      </x:c>
      <x:c r="L541" s="9">
        <x:f t="shared" si="16"/>
        <x:v>8.2500000000000004E-2</x:v>
      </x:c>
      <x:c r="M541" s="8"/>
      <x:c r="N541" s="8"/>
      <x:c r="O541" s="7"/>
      <x:c r="P541" s="9" t="str">
        <x:f t="shared" si="17"/>
      </x:c>
      <x:c r="Q541" s="10" t="s">
        <x:v>310</x:v>
      </x:c>
      <x:c r="R541" s="5" t="s">
        <x:v>594</x:v>
      </x:c>
      <x:c r="S541" s="5" t="s">
        <x:v>558</x:v>
      </x:c>
      <x:c r="T541" s="5" t="s">
        <x:v>595</x:v>
      </x:c>
      <x:c r="U541" s="151"/>
      <x:c r="V541" s="151"/>
      <x:c r="W541" s="151"/>
      <x:c r="X541" s="151"/>
      <x:c r="Y541" s="151"/>
      <x:c r="Z541" s="151"/>
    </x:row>
    <x:row r="542" ht="22" customHeight="1">
      <x:c r="A542" s="5" t="s">
        <x:v>308</x:v>
      </x:c>
      <x:c r="B542" s="5" t="s">
        <x:v>309</x:v>
      </x:c>
      <x:c r="C542" s="6">
        <x:v>46252</x:v>
      </x:c>
      <x:c r="D542" s="5">
        <x:v>2026</x:v>
      </x:c>
      <x:c r="E542" s="5" t="s">
        <x:v>457</x:v>
      </x:c>
      <x:c r="F542" s="5" t="s">
        <x:v>0</x:v>
      </x:c>
      <x:c r="G542" s="5" t="s">
        <x:v>337</x:v>
      </x:c>
      <x:c r="H542" s="8">
        <x:v>5200</x:v>
      </x:c>
      <x:c r="I542" s="8"/>
      <x:c r="J542" s="5" t="s">
        <x:v>593</x:v>
      </x:c>
      <x:c r="K542" s="7">
        <x:v>7.8700000000000006E-2</x:v>
      </x:c>
      <x:c r="L542" s="9">
        <x:f t="shared" si="16"/>
        <x:v>7.8700000000000006E-2</x:v>
      </x:c>
      <x:c r="M542" s="8"/>
      <x:c r="N542" s="8"/>
      <x:c r="O542" s="7"/>
      <x:c r="P542" s="9" t="str">
        <x:f t="shared" si="17"/>
      </x:c>
      <x:c r="Q542" s="10" t="s">
        <x:v>310</x:v>
      </x:c>
      <x:c r="R542" s="5" t="s">
        <x:v>594</x:v>
      </x:c>
      <x:c r="S542" s="5" t="s">
        <x:v>558</x:v>
      </x:c>
      <x:c r="T542" s="5" t="s">
        <x:v>595</x:v>
      </x:c>
      <x:c r="U542" s="151"/>
      <x:c r="V542" s="151"/>
      <x:c r="W542" s="151"/>
      <x:c r="X542" s="151"/>
      <x:c r="Y542" s="151"/>
      <x:c r="Z542" s="151"/>
    </x:row>
    <x:row r="543" ht="22" customHeight="1">
      <x:c r="A543" s="5" t="s">
        <x:v>308</x:v>
      </x:c>
      <x:c r="B543" s="5" t="s">
        <x:v>309</x:v>
      </x:c>
      <x:c r="C543" s="6">
        <x:v>46252</x:v>
      </x:c>
      <x:c r="D543" s="5">
        <x:v>2026</x:v>
      </x:c>
      <x:c r="E543" s="5" t="s">
        <x:v>464</x:v>
      </x:c>
      <x:c r="F543" s="5" t="s">
        <x:v>0</x:v>
      </x:c>
      <x:c r="G543" s="5" t="s">
        <x:v>337</x:v>
      </x:c>
      <x:c r="H543" s="8">
        <x:v>4700</x:v>
      </x:c>
      <x:c r="I543" s="8"/>
      <x:c r="J543" s="5" t="s">
        <x:v>593</x:v>
      </x:c>
      <x:c r="K543" s="7">
        <x:v>7.1800000000000003E-2</x:v>
      </x:c>
      <x:c r="L543" s="9">
        <x:f t="shared" si="16"/>
        <x:v>7.1800000000000003E-2</x:v>
      </x:c>
      <x:c r="M543" s="8"/>
      <x:c r="N543" s="8"/>
      <x:c r="O543" s="7"/>
      <x:c r="P543" s="9" t="str">
        <x:f t="shared" si="17"/>
      </x:c>
      <x:c r="Q543" s="10" t="s">
        <x:v>310</x:v>
      </x:c>
      <x:c r="R543" s="5" t="s">
        <x:v>594</x:v>
      </x:c>
      <x:c r="S543" s="5" t="s">
        <x:v>558</x:v>
      </x:c>
      <x:c r="T543" s="5" t="s">
        <x:v>595</x:v>
      </x:c>
      <x:c r="U543" s="151"/>
      <x:c r="V543" s="151"/>
      <x:c r="W543" s="151"/>
      <x:c r="X543" s="151"/>
      <x:c r="Y543" s="151"/>
      <x:c r="Z543" s="151"/>
    </x:row>
    <x:row r="544" ht="22" customHeight="1">
      <x:c r="A544" s="5" t="s">
        <x:v>308</x:v>
      </x:c>
      <x:c r="B544" s="5" t="s">
        <x:v>309</x:v>
      </x:c>
      <x:c r="C544" s="6">
        <x:v>46252</x:v>
      </x:c>
      <x:c r="D544" s="5">
        <x:v>2026</x:v>
      </x:c>
      <x:c r="E544" s="5" t="s">
        <x:v>372</x:v>
      </x:c>
      <x:c r="F544" s="5" t="s">
        <x:v>0</x:v>
      </x:c>
      <x:c r="G544" s="5" t="s">
        <x:v>337</x:v>
      </x:c>
      <x:c r="H544" s="8">
        <x:v>4700</x:v>
      </x:c>
      <x:c r="I544" s="8"/>
      <x:c r="J544" s="5" t="s">
        <x:v>593</x:v>
      </x:c>
      <x:c r="K544" s="7">
        <x:v>7.0900000000000005E-2</x:v>
      </x:c>
      <x:c r="L544" s="9">
        <x:f t="shared" si="16"/>
        <x:v>7.0900000000000005E-2</x:v>
      </x:c>
      <x:c r="M544" s="8"/>
      <x:c r="N544" s="8"/>
      <x:c r="O544" s="7"/>
      <x:c r="P544" s="9" t="str">
        <x:f t="shared" si="17"/>
      </x:c>
      <x:c r="Q544" s="10" t="s">
        <x:v>310</x:v>
      </x:c>
      <x:c r="R544" s="5" t="s">
        <x:v>594</x:v>
      </x:c>
      <x:c r="S544" s="5" t="s">
        <x:v>558</x:v>
      </x:c>
      <x:c r="T544" s="5" t="s">
        <x:v>595</x:v>
      </x:c>
      <x:c r="U544" s="151"/>
      <x:c r="V544" s="151"/>
      <x:c r="W544" s="151"/>
      <x:c r="X544" s="151"/>
      <x:c r="Y544" s="151"/>
      <x:c r="Z544" s="151"/>
    </x:row>
    <x:row r="545" ht="22" customHeight="1">
      <x:c r="A545" s="5" t="s">
        <x:v>308</x:v>
      </x:c>
      <x:c r="B545" s="5" t="s">
        <x:v>309</x:v>
      </x:c>
      <x:c r="C545" s="6">
        <x:v>46252</x:v>
      </x:c>
      <x:c r="D545" s="5">
        <x:v>2026</x:v>
      </x:c>
      <x:c r="E545" s="5" t="s">
        <x:v>443</x:v>
      </x:c>
      <x:c r="F545" s="5" t="s">
        <x:v>0</x:v>
      </x:c>
      <x:c r="G545" s="5" t="s">
        <x:v>337</x:v>
      </x:c>
      <x:c r="H545" s="8">
        <x:v>4600</x:v>
      </x:c>
      <x:c r="I545" s="8"/>
      <x:c r="J545" s="5" t="s">
        <x:v>593</x:v>
      </x:c>
      <x:c r="K545" s="7">
        <x:v>7.0699999999999999E-2</x:v>
      </x:c>
      <x:c r="L545" s="9">
        <x:f t="shared" si="16"/>
        <x:v>7.0699999999999999E-2</x:v>
      </x:c>
      <x:c r="M545" s="8"/>
      <x:c r="N545" s="8"/>
      <x:c r="O545" s="7"/>
      <x:c r="P545" s="9" t="str">
        <x:f t="shared" si="17"/>
      </x:c>
      <x:c r="Q545" s="10" t="s">
        <x:v>310</x:v>
      </x:c>
      <x:c r="R545" s="5" t="s">
        <x:v>594</x:v>
      </x:c>
      <x:c r="S545" s="5" t="s">
        <x:v>558</x:v>
      </x:c>
      <x:c r="T545" s="5" t="s">
        <x:v>595</x:v>
      </x:c>
      <x:c r="U545" s="151"/>
      <x:c r="V545" s="151"/>
      <x:c r="W545" s="151"/>
      <x:c r="X545" s="151"/>
      <x:c r="Y545" s="151"/>
      <x:c r="Z545" s="151"/>
    </x:row>
    <x:row r="546" ht="22" customHeight="1">
      <x:c r="A546" s="5" t="s">
        <x:v>308</x:v>
      </x:c>
      <x:c r="B546" s="5" t="s">
        <x:v>309</x:v>
      </x:c>
      <x:c r="C546" s="6">
        <x:v>46252</x:v>
      </x:c>
      <x:c r="D546" s="5">
        <x:v>2026</x:v>
      </x:c>
      <x:c r="E546" s="5" t="s">
        <x:v>517</x:v>
      </x:c>
      <x:c r="F546" s="5" t="s">
        <x:v>0</x:v>
      </x:c>
      <x:c r="G546" s="5" t="s">
        <x:v>337</x:v>
      </x:c>
      <x:c r="H546" s="8">
        <x:v>4500</x:v>
      </x:c>
      <x:c r="I546" s="8"/>
      <x:c r="J546" s="5" t="s">
        <x:v>593</x:v>
      </x:c>
      <x:c r="K546" s="7">
        <x:v>6.9199999999999998E-2</x:v>
      </x:c>
      <x:c r="L546" s="9">
        <x:f t="shared" si="16"/>
        <x:v>6.9199999999999998E-2</x:v>
      </x:c>
      <x:c r="M546" s="8"/>
      <x:c r="N546" s="8"/>
      <x:c r="O546" s="7"/>
      <x:c r="P546" s="9" t="str">
        <x:f t="shared" si="17"/>
      </x:c>
      <x:c r="Q546" s="10" t="s">
        <x:v>310</x:v>
      </x:c>
      <x:c r="R546" s="5" t="s">
        <x:v>594</x:v>
      </x:c>
      <x:c r="S546" s="5" t="s">
        <x:v>558</x:v>
      </x:c>
      <x:c r="T546" s="5" t="s">
        <x:v>595</x:v>
      </x:c>
      <x:c r="U546" s="151"/>
      <x:c r="V546" s="151"/>
      <x:c r="W546" s="151"/>
      <x:c r="X546" s="151"/>
      <x:c r="Y546" s="151"/>
      <x:c r="Z546" s="151"/>
    </x:row>
    <x:row r="547" ht="22" customHeight="1">
      <x:c r="A547" s="5" t="s">
        <x:v>308</x:v>
      </x:c>
      <x:c r="B547" s="5" t="s">
        <x:v>309</x:v>
      </x:c>
      <x:c r="C547" s="6">
        <x:v>46252</x:v>
      </x:c>
      <x:c r="D547" s="5">
        <x:v>2026</x:v>
      </x:c>
      <x:c r="E547" s="5" t="s">
        <x:v>506</x:v>
      </x:c>
      <x:c r="F547" s="5" t="s">
        <x:v>0</x:v>
      </x:c>
      <x:c r="G547" s="5" t="s">
        <x:v>337</x:v>
      </x:c>
      <x:c r="H547" s="8">
        <x:v>4300</x:v>
      </x:c>
      <x:c r="I547" s="8"/>
      <x:c r="J547" s="5" t="s">
        <x:v>593</x:v>
      </x:c>
      <x:c r="K547" s="7">
        <x:v>6.5500000000000003E-2</x:v>
      </x:c>
      <x:c r="L547" s="9">
        <x:f t="shared" si="16"/>
        <x:v>6.5500000000000003E-2</x:v>
      </x:c>
      <x:c r="M547" s="8"/>
      <x:c r="N547" s="8"/>
      <x:c r="O547" s="7"/>
      <x:c r="P547" s="9" t="str">
        <x:f t="shared" si="17"/>
      </x:c>
      <x:c r="Q547" s="10" t="s">
        <x:v>310</x:v>
      </x:c>
      <x:c r="R547" s="5" t="s">
        <x:v>594</x:v>
      </x:c>
      <x:c r="S547" s="5" t="s">
        <x:v>558</x:v>
      </x:c>
      <x:c r="T547" s="5" t="s">
        <x:v>595</x:v>
      </x:c>
      <x:c r="U547" s="151"/>
      <x:c r="V547" s="151"/>
      <x:c r="W547" s="151"/>
      <x:c r="X547" s="151"/>
      <x:c r="Y547" s="151"/>
      <x:c r="Z547" s="151"/>
    </x:row>
    <x:row r="548" ht="22" customHeight="1">
      <x:c r="A548" s="5" t="s">
        <x:v>308</x:v>
      </x:c>
      <x:c r="B548" s="5" t="s">
        <x:v>309</x:v>
      </x:c>
      <x:c r="C548" s="6">
        <x:v>46252</x:v>
      </x:c>
      <x:c r="D548" s="5">
        <x:v>2026</x:v>
      </x:c>
      <x:c r="E548" s="5" t="s">
        <x:v>474</x:v>
      </x:c>
      <x:c r="F548" s="5" t="s">
        <x:v>0</x:v>
      </x:c>
      <x:c r="G548" s="5" t="s">
        <x:v>337</x:v>
      </x:c>
      <x:c r="H548" s="8">
        <x:v>3900</x:v>
      </x:c>
      <x:c r="I548" s="8"/>
      <x:c r="J548" s="5" t="s">
        <x:v>593</x:v>
      </x:c>
      <x:c r="K548" s="7">
        <x:v>0.06</x:v>
      </x:c>
      <x:c r="L548" s="9">
        <x:f t="shared" si="16"/>
        <x:v>0.06</x:v>
      </x:c>
      <x:c r="M548" s="8"/>
      <x:c r="N548" s="8"/>
      <x:c r="O548" s="7"/>
      <x:c r="P548" s="9" t="str">
        <x:f t="shared" si="17"/>
      </x:c>
      <x:c r="Q548" s="10" t="s">
        <x:v>310</x:v>
      </x:c>
      <x:c r="R548" s="5" t="s">
        <x:v>594</x:v>
      </x:c>
      <x:c r="S548" s="5" t="s">
        <x:v>558</x:v>
      </x:c>
      <x:c r="T548" s="5" t="s">
        <x:v>595</x:v>
      </x:c>
      <x:c r="U548" s="151"/>
      <x:c r="V548" s="151"/>
      <x:c r="W548" s="151"/>
      <x:c r="X548" s="151"/>
      <x:c r="Y548" s="151"/>
      <x:c r="Z548" s="151"/>
    </x:row>
    <x:row r="549" ht="22" customHeight="1">
      <x:c r="A549" s="5" t="s">
        <x:v>308</x:v>
      </x:c>
      <x:c r="B549" s="5" t="s">
        <x:v>309</x:v>
      </x:c>
      <x:c r="C549" s="6">
        <x:v>46252</x:v>
      </x:c>
      <x:c r="D549" s="5">
        <x:v>2026</x:v>
      </x:c>
      <x:c r="E549" s="5" t="s">
        <x:v>424</x:v>
      </x:c>
      <x:c r="F549" s="5" t="s">
        <x:v>0</x:v>
      </x:c>
      <x:c r="G549" s="5" t="s">
        <x:v>337</x:v>
      </x:c>
      <x:c r="H549" s="8">
        <x:v>3900</x:v>
      </x:c>
      <x:c r="I549" s="8"/>
      <x:c r="J549" s="5" t="s">
        <x:v>593</x:v>
      </x:c>
      <x:c r="K549" s="7">
        <x:v>0.06</x:v>
      </x:c>
      <x:c r="L549" s="9">
        <x:f t="shared" si="16"/>
        <x:v>0.06</x:v>
      </x:c>
      <x:c r="M549" s="8"/>
      <x:c r="N549" s="8"/>
      <x:c r="O549" s="7"/>
      <x:c r="P549" s="9" t="str">
        <x:f t="shared" si="17"/>
      </x:c>
      <x:c r="Q549" s="10" t="s">
        <x:v>310</x:v>
      </x:c>
      <x:c r="R549" s="5" t="s">
        <x:v>594</x:v>
      </x:c>
      <x:c r="S549" s="5" t="s">
        <x:v>558</x:v>
      </x:c>
      <x:c r="T549" s="5" t="s">
        <x:v>595</x:v>
      </x:c>
      <x:c r="U549" s="151"/>
      <x:c r="V549" s="151"/>
      <x:c r="W549" s="151"/>
      <x:c r="X549" s="151"/>
      <x:c r="Y549" s="151"/>
      <x:c r="Z549" s="151"/>
    </x:row>
    <x:row r="550" ht="22" customHeight="1">
      <x:c r="A550" s="5" t="s">
        <x:v>308</x:v>
      </x:c>
      <x:c r="B550" s="5" t="s">
        <x:v>309</x:v>
      </x:c>
      <x:c r="C550" s="6">
        <x:v>46252</x:v>
      </x:c>
      <x:c r="D550" s="5">
        <x:v>2026</x:v>
      </x:c>
      <x:c r="E550" s="5" t="s">
        <x:v>389</x:v>
      </x:c>
      <x:c r="F550" s="5" t="s">
        <x:v>0</x:v>
      </x:c>
      <x:c r="G550" s="5" t="s">
        <x:v>337</x:v>
      </x:c>
      <x:c r="H550" s="8">
        <x:v>1700</x:v>
      </x:c>
      <x:c r="I550" s="8"/>
      <x:c r="J550" s="5" t="s">
        <x:v>593</x:v>
      </x:c>
      <x:c r="K550" s="7">
        <x:v>2.5399999999999999E-2</x:v>
      </x:c>
      <x:c r="L550" s="9">
        <x:f t="shared" si="16"/>
        <x:v>2.5399999999999999E-2</x:v>
      </x:c>
      <x:c r="M550" s="8"/>
      <x:c r="N550" s="8"/>
      <x:c r="O550" s="7"/>
      <x:c r="P550" s="9" t="str">
        <x:f t="shared" si="17"/>
      </x:c>
      <x:c r="Q550" s="10" t="s">
        <x:v>310</x:v>
      </x:c>
      <x:c r="R550" s="5" t="s">
        <x:v>594</x:v>
      </x:c>
      <x:c r="S550" s="5" t="s">
        <x:v>558</x:v>
      </x:c>
      <x:c r="T550" s="5" t="s">
        <x:v>595</x:v>
      </x:c>
      <x:c r="U550" s="151"/>
      <x:c r="V550" s="151"/>
      <x:c r="W550" s="151"/>
      <x:c r="X550" s="151"/>
      <x:c r="Y550" s="151"/>
      <x:c r="Z550" s="151"/>
    </x:row>
    <x:row r="551" ht="22" customHeight="1">
      <x:c r="A551" s="5" t="s">
        <x:v>308</x:v>
      </x:c>
      <x:c r="B551" s="5" t="s">
        <x:v>309</x:v>
      </x:c>
      <x:c r="C551" s="6">
        <x:v>46252</x:v>
      </x:c>
      <x:c r="D551" s="5">
        <x:v>2026</x:v>
      </x:c>
      <x:c r="E551" s="5" t="s">
        <x:v>431</x:v>
      </x:c>
      <x:c r="F551" s="5" t="s">
        <x:v>0</x:v>
      </x:c>
      <x:c r="G551" s="5" t="s">
        <x:v>337</x:v>
      </x:c>
      <x:c r="H551" s="8">
        <x:v>1400</x:v>
      </x:c>
      <x:c r="I551" s="8"/>
      <x:c r="J551" s="5" t="s">
        <x:v>593</x:v>
      </x:c>
      <x:c r="K551" s="7">
        <x:v>2.1700000000000001E-2</x:v>
      </x:c>
      <x:c r="L551" s="9">
        <x:f t="shared" si="16"/>
        <x:v>2.1700000000000001E-2</x:v>
      </x:c>
      <x:c r="M551" s="8"/>
      <x:c r="N551" s="8"/>
      <x:c r="O551" s="7"/>
      <x:c r="P551" s="9" t="str">
        <x:f t="shared" si="17"/>
      </x:c>
      <x:c r="Q551" s="10" t="s">
        <x:v>310</x:v>
      </x:c>
      <x:c r="R551" s="5" t="s">
        <x:v>594</x:v>
      </x:c>
      <x:c r="S551" s="5" t="s">
        <x:v>558</x:v>
      </x:c>
      <x:c r="T551" s="5" t="s">
        <x:v>595</x:v>
      </x:c>
      <x:c r="U551" s="151"/>
      <x:c r="V551" s="151"/>
      <x:c r="W551" s="151"/>
      <x:c r="X551" s="151"/>
      <x:c r="Y551" s="151"/>
      <x:c r="Z551" s="151"/>
    </x:row>
    <x:row r="552" ht="22" customHeight="1">
      <x:c r="A552" s="5" t="s">
        <x:v>308</x:v>
      </x:c>
      <x:c r="B552" s="5" t="s">
        <x:v>309</x:v>
      </x:c>
      <x:c r="C552" s="6">
        <x:v>46252</x:v>
      </x:c>
      <x:c r="D552" s="5">
        <x:v>2026</x:v>
      </x:c>
      <x:c r="E552" s="5" t="s">
        <x:v>379</x:v>
      </x:c>
      <x:c r="F552" s="5" t="s">
        <x:v>0</x:v>
      </x:c>
      <x:c r="G552" s="5" t="s">
        <x:v>337</x:v>
      </x:c>
      <x:c r="H552" s="8">
        <x:v>868</x:v>
      </x:c>
      <x:c r="I552" s="8"/>
      <x:c r="J552" s="5" t="s">
        <x:v>593</x:v>
      </x:c>
      <x:c r="K552" s="7">
        <x:v>1.32E-2</x:v>
      </x:c>
      <x:c r="L552" s="9">
        <x:f t="shared" si="16"/>
        <x:v>1.32E-2</x:v>
      </x:c>
      <x:c r="M552" s="8"/>
      <x:c r="N552" s="8"/>
      <x:c r="O552" s="7"/>
      <x:c r="P552" s="9" t="str">
        <x:f t="shared" si="17"/>
      </x:c>
      <x:c r="Q552" s="10" t="s">
        <x:v>310</x:v>
      </x:c>
      <x:c r="R552" s="5" t="s">
        <x:v>594</x:v>
      </x:c>
      <x:c r="S552" s="5" t="s">
        <x:v>558</x:v>
      </x:c>
      <x:c r="T552" s="5" t="s">
        <x:v>595</x:v>
      </x:c>
      <x:c r="U552" s="151"/>
      <x:c r="V552" s="151"/>
      <x:c r="W552" s="151"/>
      <x:c r="X552" s="151"/>
      <x:c r="Y552" s="151"/>
      <x:c r="Z552" s="151"/>
    </x:row>
    <x:row r="553" ht="22" customHeight="1">
      <x:c r="A553" s="5" t="s">
        <x:v>308</x:v>
      </x:c>
      <x:c r="B553" s="5" t="s">
        <x:v>309</x:v>
      </x:c>
      <x:c r="C553" s="6">
        <x:v>46252</x:v>
      </x:c>
      <x:c r="D553" s="5">
        <x:v>2026</x:v>
      </x:c>
      <x:c r="E553" s="5" t="s">
        <x:v>460</x:v>
      </x:c>
      <x:c r="F553" s="5" t="s">
        <x:v>0</x:v>
      </x:c>
      <x:c r="G553" s="5" t="s">
        <x:v>337</x:v>
      </x:c>
      <x:c r="H553" s="8">
        <x:v>703</x:v>
      </x:c>
      <x:c r="I553" s="8"/>
      <x:c r="J553" s="5" t="s">
        <x:v>593</x:v>
      </x:c>
      <x:c r="K553" s="7">
        <x:v>1.0700000000000001E-2</x:v>
      </x:c>
      <x:c r="L553" s="9">
        <x:f t="shared" si="16"/>
        <x:v>1.0700000000000001E-2</x:v>
      </x:c>
      <x:c r="M553" s="8"/>
      <x:c r="N553" s="8"/>
      <x:c r="O553" s="7"/>
      <x:c r="P553" s="9" t="str">
        <x:f t="shared" si="17"/>
      </x:c>
      <x:c r="Q553" s="10" t="s">
        <x:v>310</x:v>
      </x:c>
      <x:c r="R553" s="5" t="s">
        <x:v>594</x:v>
      </x:c>
      <x:c r="S553" s="5" t="s">
        <x:v>558</x:v>
      </x:c>
      <x:c r="T553" s="5" t="s">
        <x:v>595</x:v>
      </x:c>
      <x:c r="U553" s="151"/>
      <x:c r="V553" s="151"/>
      <x:c r="W553" s="151"/>
      <x:c r="X553" s="151"/>
      <x:c r="Y553" s="151"/>
      <x:c r="Z553" s="151"/>
    </x:row>
    <x:row r="554" ht="22" customHeight="1">
      <x:c r="A554" s="5" t="s">
        <x:v>308</x:v>
      </x:c>
      <x:c r="B554" s="5" t="s">
        <x:v>309</x:v>
      </x:c>
      <x:c r="C554" s="6">
        <x:v>46252</x:v>
      </x:c>
      <x:c r="D554" s="5">
        <x:v>2026</x:v>
      </x:c>
      <x:c r="E554" s="5" t="s">
        <x:v>362</x:v>
      </x:c>
      <x:c r="F554" s="5" t="s">
        <x:v>0</x:v>
      </x:c>
      <x:c r="G554" s="5" t="s">
        <x:v>337</x:v>
      </x:c>
      <x:c r="H554" s="8">
        <x:v>662</x:v>
      </x:c>
      <x:c r="I554" s="8"/>
      <x:c r="J554" s="5" t="s">
        <x:v>593</x:v>
      </x:c>
      <x:c r="K554" s="7">
        <x:v>1.01E-2</x:v>
      </x:c>
      <x:c r="L554" s="9">
        <x:f t="shared" si="16"/>
        <x:v>1.01E-2</x:v>
      </x:c>
      <x:c r="M554" s="8"/>
      <x:c r="N554" s="8"/>
      <x:c r="O554" s="7"/>
      <x:c r="P554" s="9" t="str">
        <x:f t="shared" si="17"/>
      </x:c>
      <x:c r="Q554" s="10" t="s">
        <x:v>310</x:v>
      </x:c>
      <x:c r="R554" s="5" t="s">
        <x:v>594</x:v>
      </x:c>
      <x:c r="S554" s="5" t="s">
        <x:v>558</x:v>
      </x:c>
      <x:c r="T554" s="5" t="s">
        <x:v>595</x:v>
      </x:c>
      <x:c r="U554" s="151"/>
      <x:c r="V554" s="151"/>
      <x:c r="W554" s="151"/>
      <x:c r="X554" s="151"/>
      <x:c r="Y554" s="151"/>
      <x:c r="Z554" s="151"/>
    </x:row>
    <x:row r="555" ht="22" customHeight="1">
      <x:c r="A555" s="5" t="s">
        <x:v>308</x:v>
      </x:c>
      <x:c r="B555" s="5" t="s">
        <x:v>309</x:v>
      </x:c>
      <x:c r="C555" s="6">
        <x:v>46252</x:v>
      </x:c>
      <x:c r="D555" s="5">
        <x:v>2026</x:v>
      </x:c>
      <x:c r="E555" s="5" t="s">
        <x:v>361</x:v>
      </x:c>
      <x:c r="F555" s="5" t="s">
        <x:v>0</x:v>
      </x:c>
      <x:c r="G555" s="5" t="s">
        <x:v>337</x:v>
      </x:c>
      <x:c r="H555" s="8">
        <x:v>657</x:v>
      </x:c>
      <x:c r="I555" s="8"/>
      <x:c r="J555" s="5" t="s">
        <x:v>593</x:v>
      </x:c>
      <x:c r="K555" s="7">
        <x:v>0.01</x:v>
      </x:c>
      <x:c r="L555" s="9">
        <x:f t="shared" si="16"/>
        <x:v>0.01</x:v>
      </x:c>
      <x:c r="M555" s="8"/>
      <x:c r="N555" s="8"/>
      <x:c r="O555" s="7"/>
      <x:c r="P555" s="9" t="str">
        <x:f t="shared" si="17"/>
      </x:c>
      <x:c r="Q555" s="10" t="s">
        <x:v>310</x:v>
      </x:c>
      <x:c r="R555" s="5" t="s">
        <x:v>594</x:v>
      </x:c>
      <x:c r="S555" s="5" t="s">
        <x:v>558</x:v>
      </x:c>
      <x:c r="T555" s="5" t="s">
        <x:v>595</x:v>
      </x:c>
      <x:c r="U555" s="151"/>
      <x:c r="V555" s="151"/>
      <x:c r="W555" s="151"/>
      <x:c r="X555" s="151"/>
      <x:c r="Y555" s="151"/>
      <x:c r="Z555" s="151"/>
    </x:row>
    <x:row r="556" ht="22" customHeight="1">
      <x:c r="A556" s="5" t="s">
        <x:v>308</x:v>
      </x:c>
      <x:c r="B556" s="5" t="s">
        <x:v>309</x:v>
      </x:c>
      <x:c r="C556" s="6">
        <x:v>46252</x:v>
      </x:c>
      <x:c r="D556" s="5">
        <x:v>2026</x:v>
      </x:c>
      <x:c r="E556" s="5" t="s">
        <x:v>471</x:v>
      </x:c>
      <x:c r="F556" s="5" t="s">
        <x:v>0</x:v>
      </x:c>
      <x:c r="G556" s="5" t="s">
        <x:v>337</x:v>
      </x:c>
      <x:c r="H556" s="8">
        <x:v>302</x:v>
      </x:c>
      <x:c r="I556" s="8"/>
      <x:c r="J556" s="5" t="s">
        <x:v>593</x:v>
      </x:c>
      <x:c r="K556" s="7">
        <x:v>4.5999999999999999E-3</x:v>
      </x:c>
      <x:c r="L556" s="9">
        <x:f t="shared" si="16"/>
        <x:v>4.5999999999999999E-3</x:v>
      </x:c>
      <x:c r="M556" s="8"/>
      <x:c r="N556" s="8"/>
      <x:c r="O556" s="7"/>
      <x:c r="P556" s="9" t="str">
        <x:f t="shared" si="17"/>
      </x:c>
      <x:c r="Q556" s="10" t="s">
        <x:v>310</x:v>
      </x:c>
      <x:c r="R556" s="5" t="s">
        <x:v>594</x:v>
      </x:c>
      <x:c r="S556" s="5" t="s">
        <x:v>558</x:v>
      </x:c>
      <x:c r="T556" s="5" t="s">
        <x:v>595</x:v>
      </x:c>
      <x:c r="U556" s="151"/>
      <x:c r="V556" s="151"/>
      <x:c r="W556" s="151"/>
      <x:c r="X556" s="151"/>
      <x:c r="Y556" s="151"/>
      <x:c r="Z556" s="151"/>
    </x:row>
    <x:row r="557" ht="22" customHeight="1">
      <x:c r="A557" s="5" t="s">
        <x:v>308</x:v>
      </x:c>
      <x:c r="B557" s="5" t="s">
        <x:v>309</x:v>
      </x:c>
      <x:c r="C557" s="6">
        <x:v>46252</x:v>
      </x:c>
      <x:c r="D557" s="5">
        <x:v>2026</x:v>
      </x:c>
      <x:c r="E557" s="5" t="s">
        <x:v>453</x:v>
      </x:c>
      <x:c r="F557" s="5" t="s">
        <x:v>0</x:v>
      </x:c>
      <x:c r="G557" s="5" t="s">
        <x:v>337</x:v>
      </x:c>
      <x:c r="H557" s="8">
        <x:v>285</x:v>
      </x:c>
      <x:c r="I557" s="8"/>
      <x:c r="J557" s="5" t="s">
        <x:v>593</x:v>
      </x:c>
      <x:c r="K557" s="7">
        <x:v>4.3E-3</x:v>
      </x:c>
      <x:c r="L557" s="9">
        <x:f t="shared" si="16"/>
        <x:v>4.3E-3</x:v>
      </x:c>
      <x:c r="M557" s="8"/>
      <x:c r="N557" s="8"/>
      <x:c r="O557" s="7"/>
      <x:c r="P557" s="9" t="str">
        <x:f t="shared" si="17"/>
      </x:c>
      <x:c r="Q557" s="10" t="s">
        <x:v>310</x:v>
      </x:c>
      <x:c r="R557" s="5" t="s">
        <x:v>594</x:v>
      </x:c>
      <x:c r="S557" s="5" t="s">
        <x:v>558</x:v>
      </x:c>
      <x:c r="T557" s="5" t="s">
        <x:v>595</x:v>
      </x:c>
      <x:c r="U557" s="151"/>
      <x:c r="V557" s="151"/>
      <x:c r="W557" s="151"/>
      <x:c r="X557" s="151"/>
      <x:c r="Y557" s="151"/>
      <x:c r="Z557" s="151"/>
    </x:row>
    <x:row r="558" ht="22" customHeight="1">
      <x:c r="A558" s="5" t="s">
        <x:v>308</x:v>
      </x:c>
      <x:c r="B558" s="5" t="s">
        <x:v>309</x:v>
      </x:c>
      <x:c r="C558" s="6">
        <x:v>46252</x:v>
      </x:c>
      <x:c r="D558" s="5">
        <x:v>2026</x:v>
      </x:c>
      <x:c r="E558" s="5" t="s">
        <x:v>596</x:v>
      </x:c>
      <x:c r="F558" s="5" t="s">
        <x:v>0</x:v>
      </x:c>
      <x:c r="G558" s="5" t="s">
        <x:v>337</x:v>
      </x:c>
      <x:c r="H558" s="8">
        <x:v>259</x:v>
      </x:c>
      <x:c r="I558" s="8"/>
      <x:c r="J558" s="5" t="s">
        <x:v>593</x:v>
      </x:c>
      <x:c r="K558" s="7">
        <x:v>3.9000000000000003E-3</x:v>
      </x:c>
      <x:c r="L558" s="9">
        <x:f t="shared" si="16"/>
        <x:v>3.9000000000000003E-3</x:v>
      </x:c>
      <x:c r="M558" s="8"/>
      <x:c r="N558" s="8"/>
      <x:c r="O558" s="7"/>
      <x:c r="P558" s="9" t="str">
        <x:f t="shared" si="17"/>
      </x:c>
      <x:c r="Q558" s="10" t="s">
        <x:v>310</x:v>
      </x:c>
      <x:c r="R558" s="5" t="s">
        <x:v>594</x:v>
      </x:c>
      <x:c r="S558" s="5" t="s">
        <x:v>558</x:v>
      </x:c>
      <x:c r="T558" s="5" t="s">
        <x:v>595</x:v>
      </x:c>
      <x:c r="U558" s="151"/>
      <x:c r="V558" s="151"/>
      <x:c r="W558" s="151"/>
      <x:c r="X558" s="151"/>
      <x:c r="Y558" s="151"/>
      <x:c r="Z558" s="151"/>
    </x:row>
    <x:row r="559" ht="22" customHeight="1">
      <x:c r="A559" s="5" t="s">
        <x:v>308</x:v>
      </x:c>
      <x:c r="B559" s="5" t="s">
        <x:v>309</x:v>
      </x:c>
      <x:c r="C559" s="6">
        <x:v>46252</x:v>
      </x:c>
      <x:c r="D559" s="5">
        <x:v>2026</x:v>
      </x:c>
      <x:c r="E559" s="5" t="s">
        <x:v>461</x:v>
      </x:c>
      <x:c r="F559" s="5" t="s">
        <x:v>0</x:v>
      </x:c>
      <x:c r="G559" s="5" t="s">
        <x:v>337</x:v>
      </x:c>
      <x:c r="H559" s="8">
        <x:v>185</x:v>
      </x:c>
      <x:c r="I559" s="8"/>
      <x:c r="J559" s="5" t="s">
        <x:v>593</x:v>
      </x:c>
      <x:c r="K559" s="7">
        <x:v>2.8000000000000004E-3</x:v>
      </x:c>
      <x:c r="L559" s="9">
        <x:f t="shared" si="16"/>
        <x:v>2.8000000000000004E-3</x:v>
      </x:c>
      <x:c r="M559" s="8"/>
      <x:c r="N559" s="8"/>
      <x:c r="O559" s="7"/>
      <x:c r="P559" s="9" t="str">
        <x:f t="shared" si="17"/>
      </x:c>
      <x:c r="Q559" s="10" t="s">
        <x:v>310</x:v>
      </x:c>
      <x:c r="R559" s="5" t="s">
        <x:v>594</x:v>
      </x:c>
      <x:c r="S559" s="5" t="s">
        <x:v>558</x:v>
      </x:c>
      <x:c r="T559" s="5" t="s">
        <x:v>595</x:v>
      </x:c>
      <x:c r="U559" s="151"/>
      <x:c r="V559" s="151"/>
      <x:c r="W559" s="151"/>
      <x:c r="X559" s="151"/>
      <x:c r="Y559" s="151"/>
      <x:c r="Z559" s="151"/>
    </x:row>
    <x:row r="560" ht="22" customHeight="1">
      <x:c r="A560" s="5" t="s">
        <x:v>308</x:v>
      </x:c>
      <x:c r="B560" s="5" t="s">
        <x:v>309</x:v>
      </x:c>
      <x:c r="C560" s="6">
        <x:v>46252</x:v>
      </x:c>
      <x:c r="D560" s="5">
        <x:v>2026</x:v>
      </x:c>
      <x:c r="E560" s="5" t="s">
        <x:v>484</x:v>
      </x:c>
      <x:c r="F560" s="5" t="s">
        <x:v>0</x:v>
      </x:c>
      <x:c r="G560" s="5" t="s">
        <x:v>337</x:v>
      </x:c>
      <x:c r="H560" s="8">
        <x:v>167</x:v>
      </x:c>
      <x:c r="I560" s="8"/>
      <x:c r="J560" s="5" t="s">
        <x:v>593</x:v>
      </x:c>
      <x:c r="K560" s="7">
        <x:v>2.5000000000000001E-3</x:v>
      </x:c>
      <x:c r="L560" s="9">
        <x:f t="shared" si="16"/>
        <x:v>2.5000000000000001E-3</x:v>
      </x:c>
      <x:c r="M560" s="8"/>
      <x:c r="N560" s="8"/>
      <x:c r="O560" s="7"/>
      <x:c r="P560" s="9" t="str">
        <x:f t="shared" si="17"/>
      </x:c>
      <x:c r="Q560" s="10" t="s">
        <x:v>310</x:v>
      </x:c>
      <x:c r="R560" s="5" t="s">
        <x:v>594</x:v>
      </x:c>
      <x:c r="S560" s="5" t="s">
        <x:v>558</x:v>
      </x:c>
      <x:c r="T560" s="5" t="s">
        <x:v>595</x:v>
      </x:c>
      <x:c r="U560" s="151"/>
      <x:c r="V560" s="151"/>
      <x:c r="W560" s="151"/>
      <x:c r="X560" s="151"/>
      <x:c r="Y560" s="151"/>
      <x:c r="Z560" s="151"/>
    </x:row>
    <x:row r="561" ht="22" customHeight="1">
      <x:c r="A561" s="5" t="s">
        <x:v>308</x:v>
      </x:c>
      <x:c r="B561" s="5" t="s">
        <x:v>309</x:v>
      </x:c>
      <x:c r="C561" s="6">
        <x:v>46252</x:v>
      </x:c>
      <x:c r="D561" s="5">
        <x:v>2026</x:v>
      </x:c>
      <x:c r="E561" s="5" t="s">
        <x:v>508</x:v>
      </x:c>
      <x:c r="F561" s="5" t="s">
        <x:v>0</x:v>
      </x:c>
      <x:c r="G561" s="5" t="s">
        <x:v>337</x:v>
      </x:c>
      <x:c r="H561" s="8">
        <x:v>164</x:v>
      </x:c>
      <x:c r="I561" s="8"/>
      <x:c r="J561" s="5" t="s">
        <x:v>593</x:v>
      </x:c>
      <x:c r="K561" s="7">
        <x:v>2.5000000000000001E-3</x:v>
      </x:c>
      <x:c r="L561" s="9">
        <x:f t="shared" si="16"/>
        <x:v>2.5000000000000001E-3</x:v>
      </x:c>
      <x:c r="M561" s="8"/>
      <x:c r="N561" s="8"/>
      <x:c r="O561" s="7"/>
      <x:c r="P561" s="9" t="str">
        <x:f t="shared" si="17"/>
      </x:c>
      <x:c r="Q561" s="10" t="s">
        <x:v>310</x:v>
      </x:c>
      <x:c r="R561" s="5" t="s">
        <x:v>594</x:v>
      </x:c>
      <x:c r="S561" s="5" t="s">
        <x:v>558</x:v>
      </x:c>
      <x:c r="T561" s="5" t="s">
        <x:v>595</x:v>
      </x:c>
      <x:c r="U561" s="151"/>
      <x:c r="V561" s="151"/>
      <x:c r="W561" s="151"/>
      <x:c r="X561" s="151"/>
      <x:c r="Y561" s="151"/>
      <x:c r="Z561" s="151"/>
    </x:row>
    <x:row r="562" ht="22" customHeight="1">
      <x:c r="A562" s="5" t="s">
        <x:v>308</x:v>
      </x:c>
      <x:c r="B562" s="5" t="s">
        <x:v>309</x:v>
      </x:c>
      <x:c r="C562" s="6">
        <x:v>46252</x:v>
      </x:c>
      <x:c r="D562" s="5">
        <x:v>2026</x:v>
      </x:c>
      <x:c r="E562" s="5" t="s">
        <x:v>473</x:v>
      </x:c>
      <x:c r="F562" s="5" t="s">
        <x:v>0</x:v>
      </x:c>
      <x:c r="G562" s="5" t="s">
        <x:v>337</x:v>
      </x:c>
      <x:c r="H562" s="8">
        <x:v>159</x:v>
      </x:c>
      <x:c r="I562" s="8"/>
      <x:c r="J562" s="5" t="s">
        <x:v>593</x:v>
      </x:c>
      <x:c r="K562" s="7">
        <x:v>2.3999999999999998E-3</x:v>
      </x:c>
      <x:c r="L562" s="9">
        <x:f t="shared" si="16"/>
        <x:v>2.3999999999999998E-3</x:v>
      </x:c>
      <x:c r="M562" s="8"/>
      <x:c r="N562" s="8"/>
      <x:c r="O562" s="7"/>
      <x:c r="P562" s="9" t="str">
        <x:f t="shared" si="17"/>
      </x:c>
      <x:c r="Q562" s="10" t="s">
        <x:v>310</x:v>
      </x:c>
      <x:c r="R562" s="5" t="s">
        <x:v>594</x:v>
      </x:c>
      <x:c r="S562" s="5" t="s">
        <x:v>558</x:v>
      </x:c>
      <x:c r="T562" s="5" t="s">
        <x:v>595</x:v>
      </x:c>
      <x:c r="U562" s="151"/>
      <x:c r="V562" s="151"/>
      <x:c r="W562" s="151"/>
      <x:c r="X562" s="151"/>
      <x:c r="Y562" s="151"/>
      <x:c r="Z562" s="151"/>
    </x:row>
    <x:row r="563" ht="22" customHeight="1">
      <x:c r="A563" s="5" t="s">
        <x:v>308</x:v>
      </x:c>
      <x:c r="B563" s="5" t="s">
        <x:v>309</x:v>
      </x:c>
      <x:c r="C563" s="6">
        <x:v>46252</x:v>
      </x:c>
      <x:c r="D563" s="5">
        <x:v>2026</x:v>
      </x:c>
      <x:c r="E563" s="5" t="s">
        <x:v>451</x:v>
      </x:c>
      <x:c r="F563" s="5" t="s">
        <x:v>0</x:v>
      </x:c>
      <x:c r="G563" s="5" t="s">
        <x:v>337</x:v>
      </x:c>
      <x:c r="H563" s="8">
        <x:v>150</x:v>
      </x:c>
      <x:c r="I563" s="8"/>
      <x:c r="J563" s="5" t="s">
        <x:v>593</x:v>
      </x:c>
      <x:c r="K563" s="7">
        <x:v>2.3E-3</x:v>
      </x:c>
      <x:c r="L563" s="9">
        <x:f t="shared" si="16"/>
        <x:v>2.3E-3</x:v>
      </x:c>
      <x:c r="M563" s="8"/>
      <x:c r="N563" s="8"/>
      <x:c r="O563" s="7"/>
      <x:c r="P563" s="9" t="str">
        <x:f t="shared" si="17"/>
      </x:c>
      <x:c r="Q563" s="10" t="s">
        <x:v>310</x:v>
      </x:c>
      <x:c r="R563" s="5" t="s">
        <x:v>594</x:v>
      </x:c>
      <x:c r="S563" s="5" t="s">
        <x:v>558</x:v>
      </x:c>
      <x:c r="T563" s="5" t="s">
        <x:v>595</x:v>
      </x:c>
      <x:c r="U563" s="151"/>
      <x:c r="V563" s="151"/>
      <x:c r="W563" s="151"/>
      <x:c r="X563" s="151"/>
      <x:c r="Y563" s="151"/>
      <x:c r="Z563" s="151"/>
    </x:row>
    <x:row r="564" ht="22" customHeight="1">
      <x:c r="A564" s="5" t="s">
        <x:v>308</x:v>
      </x:c>
      <x:c r="B564" s="5" t="s">
        <x:v>309</x:v>
      </x:c>
      <x:c r="C564" s="6">
        <x:v>46252</x:v>
      </x:c>
      <x:c r="D564" s="5">
        <x:v>2026</x:v>
      </x:c>
      <x:c r="E564" s="5" t="s">
        <x:v>364</x:v>
      </x:c>
      <x:c r="F564" s="5" t="s">
        <x:v>0</x:v>
      </x:c>
      <x:c r="G564" s="5" t="s">
        <x:v>337</x:v>
      </x:c>
      <x:c r="H564" s="8">
        <x:v>128</x:v>
      </x:c>
      <x:c r="I564" s="8"/>
      <x:c r="J564" s="5" t="s">
        <x:v>593</x:v>
      </x:c>
      <x:c r="K564" s="7">
        <x:v>2E-3</x:v>
      </x:c>
      <x:c r="L564" s="9">
        <x:f t="shared" si="16"/>
        <x:v>2E-3</x:v>
      </x:c>
      <x:c r="M564" s="8"/>
      <x:c r="N564" s="8"/>
      <x:c r="O564" s="7"/>
      <x:c r="P564" s="9" t="str">
        <x:f t="shared" si="17"/>
      </x:c>
      <x:c r="Q564" s="10" t="s">
        <x:v>310</x:v>
      </x:c>
      <x:c r="R564" s="5" t="s">
        <x:v>594</x:v>
      </x:c>
      <x:c r="S564" s="5" t="s">
        <x:v>558</x:v>
      </x:c>
      <x:c r="T564" s="5" t="s">
        <x:v>595</x:v>
      </x:c>
      <x:c r="U564" s="151"/>
      <x:c r="V564" s="151"/>
      <x:c r="W564" s="151"/>
      <x:c r="X564" s="151"/>
      <x:c r="Y564" s="151"/>
      <x:c r="Z564" s="151"/>
    </x:row>
    <x:row r="565" ht="22" customHeight="1">
      <x:c r="A565" s="5" t="s">
        <x:v>308</x:v>
      </x:c>
      <x:c r="B565" s="5" t="s">
        <x:v>309</x:v>
      </x:c>
      <x:c r="C565" s="6">
        <x:v>46252</x:v>
      </x:c>
      <x:c r="D565" s="5">
        <x:v>2026</x:v>
      </x:c>
      <x:c r="E565" s="5" t="s">
        <x:v>505</x:v>
      </x:c>
      <x:c r="F565" s="5" t="s">
        <x:v>0</x:v>
      </x:c>
      <x:c r="G565" s="5" t="s">
        <x:v>337</x:v>
      </x:c>
      <x:c r="H565" s="8">
        <x:v>117</x:v>
      </x:c>
      <x:c r="I565" s="8"/>
      <x:c r="J565" s="5" t="s">
        <x:v>593</x:v>
      </x:c>
      <x:c r="K565" s="7">
        <x:v>1.8E-3</x:v>
      </x:c>
      <x:c r="L565" s="9">
        <x:f t="shared" si="16"/>
        <x:v>1.8E-3</x:v>
      </x:c>
      <x:c r="M565" s="8"/>
      <x:c r="N565" s="8"/>
      <x:c r="O565" s="7"/>
      <x:c r="P565" s="9" t="str">
        <x:f t="shared" si="17"/>
      </x:c>
      <x:c r="Q565" s="10" t="s">
        <x:v>310</x:v>
      </x:c>
      <x:c r="R565" s="5" t="s">
        <x:v>594</x:v>
      </x:c>
      <x:c r="S565" s="5" t="s">
        <x:v>558</x:v>
      </x:c>
      <x:c r="T565" s="5" t="s">
        <x:v>595</x:v>
      </x:c>
      <x:c r="U565" s="151"/>
      <x:c r="V565" s="151"/>
      <x:c r="W565" s="151"/>
      <x:c r="X565" s="151"/>
      <x:c r="Y565" s="151"/>
      <x:c r="Z565" s="151"/>
    </x:row>
    <x:row r="566" ht="22" customHeight="1">
      <x:c r="A566" s="5" t="s">
        <x:v>308</x:v>
      </x:c>
      <x:c r="B566" s="5" t="s">
        <x:v>309</x:v>
      </x:c>
      <x:c r="C566" s="6">
        <x:v>46252</x:v>
      </x:c>
      <x:c r="D566" s="5">
        <x:v>2026</x:v>
      </x:c>
      <x:c r="E566" s="5" t="s">
        <x:v>481</x:v>
      </x:c>
      <x:c r="F566" s="5" t="s">
        <x:v>0</x:v>
      </x:c>
      <x:c r="G566" s="5" t="s">
        <x:v>337</x:v>
      </x:c>
      <x:c r="H566" s="8">
        <x:v>117</x:v>
      </x:c>
      <x:c r="I566" s="8"/>
      <x:c r="J566" s="5" t="s">
        <x:v>593</x:v>
      </x:c>
      <x:c r="K566" s="7">
        <x:v>1.8E-3</x:v>
      </x:c>
      <x:c r="L566" s="9">
        <x:f t="shared" si="16"/>
        <x:v>1.8E-3</x:v>
      </x:c>
      <x:c r="M566" s="8"/>
      <x:c r="N566" s="8"/>
      <x:c r="O566" s="7"/>
      <x:c r="P566" s="9" t="str">
        <x:f t="shared" si="17"/>
      </x:c>
      <x:c r="Q566" s="10" t="s">
        <x:v>310</x:v>
      </x:c>
      <x:c r="R566" s="5" t="s">
        <x:v>594</x:v>
      </x:c>
      <x:c r="S566" s="5" t="s">
        <x:v>558</x:v>
      </x:c>
      <x:c r="T566" s="5" t="s">
        <x:v>595</x:v>
      </x:c>
      <x:c r="U566" s="151"/>
      <x:c r="V566" s="151"/>
      <x:c r="W566" s="151"/>
      <x:c r="X566" s="151"/>
      <x:c r="Y566" s="151"/>
      <x:c r="Z566" s="151"/>
    </x:row>
    <x:row r="567" ht="22" customHeight="1">
      <x:c r="A567" s="5" t="s">
        <x:v>308</x:v>
      </x:c>
      <x:c r="B567" s="5" t="s">
        <x:v>309</x:v>
      </x:c>
      <x:c r="C567" s="6">
        <x:v>46252</x:v>
      </x:c>
      <x:c r="D567" s="5">
        <x:v>2026</x:v>
      </x:c>
      <x:c r="E567" s="5" t="s">
        <x:v>514</x:v>
      </x:c>
      <x:c r="F567" s="5" t="s">
        <x:v>0</x:v>
      </x:c>
      <x:c r="G567" s="5" t="s">
        <x:v>337</x:v>
      </x:c>
      <x:c r="H567" s="8">
        <x:v>98</x:v>
      </x:c>
      <x:c r="I567" s="8"/>
      <x:c r="J567" s="5" t="s">
        <x:v>593</x:v>
      </x:c>
      <x:c r="K567" s="7">
        <x:v>1.5E-3</x:v>
      </x:c>
      <x:c r="L567" s="9">
        <x:f t="shared" si="16"/>
        <x:v>1.5E-3</x:v>
      </x:c>
      <x:c r="M567" s="8"/>
      <x:c r="N567" s="8"/>
      <x:c r="O567" s="7"/>
      <x:c r="P567" s="9" t="str">
        <x:f t="shared" si="17"/>
      </x:c>
      <x:c r="Q567" s="10" t="s">
        <x:v>310</x:v>
      </x:c>
      <x:c r="R567" s="5" t="s">
        <x:v>594</x:v>
      </x:c>
      <x:c r="S567" s="5" t="s">
        <x:v>558</x:v>
      </x:c>
      <x:c r="T567" s="5" t="s">
        <x:v>595</x:v>
      </x:c>
      <x:c r="U567" s="151"/>
      <x:c r="V567" s="151"/>
      <x:c r="W567" s="151"/>
      <x:c r="X567" s="151"/>
      <x:c r="Y567" s="151"/>
      <x:c r="Z567" s="151"/>
    </x:row>
    <x:row r="568" ht="22" customHeight="1">
      <x:c r="A568" s="5" t="s">
        <x:v>308</x:v>
      </x:c>
      <x:c r="B568" s="5" t="s">
        <x:v>309</x:v>
      </x:c>
      <x:c r="C568" s="6">
        <x:v>46252</x:v>
      </x:c>
      <x:c r="D568" s="5">
        <x:v>2026</x:v>
      </x:c>
      <x:c r="E568" s="5" t="s">
        <x:v>433</x:v>
      </x:c>
      <x:c r="F568" s="5" t="s">
        <x:v>0</x:v>
      </x:c>
      <x:c r="G568" s="5" t="s">
        <x:v>337</x:v>
      </x:c>
      <x:c r="H568" s="8">
        <x:v>80</x:v>
      </x:c>
      <x:c r="I568" s="8"/>
      <x:c r="J568" s="5" t="s">
        <x:v>593</x:v>
      </x:c>
      <x:c r="K568" s="7">
        <x:v>1.1999999999999999E-3</x:v>
      </x:c>
      <x:c r="L568" s="9">
        <x:f t="shared" si="16"/>
        <x:v>1.1999999999999999E-3</x:v>
      </x:c>
      <x:c r="M568" s="8"/>
      <x:c r="N568" s="8"/>
      <x:c r="O568" s="7"/>
      <x:c r="P568" s="9" t="str">
        <x:f t="shared" si="17"/>
      </x:c>
      <x:c r="Q568" s="10" t="s">
        <x:v>310</x:v>
      </x:c>
      <x:c r="R568" s="5" t="s">
        <x:v>594</x:v>
      </x:c>
      <x:c r="S568" s="5" t="s">
        <x:v>558</x:v>
      </x:c>
      <x:c r="T568" s="5" t="s">
        <x:v>595</x:v>
      </x:c>
      <x:c r="U568" s="151"/>
      <x:c r="V568" s="151"/>
      <x:c r="W568" s="151"/>
      <x:c r="X568" s="151"/>
      <x:c r="Y568" s="151"/>
      <x:c r="Z568" s="151"/>
    </x:row>
    <x:row r="569" ht="22" customHeight="1">
      <x:c r="A569" s="5" t="s">
        <x:v>308</x:v>
      </x:c>
      <x:c r="B569" s="5" t="s">
        <x:v>309</x:v>
      </x:c>
      <x:c r="C569" s="6">
        <x:v>46252</x:v>
      </x:c>
      <x:c r="D569" s="5">
        <x:v>2026</x:v>
      </x:c>
      <x:c r="E569" s="5" t="s">
        <x:v>435</x:v>
      </x:c>
      <x:c r="F569" s="5" t="s">
        <x:v>0</x:v>
      </x:c>
      <x:c r="G569" s="5" t="s">
        <x:v>337</x:v>
      </x:c>
      <x:c r="H569" s="8">
        <x:v>76</x:v>
      </x:c>
      <x:c r="I569" s="8"/>
      <x:c r="J569" s="5" t="s">
        <x:v>593</x:v>
      </x:c>
      <x:c r="K569" s="7">
        <x:v>1.1999999999999999E-3</x:v>
      </x:c>
      <x:c r="L569" s="9">
        <x:f t="shared" si="16"/>
        <x:v>1.1999999999999999E-3</x:v>
      </x:c>
      <x:c r="M569" s="8"/>
      <x:c r="N569" s="8"/>
      <x:c r="O569" s="7"/>
      <x:c r="P569" s="9" t="str">
        <x:f t="shared" si="17"/>
      </x:c>
      <x:c r="Q569" s="10" t="s">
        <x:v>310</x:v>
      </x:c>
      <x:c r="R569" s="5" t="s">
        <x:v>594</x:v>
      </x:c>
      <x:c r="S569" s="5" t="s">
        <x:v>558</x:v>
      </x:c>
      <x:c r="T569" s="5" t="s">
        <x:v>595</x:v>
      </x:c>
      <x:c r="U569" s="151"/>
      <x:c r="V569" s="151"/>
      <x:c r="W569" s="151"/>
      <x:c r="X569" s="151"/>
      <x:c r="Y569" s="151"/>
      <x:c r="Z569" s="151"/>
    </x:row>
    <x:row r="570" ht="22" customHeight="1">
      <x:c r="A570" s="5" t="s">
        <x:v>308</x:v>
      </x:c>
      <x:c r="B570" s="5" t="s">
        <x:v>309</x:v>
      </x:c>
      <x:c r="C570" s="6">
        <x:v>46252</x:v>
      </x:c>
      <x:c r="D570" s="5">
        <x:v>2026</x:v>
      </x:c>
      <x:c r="E570" s="5" t="s">
        <x:v>494</x:v>
      </x:c>
      <x:c r="F570" s="5" t="s">
        <x:v>0</x:v>
      </x:c>
      <x:c r="G570" s="5" t="s">
        <x:v>337</x:v>
      </x:c>
      <x:c r="H570" s="8">
        <x:v>64</x:v>
      </x:c>
      <x:c r="I570" s="8"/>
      <x:c r="J570" s="5" t="s">
        <x:v>593</x:v>
      </x:c>
      <x:c r="K570" s="7">
        <x:v>1E-3</x:v>
      </x:c>
      <x:c r="L570" s="9">
        <x:f t="shared" si="16"/>
        <x:v>1E-3</x:v>
      </x:c>
      <x:c r="M570" s="8"/>
      <x:c r="N570" s="8"/>
      <x:c r="O570" s="7"/>
      <x:c r="P570" s="9" t="str">
        <x:f t="shared" si="17"/>
      </x:c>
      <x:c r="Q570" s="10" t="s">
        <x:v>310</x:v>
      </x:c>
      <x:c r="R570" s="5" t="s">
        <x:v>594</x:v>
      </x:c>
      <x:c r="S570" s="5" t="s">
        <x:v>558</x:v>
      </x:c>
      <x:c r="T570" s="5" t="s">
        <x:v>595</x:v>
      </x:c>
      <x:c r="U570" s="151"/>
      <x:c r="V570" s="151"/>
      <x:c r="W570" s="151"/>
      <x:c r="X570" s="151"/>
      <x:c r="Y570" s="151"/>
      <x:c r="Z570" s="151"/>
    </x:row>
    <x:row r="571" ht="22" customHeight="1">
      <x:c r="A571" s="5" t="s">
        <x:v>308</x:v>
      </x:c>
      <x:c r="B571" s="5" t="s">
        <x:v>309</x:v>
      </x:c>
      <x:c r="C571" s="6">
        <x:v>46252</x:v>
      </x:c>
      <x:c r="D571" s="5">
        <x:v>2026</x:v>
      </x:c>
      <x:c r="E571" s="5" t="s">
        <x:v>374</x:v>
      </x:c>
      <x:c r="F571" s="5" t="s">
        <x:v>0</x:v>
      </x:c>
      <x:c r="G571" s="5" t="s">
        <x:v>337</x:v>
      </x:c>
      <x:c r="H571" s="8">
        <x:v>60</x:v>
      </x:c>
      <x:c r="I571" s="8"/>
      <x:c r="J571" s="5" t="s">
        <x:v>593</x:v>
      </x:c>
      <x:c r="K571" s="7">
        <x:v>8.9999999999999998E-4</x:v>
      </x:c>
      <x:c r="L571" s="9">
        <x:f t="shared" si="16"/>
        <x:v>8.9999999999999998E-4</x:v>
      </x:c>
      <x:c r="M571" s="8"/>
      <x:c r="N571" s="8"/>
      <x:c r="O571" s="7"/>
      <x:c r="P571" s="9" t="str">
        <x:f t="shared" si="17"/>
      </x:c>
      <x:c r="Q571" s="10" t="s">
        <x:v>310</x:v>
      </x:c>
      <x:c r="R571" s="5" t="s">
        <x:v>594</x:v>
      </x:c>
      <x:c r="S571" s="5" t="s">
        <x:v>558</x:v>
      </x:c>
      <x:c r="T571" s="5" t="s">
        <x:v>595</x:v>
      </x:c>
      <x:c r="U571" s="151"/>
      <x:c r="V571" s="151"/>
      <x:c r="W571" s="151"/>
      <x:c r="X571" s="151"/>
      <x:c r="Y571" s="151"/>
      <x:c r="Z571" s="151"/>
    </x:row>
    <x:row r="572" ht="22" customHeight="1">
      <x:c r="A572" s="5" t="s">
        <x:v>308</x:v>
      </x:c>
      <x:c r="B572" s="5" t="s">
        <x:v>309</x:v>
      </x:c>
      <x:c r="C572" s="6">
        <x:v>46252</x:v>
      </x:c>
      <x:c r="D572" s="5">
        <x:v>2026</x:v>
      </x:c>
      <x:c r="E572" s="5" t="s">
        <x:v>500</x:v>
      </x:c>
      <x:c r="F572" s="5" t="s">
        <x:v>0</x:v>
      </x:c>
      <x:c r="G572" s="5" t="s">
        <x:v>337</x:v>
      </x:c>
      <x:c r="H572" s="8">
        <x:v>56</x:v>
      </x:c>
      <x:c r="I572" s="8"/>
      <x:c r="J572" s="5" t="s">
        <x:v>593</x:v>
      </x:c>
      <x:c r="K572" s="7">
        <x:v>8.9999999999999998E-4</x:v>
      </x:c>
      <x:c r="L572" s="9">
        <x:f t="shared" si="16"/>
        <x:v>8.9999999999999998E-4</x:v>
      </x:c>
      <x:c r="M572" s="8"/>
      <x:c r="N572" s="8"/>
      <x:c r="O572" s="7"/>
      <x:c r="P572" s="9" t="str">
        <x:f t="shared" si="17"/>
      </x:c>
      <x:c r="Q572" s="10" t="s">
        <x:v>310</x:v>
      </x:c>
      <x:c r="R572" s="5" t="s">
        <x:v>594</x:v>
      </x:c>
      <x:c r="S572" s="5" t="s">
        <x:v>558</x:v>
      </x:c>
      <x:c r="T572" s="5" t="s">
        <x:v>595</x:v>
      </x:c>
      <x:c r="U572" s="151"/>
      <x:c r="V572" s="151"/>
      <x:c r="W572" s="151"/>
      <x:c r="X572" s="151"/>
      <x:c r="Y572" s="151"/>
      <x:c r="Z572" s="151"/>
    </x:row>
    <x:row r="573" ht="22" customHeight="1">
      <x:c r="A573" s="5" t="s">
        <x:v>308</x:v>
      </x:c>
      <x:c r="B573" s="5" t="s">
        <x:v>309</x:v>
      </x:c>
      <x:c r="C573" s="6">
        <x:v>46252</x:v>
      </x:c>
      <x:c r="D573" s="5">
        <x:v>2026</x:v>
      </x:c>
      <x:c r="E573" s="5" t="s">
        <x:v>447</x:v>
      </x:c>
      <x:c r="F573" s="5" t="s">
        <x:v>0</x:v>
      </x:c>
      <x:c r="G573" s="5" t="s">
        <x:v>337</x:v>
      </x:c>
      <x:c r="H573" s="8">
        <x:v>51</x:v>
      </x:c>
      <x:c r="I573" s="8"/>
      <x:c r="J573" s="5" t="s">
        <x:v>593</x:v>
      </x:c>
      <x:c r="K573" s="7">
        <x:v>8.0000000000000004E-4</x:v>
      </x:c>
      <x:c r="L573" s="9">
        <x:f t="shared" si="16"/>
        <x:v>8.0000000000000004E-4</x:v>
      </x:c>
      <x:c r="M573" s="8"/>
      <x:c r="N573" s="8"/>
      <x:c r="O573" s="7"/>
      <x:c r="P573" s="9" t="str">
        <x:f t="shared" si="17"/>
      </x:c>
      <x:c r="Q573" s="10" t="s">
        <x:v>310</x:v>
      </x:c>
      <x:c r="R573" s="5" t="s">
        <x:v>594</x:v>
      </x:c>
      <x:c r="S573" s="5" t="s">
        <x:v>558</x:v>
      </x:c>
      <x:c r="T573" s="5" t="s">
        <x:v>595</x:v>
      </x:c>
      <x:c r="U573" s="151"/>
      <x:c r="V573" s="151"/>
      <x:c r="W573" s="151"/>
      <x:c r="X573" s="151"/>
      <x:c r="Y573" s="151"/>
      <x:c r="Z573" s="151"/>
    </x:row>
    <x:row r="574" ht="22" customHeight="1">
      <x:c r="A574" s="5" t="s">
        <x:v>308</x:v>
      </x:c>
      <x:c r="B574" s="5" t="s">
        <x:v>309</x:v>
      </x:c>
      <x:c r="C574" s="6">
        <x:v>46252</x:v>
      </x:c>
      <x:c r="D574" s="5">
        <x:v>2026</x:v>
      </x:c>
      <x:c r="E574" s="5" t="s">
        <x:v>501</x:v>
      </x:c>
      <x:c r="F574" s="5" t="s">
        <x:v>0</x:v>
      </x:c>
      <x:c r="G574" s="5" t="s">
        <x:v>337</x:v>
      </x:c>
      <x:c r="H574" s="8">
        <x:v>42</x:v>
      </x:c>
      <x:c r="I574" s="8"/>
      <x:c r="J574" s="5" t="s">
        <x:v>593</x:v>
      </x:c>
      <x:c r="K574" s="7">
        <x:v>5.9999999999999995E-4</x:v>
      </x:c>
      <x:c r="L574" s="9">
        <x:f t="shared" si="16"/>
        <x:v>5.9999999999999995E-4</x:v>
      </x:c>
      <x:c r="M574" s="8"/>
      <x:c r="N574" s="8"/>
      <x:c r="O574" s="7"/>
      <x:c r="P574" s="9" t="str">
        <x:f t="shared" si="17"/>
      </x:c>
      <x:c r="Q574" s="10" t="s">
        <x:v>310</x:v>
      </x:c>
      <x:c r="R574" s="5" t="s">
        <x:v>594</x:v>
      </x:c>
      <x:c r="S574" s="5" t="s">
        <x:v>558</x:v>
      </x:c>
      <x:c r="T574" s="5" t="s">
        <x:v>595</x:v>
      </x:c>
      <x:c r="U574" s="151"/>
      <x:c r="V574" s="151"/>
      <x:c r="W574" s="151"/>
      <x:c r="X574" s="151"/>
      <x:c r="Y574" s="151"/>
      <x:c r="Z574" s="151"/>
    </x:row>
    <x:row r="575" ht="22" customHeight="1">
      <x:c r="A575" s="5" t="s">
        <x:v>308</x:v>
      </x:c>
      <x:c r="B575" s="5" t="s">
        <x:v>309</x:v>
      </x:c>
      <x:c r="C575" s="6">
        <x:v>46252</x:v>
      </x:c>
      <x:c r="D575" s="5">
        <x:v>2026</x:v>
      </x:c>
      <x:c r="E575" s="5" t="s">
        <x:v>523</x:v>
      </x:c>
      <x:c r="F575" s="5" t="s">
        <x:v>0</x:v>
      </x:c>
      <x:c r="G575" s="5" t="s">
        <x:v>337</x:v>
      </x:c>
      <x:c r="H575" s="8">
        <x:v>36</x:v>
      </x:c>
      <x:c r="I575" s="8"/>
      <x:c r="J575" s="5" t="s">
        <x:v>593</x:v>
      </x:c>
      <x:c r="K575" s="7">
        <x:v>5.0000000000000001E-4</x:v>
      </x:c>
      <x:c r="L575" s="9">
        <x:f t="shared" si="16"/>
        <x:v>5.0000000000000001E-4</x:v>
      </x:c>
      <x:c r="M575" s="8"/>
      <x:c r="N575" s="8"/>
      <x:c r="O575" s="7"/>
      <x:c r="P575" s="9" t="str">
        <x:f t="shared" si="17"/>
      </x:c>
      <x:c r="Q575" s="10" t="s">
        <x:v>310</x:v>
      </x:c>
      <x:c r="R575" s="5" t="s">
        <x:v>594</x:v>
      </x:c>
      <x:c r="S575" s="5" t="s">
        <x:v>558</x:v>
      </x:c>
      <x:c r="T575" s="5" t="s">
        <x:v>595</x:v>
      </x:c>
      <x:c r="U575" s="151"/>
      <x:c r="V575" s="151"/>
      <x:c r="W575" s="151"/>
      <x:c r="X575" s="151"/>
      <x:c r="Y575" s="151"/>
      <x:c r="Z575" s="151"/>
    </x:row>
    <x:row r="576" ht="22" customHeight="1">
      <x:c r="A576" s="5" t="s">
        <x:v>308</x:v>
      </x:c>
      <x:c r="B576" s="5" t="s">
        <x:v>309</x:v>
      </x:c>
      <x:c r="C576" s="6">
        <x:v>46252</x:v>
      </x:c>
      <x:c r="D576" s="5">
        <x:v>2026</x:v>
      </x:c>
      <x:c r="E576" s="5" t="s">
        <x:v>495</x:v>
      </x:c>
      <x:c r="F576" s="5" t="s">
        <x:v>0</x:v>
      </x:c>
      <x:c r="G576" s="5" t="s">
        <x:v>337</x:v>
      </x:c>
      <x:c r="H576" s="8">
        <x:v>29</x:v>
      </x:c>
      <x:c r="I576" s="8"/>
      <x:c r="J576" s="5" t="s">
        <x:v>593</x:v>
      </x:c>
      <x:c r="K576" s="7">
        <x:v>4.0000000000000002E-4</x:v>
      </x:c>
      <x:c r="L576" s="9">
        <x:f t="shared" si="16"/>
        <x:v>4.0000000000000002E-4</x:v>
      </x:c>
      <x:c r="M576" s="8"/>
      <x:c r="N576" s="8"/>
      <x:c r="O576" s="7"/>
      <x:c r="P576" s="9" t="str">
        <x:f t="shared" si="17"/>
      </x:c>
      <x:c r="Q576" s="10" t="s">
        <x:v>310</x:v>
      </x:c>
      <x:c r="R576" s="5" t="s">
        <x:v>594</x:v>
      </x:c>
      <x:c r="S576" s="5" t="s">
        <x:v>558</x:v>
      </x:c>
      <x:c r="T576" s="5" t="s">
        <x:v>595</x:v>
      </x:c>
      <x:c r="U576" s="151"/>
      <x:c r="V576" s="151"/>
      <x:c r="W576" s="151"/>
      <x:c r="X576" s="151"/>
      <x:c r="Y576" s="151"/>
      <x:c r="Z576" s="151"/>
    </x:row>
    <x:row r="577" ht="22" customHeight="1">
      <x:c r="A577" s="5" t="s">
        <x:v>308</x:v>
      </x:c>
      <x:c r="B577" s="5" t="s">
        <x:v>309</x:v>
      </x:c>
      <x:c r="C577" s="6">
        <x:v>46252</x:v>
      </x:c>
      <x:c r="D577" s="5">
        <x:v>2026</x:v>
      </x:c>
      <x:c r="E577" s="5" t="s">
        <x:v>377</x:v>
      </x:c>
      <x:c r="F577" s="5" t="s">
        <x:v>0</x:v>
      </x:c>
      <x:c r="G577" s="5" t="s">
        <x:v>337</x:v>
      </x:c>
      <x:c r="H577" s="8">
        <x:v>29</x:v>
      </x:c>
      <x:c r="I577" s="8"/>
      <x:c r="J577" s="5" t="s">
        <x:v>593</x:v>
      </x:c>
      <x:c r="K577" s="7">
        <x:v>4.0000000000000002E-4</x:v>
      </x:c>
      <x:c r="L577" s="9">
        <x:f t="shared" si="16"/>
        <x:v>4.0000000000000002E-4</x:v>
      </x:c>
      <x:c r="M577" s="8"/>
      <x:c r="N577" s="8"/>
      <x:c r="O577" s="7"/>
      <x:c r="P577" s="9" t="str">
        <x:f t="shared" si="17"/>
      </x:c>
      <x:c r="Q577" s="10" t="s">
        <x:v>310</x:v>
      </x:c>
      <x:c r="R577" s="5" t="s">
        <x:v>594</x:v>
      </x:c>
      <x:c r="S577" s="5" t="s">
        <x:v>558</x:v>
      </x:c>
      <x:c r="T577" s="5" t="s">
        <x:v>595</x:v>
      </x:c>
      <x:c r="U577" s="151"/>
      <x:c r="V577" s="151"/>
      <x:c r="W577" s="151"/>
      <x:c r="X577" s="151"/>
      <x:c r="Y577" s="151"/>
      <x:c r="Z577" s="151"/>
    </x:row>
    <x:row r="578" ht="22" customHeight="1">
      <x:c r="A578" s="5" t="s">
        <x:v>308</x:v>
      </x:c>
      <x:c r="B578" s="5" t="s">
        <x:v>309</x:v>
      </x:c>
      <x:c r="C578" s="6">
        <x:v>46252</x:v>
      </x:c>
      <x:c r="D578" s="5">
        <x:v>2026</x:v>
      </x:c>
      <x:c r="E578" s="5" t="s">
        <x:v>503</x:v>
      </x:c>
      <x:c r="F578" s="5" t="s">
        <x:v>0</x:v>
      </x:c>
      <x:c r="G578" s="5" t="s">
        <x:v>337</x:v>
      </x:c>
      <x:c r="H578" s="8">
        <x:v>29</x:v>
      </x:c>
      <x:c r="I578" s="8"/>
      <x:c r="J578" s="5" t="s">
        <x:v>593</x:v>
      </x:c>
      <x:c r="K578" s="7">
        <x:v>4.0000000000000002E-4</x:v>
      </x:c>
      <x:c r="L578" s="9">
        <x:f t="shared" si="16"/>
        <x:v>4.0000000000000002E-4</x:v>
      </x:c>
      <x:c r="M578" s="8"/>
      <x:c r="N578" s="8"/>
      <x:c r="O578" s="7"/>
      <x:c r="P578" s="9" t="str">
        <x:f t="shared" si="17"/>
      </x:c>
      <x:c r="Q578" s="10" t="s">
        <x:v>310</x:v>
      </x:c>
      <x:c r="R578" s="5" t="s">
        <x:v>594</x:v>
      </x:c>
      <x:c r="S578" s="5" t="s">
        <x:v>558</x:v>
      </x:c>
      <x:c r="T578" s="5" t="s">
        <x:v>595</x:v>
      </x:c>
      <x:c r="U578" s="151"/>
      <x:c r="V578" s="151"/>
      <x:c r="W578" s="151"/>
      <x:c r="X578" s="151"/>
      <x:c r="Y578" s="151"/>
      <x:c r="Z578" s="151"/>
    </x:row>
    <x:row r="579" ht="22" customHeight="1">
      <x:c r="A579" s="5" t="s">
        <x:v>308</x:v>
      </x:c>
      <x:c r="B579" s="5" t="s">
        <x:v>309</x:v>
      </x:c>
      <x:c r="C579" s="6">
        <x:v>46252</x:v>
      </x:c>
      <x:c r="D579" s="5">
        <x:v>2026</x:v>
      </x:c>
      <x:c r="E579" s="5" t="s">
        <x:v>380</x:v>
      </x:c>
      <x:c r="F579" s="5" t="s">
        <x:v>0</x:v>
      </x:c>
      <x:c r="G579" s="5" t="s">
        <x:v>337</x:v>
      </x:c>
      <x:c r="H579" s="8">
        <x:v>29</x:v>
      </x:c>
      <x:c r="I579" s="8"/>
      <x:c r="J579" s="5" t="s">
        <x:v>593</x:v>
      </x:c>
      <x:c r="K579" s="7">
        <x:v>4.0000000000000002E-4</x:v>
      </x:c>
      <x:c r="L579" s="9">
        <x:f t="shared" si="16"/>
        <x:v>4.0000000000000002E-4</x:v>
      </x:c>
      <x:c r="M579" s="8"/>
      <x:c r="N579" s="8"/>
      <x:c r="O579" s="7"/>
      <x:c r="P579" s="9" t="str">
        <x:f t="shared" si="17"/>
      </x:c>
      <x:c r="Q579" s="10" t="s">
        <x:v>310</x:v>
      </x:c>
      <x:c r="R579" s="5" t="s">
        <x:v>594</x:v>
      </x:c>
      <x:c r="S579" s="5" t="s">
        <x:v>558</x:v>
      </x:c>
      <x:c r="T579" s="5" t="s">
        <x:v>595</x:v>
      </x:c>
      <x:c r="U579" s="151"/>
      <x:c r="V579" s="151"/>
      <x:c r="W579" s="151"/>
      <x:c r="X579" s="151"/>
      <x:c r="Y579" s="151"/>
      <x:c r="Z579" s="151"/>
    </x:row>
    <x:row r="580" ht="22" customHeight="1">
      <x:c r="A580" s="5" t="s">
        <x:v>308</x:v>
      </x:c>
      <x:c r="B580" s="5" t="s">
        <x:v>309</x:v>
      </x:c>
      <x:c r="C580" s="6">
        <x:v>46252</x:v>
      </x:c>
      <x:c r="D580" s="5">
        <x:v>2026</x:v>
      </x:c>
      <x:c r="E580" s="5" t="s">
        <x:v>510</x:v>
      </x:c>
      <x:c r="F580" s="5" t="s">
        <x:v>0</x:v>
      </x:c>
      <x:c r="G580" s="5" t="s">
        <x:v>337</x:v>
      </x:c>
      <x:c r="H580" s="8">
        <x:v>21</x:v>
      </x:c>
      <x:c r="I580" s="8"/>
      <x:c r="J580" s="5" t="s">
        <x:v>593</x:v>
      </x:c>
      <x:c r="K580" s="7">
        <x:v>2.9999999999999997E-4</x:v>
      </x:c>
      <x:c r="L580" s="9">
        <x:f t="shared" si="16"/>
        <x:v>2.9999999999999997E-4</x:v>
      </x:c>
      <x:c r="M580" s="8"/>
      <x:c r="N580" s="8"/>
      <x:c r="O580" s="7"/>
      <x:c r="P580" s="9" t="str">
        <x:f t="shared" si="17"/>
      </x:c>
      <x:c r="Q580" s="10" t="s">
        <x:v>310</x:v>
      </x:c>
      <x:c r="R580" s="5" t="s">
        <x:v>594</x:v>
      </x:c>
      <x:c r="S580" s="5" t="s">
        <x:v>558</x:v>
      </x:c>
      <x:c r="T580" s="5" t="s">
        <x:v>595</x:v>
      </x:c>
      <x:c r="U580" s="151"/>
      <x:c r="V580" s="151"/>
      <x:c r="W580" s="151"/>
      <x:c r="X580" s="151"/>
      <x:c r="Y580" s="151"/>
      <x:c r="Z580" s="151"/>
    </x:row>
    <x:row r="581" ht="22" customHeight="1">
      <x:c r="A581" s="5" t="s">
        <x:v>308</x:v>
      </x:c>
      <x:c r="B581" s="5" t="s">
        <x:v>309</x:v>
      </x:c>
      <x:c r="C581" s="6">
        <x:v>46252</x:v>
      </x:c>
      <x:c r="D581" s="5">
        <x:v>2026</x:v>
      </x:c>
      <x:c r="E581" s="5" t="s">
        <x:v>472</x:v>
      </x:c>
      <x:c r="F581" s="5" t="s">
        <x:v>0</x:v>
      </x:c>
      <x:c r="G581" s="5" t="s">
        <x:v>337</x:v>
      </x:c>
      <x:c r="H581" s="8">
        <x:v>20</x:v>
      </x:c>
      <x:c r="I581" s="8"/>
      <x:c r="J581" s="5" t="s">
        <x:v>593</x:v>
      </x:c>
      <x:c r="K581" s="7">
        <x:v>2.9999999999999997E-4</x:v>
      </x:c>
      <x:c r="L581" s="9">
        <x:f t="shared" si="16"/>
        <x:v>2.9999999999999997E-4</x:v>
      </x:c>
      <x:c r="M581" s="8"/>
      <x:c r="N581" s="8"/>
      <x:c r="O581" s="7"/>
      <x:c r="P581" s="9" t="str">
        <x:f t="shared" si="17"/>
      </x:c>
      <x:c r="Q581" s="10" t="s">
        <x:v>310</x:v>
      </x:c>
      <x:c r="R581" s="5" t="s">
        <x:v>594</x:v>
      </x:c>
      <x:c r="S581" s="5" t="s">
        <x:v>558</x:v>
      </x:c>
      <x:c r="T581" s="5" t="s">
        <x:v>595</x:v>
      </x:c>
      <x:c r="U581" s="151"/>
      <x:c r="V581" s="151"/>
      <x:c r="W581" s="151"/>
      <x:c r="X581" s="151"/>
      <x:c r="Y581" s="151"/>
      <x:c r="Z581" s="151"/>
    </x:row>
    <x:row r="582" ht="22" customHeight="1">
      <x:c r="A582" s="5" t="s">
        <x:v>308</x:v>
      </x:c>
      <x:c r="B582" s="5" t="s">
        <x:v>309</x:v>
      </x:c>
      <x:c r="C582" s="6">
        <x:v>46252</x:v>
      </x:c>
      <x:c r="D582" s="5">
        <x:v>2026</x:v>
      </x:c>
      <x:c r="E582" s="5" t="s">
        <x:v>398</x:v>
      </x:c>
      <x:c r="F582" s="5" t="s">
        <x:v>0</x:v>
      </x:c>
      <x:c r="G582" s="5" t="s">
        <x:v>337</x:v>
      </x:c>
      <x:c r="H582" s="8">
        <x:v>20</x:v>
      </x:c>
      <x:c r="I582" s="8"/>
      <x:c r="J582" s="5" t="s">
        <x:v>593</x:v>
      </x:c>
      <x:c r="K582" s="7">
        <x:v>2.9999999999999997E-4</x:v>
      </x:c>
      <x:c r="L582" s="9" t="n">
        <x:f t="shared" ref="L582:L645" si="18">IF(AND(H582&lt;&gt;"",I582&lt;&gt;""),H582/I582,IF(K582&lt;&gt;"",K582,""))</x:f>
        <x:v>0.0003</x:v>
      </x:c>
      <x:c r="M582" s="8"/>
      <x:c r="N582" s="8"/>
      <x:c r="O582" s="7"/>
      <x:c r="P582" s="9" t="str">
        <x:f t="shared" ref="P582:P645" si="19">IF(AND(M582&lt;&gt;"",N582&lt;&gt;""),M582/N582,IF(O582&lt;&gt;"",O582,""))</x:f>
      </x:c>
      <x:c r="Q582" s="10" t="s">
        <x:v>310</x:v>
      </x:c>
      <x:c r="R582" s="5" t="s">
        <x:v>594</x:v>
      </x:c>
      <x:c r="S582" s="5" t="s">
        <x:v>558</x:v>
      </x:c>
      <x:c r="T582" s="5" t="s">
        <x:v>595</x:v>
      </x:c>
      <x:c r="U582" s="151"/>
      <x:c r="V582" s="151"/>
      <x:c r="W582" s="151"/>
      <x:c r="X582" s="151"/>
      <x:c r="Y582" s="151"/>
      <x:c r="Z582" s="151"/>
    </x:row>
    <x:row r="583" ht="22" customHeight="1">
      <x:c r="A583" s="5" t="s">
        <x:v>308</x:v>
      </x:c>
      <x:c r="B583" s="5" t="s">
        <x:v>309</x:v>
      </x:c>
      <x:c r="C583" s="6">
        <x:v>46252</x:v>
      </x:c>
      <x:c r="D583" s="5">
        <x:v>2026</x:v>
      </x:c>
      <x:c r="E583" s="5" t="s">
        <x:v>522</x:v>
      </x:c>
      <x:c r="F583" s="5" t="s">
        <x:v>0</x:v>
      </x:c>
      <x:c r="G583" s="5" t="s">
        <x:v>337</x:v>
      </x:c>
      <x:c r="H583" s="8">
        <x:v>20</x:v>
      </x:c>
      <x:c r="I583" s="8"/>
      <x:c r="J583" s="5" t="s">
        <x:v>593</x:v>
      </x:c>
      <x:c r="K583" s="7">
        <x:v>2.9999999999999997E-4</x:v>
      </x:c>
      <x:c r="L583" s="9">
        <x:f t="shared" si="18"/>
        <x:v>2.9999999999999997E-4</x:v>
      </x:c>
      <x:c r="M583" s="8"/>
      <x:c r="N583" s="8"/>
      <x:c r="O583" s="7"/>
      <x:c r="P583" s="9" t="str">
        <x:f t="shared" si="19"/>
      </x:c>
      <x:c r="Q583" s="10" t="s">
        <x:v>310</x:v>
      </x:c>
      <x:c r="R583" s="5" t="s">
        <x:v>594</x:v>
      </x:c>
      <x:c r="S583" s="5" t="s">
        <x:v>558</x:v>
      </x:c>
      <x:c r="T583" s="5" t="s">
        <x:v>595</x:v>
      </x:c>
      <x:c r="U583" s="151"/>
      <x:c r="V583" s="151"/>
      <x:c r="W583" s="151"/>
      <x:c r="X583" s="151"/>
      <x:c r="Y583" s="151"/>
      <x:c r="Z583" s="151"/>
    </x:row>
    <x:row r="584" ht="22" customHeight="1">
      <x:c r="A584" s="5" t="s">
        <x:v>308</x:v>
      </x:c>
      <x:c r="B584" s="5" t="s">
        <x:v>309</x:v>
      </x:c>
      <x:c r="C584" s="6">
        <x:v>46252</x:v>
      </x:c>
      <x:c r="D584" s="5">
        <x:v>2026</x:v>
      </x:c>
      <x:c r="E584" s="5" t="s">
        <x:v>521</x:v>
      </x:c>
      <x:c r="F584" s="5" t="s">
        <x:v>0</x:v>
      </x:c>
      <x:c r="G584" s="5" t="s">
        <x:v>337</x:v>
      </x:c>
      <x:c r="H584" s="8">
        <x:v>18</x:v>
      </x:c>
      <x:c r="I584" s="8"/>
      <x:c r="J584" s="5" t="s">
        <x:v>593</x:v>
      </x:c>
      <x:c r="K584" s="7">
        <x:v>2.9999999999999997E-4</x:v>
      </x:c>
      <x:c r="L584" s="9">
        <x:f t="shared" si="18"/>
        <x:v>2.9999999999999997E-4</x:v>
      </x:c>
      <x:c r="M584" s="8"/>
      <x:c r="N584" s="8"/>
      <x:c r="O584" s="7"/>
      <x:c r="P584" s="9" t="str">
        <x:f t="shared" si="19"/>
      </x:c>
      <x:c r="Q584" s="10" t="s">
        <x:v>310</x:v>
      </x:c>
      <x:c r="R584" s="5" t="s">
        <x:v>594</x:v>
      </x:c>
      <x:c r="S584" s="5" t="s">
        <x:v>558</x:v>
      </x:c>
      <x:c r="T584" s="5" t="s">
        <x:v>595</x:v>
      </x:c>
      <x:c r="U584" s="151"/>
      <x:c r="V584" s="151"/>
      <x:c r="W584" s="151"/>
      <x:c r="X584" s="151"/>
      <x:c r="Y584" s="151"/>
      <x:c r="Z584" s="151"/>
    </x:row>
    <x:row r="585" ht="22" customHeight="1">
      <x:c r="A585" s="5" t="s">
        <x:v>308</x:v>
      </x:c>
      <x:c r="B585" s="5" t="s">
        <x:v>309</x:v>
      </x:c>
      <x:c r="C585" s="6">
        <x:v>46252</x:v>
      </x:c>
      <x:c r="D585" s="5">
        <x:v>2026</x:v>
      </x:c>
      <x:c r="E585" s="5" t="s">
        <x:v>404</x:v>
      </x:c>
      <x:c r="F585" s="5" t="s">
        <x:v>0</x:v>
      </x:c>
      <x:c r="G585" s="5" t="s">
        <x:v>337</x:v>
      </x:c>
      <x:c r="H585" s="8">
        <x:v>15</x:v>
      </x:c>
      <x:c r="I585" s="8"/>
      <x:c r="J585" s="5" t="s">
        <x:v>593</x:v>
      </x:c>
      <x:c r="K585" s="7">
        <x:v>2.0000000000000001E-4</x:v>
      </x:c>
      <x:c r="L585" s="9">
        <x:f t="shared" si="18"/>
        <x:v>2.0000000000000001E-4</x:v>
      </x:c>
      <x:c r="M585" s="8"/>
      <x:c r="N585" s="8"/>
      <x:c r="O585" s="7"/>
      <x:c r="P585" s="9" t="str">
        <x:f t="shared" si="19"/>
      </x:c>
      <x:c r="Q585" s="10" t="s">
        <x:v>310</x:v>
      </x:c>
      <x:c r="R585" s="5" t="s">
        <x:v>594</x:v>
      </x:c>
      <x:c r="S585" s="5" t="s">
        <x:v>558</x:v>
      </x:c>
      <x:c r="T585" s="5" t="s">
        <x:v>595</x:v>
      </x:c>
      <x:c r="U585" s="151"/>
      <x:c r="V585" s="151"/>
      <x:c r="W585" s="151"/>
      <x:c r="X585" s="151"/>
      <x:c r="Y585" s="151"/>
      <x:c r="Z585" s="151"/>
    </x:row>
    <x:row r="586" ht="22" customHeight="1">
      <x:c r="A586" s="5" t="s">
        <x:v>308</x:v>
      </x:c>
      <x:c r="B586" s="5" t="s">
        <x:v>309</x:v>
      </x:c>
      <x:c r="C586" s="6">
        <x:v>46252</x:v>
      </x:c>
      <x:c r="D586" s="5">
        <x:v>2026</x:v>
      </x:c>
      <x:c r="E586" s="5" t="s">
        <x:v>439</x:v>
      </x:c>
      <x:c r="F586" s="5" t="s">
        <x:v>0</x:v>
      </x:c>
      <x:c r="G586" s="5" t="s">
        <x:v>337</x:v>
      </x:c>
      <x:c r="H586" s="8">
        <x:v>14</x:v>
      </x:c>
      <x:c r="I586" s="8"/>
      <x:c r="J586" s="5" t="s">
        <x:v>593</x:v>
      </x:c>
      <x:c r="K586" s="7">
        <x:v>2.0000000000000001E-4</x:v>
      </x:c>
      <x:c r="L586" s="9">
        <x:f t="shared" si="18"/>
        <x:v>2.0000000000000001E-4</x:v>
      </x:c>
      <x:c r="M586" s="8"/>
      <x:c r="N586" s="8"/>
      <x:c r="O586" s="7"/>
      <x:c r="P586" s="9" t="str">
        <x:f t="shared" si="19"/>
      </x:c>
      <x:c r="Q586" s="10" t="s">
        <x:v>310</x:v>
      </x:c>
      <x:c r="R586" s="5" t="s">
        <x:v>594</x:v>
      </x:c>
      <x:c r="S586" s="5" t="s">
        <x:v>558</x:v>
      </x:c>
      <x:c r="T586" s="5" t="s">
        <x:v>595</x:v>
      </x:c>
      <x:c r="U586" s="151"/>
      <x:c r="V586" s="151"/>
      <x:c r="W586" s="151"/>
      <x:c r="X586" s="151"/>
      <x:c r="Y586" s="151"/>
      <x:c r="Z586" s="151"/>
    </x:row>
    <x:row r="587" ht="22" customHeight="1">
      <x:c r="A587" s="5" t="s">
        <x:v>308</x:v>
      </x:c>
      <x:c r="B587" s="5" t="s">
        <x:v>309</x:v>
      </x:c>
      <x:c r="C587" s="6">
        <x:v>46252</x:v>
      </x:c>
      <x:c r="D587" s="5">
        <x:v>2026</x:v>
      </x:c>
      <x:c r="E587" s="5" t="s">
        <x:v>487</x:v>
      </x:c>
      <x:c r="F587" s="5" t="s">
        <x:v>0</x:v>
      </x:c>
      <x:c r="G587" s="5" t="s">
        <x:v>337</x:v>
      </x:c>
      <x:c r="H587" s="8">
        <x:v>14</x:v>
      </x:c>
      <x:c r="I587" s="8"/>
      <x:c r="J587" s="5" t="s">
        <x:v>593</x:v>
      </x:c>
      <x:c r="K587" s="7">
        <x:v>2.0000000000000001E-4</x:v>
      </x:c>
      <x:c r="L587" s="9">
        <x:f t="shared" si="18"/>
        <x:v>2.0000000000000001E-4</x:v>
      </x:c>
      <x:c r="M587" s="8"/>
      <x:c r="N587" s="8"/>
      <x:c r="O587" s="7"/>
      <x:c r="P587" s="9" t="str">
        <x:f t="shared" si="19"/>
      </x:c>
      <x:c r="Q587" s="10" t="s">
        <x:v>310</x:v>
      </x:c>
      <x:c r="R587" s="5" t="s">
        <x:v>594</x:v>
      </x:c>
      <x:c r="S587" s="5" t="s">
        <x:v>558</x:v>
      </x:c>
      <x:c r="T587" s="5" t="s">
        <x:v>595</x:v>
      </x:c>
      <x:c r="U587" s="151"/>
      <x:c r="V587" s="151"/>
      <x:c r="W587" s="151"/>
      <x:c r="X587" s="151"/>
      <x:c r="Y587" s="151"/>
      <x:c r="Z587" s="151"/>
    </x:row>
    <x:row r="588" ht="22" customHeight="1">
      <x:c r="A588" s="5" t="s">
        <x:v>308</x:v>
      </x:c>
      <x:c r="B588" s="5" t="s">
        <x:v>309</x:v>
      </x:c>
      <x:c r="C588" s="6">
        <x:v>46252</x:v>
      </x:c>
      <x:c r="D588" s="5">
        <x:v>2026</x:v>
      </x:c>
      <x:c r="E588" s="5" t="s">
        <x:v>353</x:v>
      </x:c>
      <x:c r="F588" s="5" t="s">
        <x:v>0</x:v>
      </x:c>
      <x:c r="G588" s="5" t="s">
        <x:v>337</x:v>
      </x:c>
      <x:c r="H588" s="8">
        <x:v>11</x:v>
      </x:c>
      <x:c r="I588" s="8"/>
      <x:c r="J588" s="5" t="s">
        <x:v>593</x:v>
      </x:c>
      <x:c r="K588" s="7">
        <x:v>2.0000000000000001E-4</x:v>
      </x:c>
      <x:c r="L588" s="9">
        <x:f t="shared" si="18"/>
        <x:v>2.0000000000000001E-4</x:v>
      </x:c>
      <x:c r="M588" s="8"/>
      <x:c r="N588" s="8"/>
      <x:c r="O588" s="7"/>
      <x:c r="P588" s="9" t="str">
        <x:f t="shared" si="19"/>
      </x:c>
      <x:c r="Q588" s="10" t="s">
        <x:v>310</x:v>
      </x:c>
      <x:c r="R588" s="5" t="s">
        <x:v>594</x:v>
      </x:c>
      <x:c r="S588" s="5" t="s">
        <x:v>558</x:v>
      </x:c>
      <x:c r="T588" s="5" t="s">
        <x:v>595</x:v>
      </x:c>
      <x:c r="U588" s="151"/>
      <x:c r="V588" s="151"/>
      <x:c r="W588" s="151"/>
      <x:c r="X588" s="151"/>
      <x:c r="Y588" s="151"/>
      <x:c r="Z588" s="151"/>
    </x:row>
    <x:row r="589" ht="22" customHeight="1">
      <x:c r="A589" s="5" t="s">
        <x:v>308</x:v>
      </x:c>
      <x:c r="B589" s="5" t="s">
        <x:v>309</x:v>
      </x:c>
      <x:c r="C589" s="6">
        <x:v>46252</x:v>
      </x:c>
      <x:c r="D589" s="5">
        <x:v>2026</x:v>
      </x:c>
      <x:c r="E589" s="5" t="s">
        <x:v>486</x:v>
      </x:c>
      <x:c r="F589" s="5" t="s">
        <x:v>0</x:v>
      </x:c>
      <x:c r="G589" s="5" t="s">
        <x:v>337</x:v>
      </x:c>
      <x:c r="H589" s="8">
        <x:v>11</x:v>
      </x:c>
      <x:c r="I589" s="8"/>
      <x:c r="J589" s="5" t="s">
        <x:v>593</x:v>
      </x:c>
      <x:c r="K589" s="7">
        <x:v>2.0000000000000001E-4</x:v>
      </x:c>
      <x:c r="L589" s="9">
        <x:f t="shared" si="18"/>
        <x:v>2.0000000000000001E-4</x:v>
      </x:c>
      <x:c r="M589" s="8"/>
      <x:c r="N589" s="8"/>
      <x:c r="O589" s="7"/>
      <x:c r="P589" s="9" t="str">
        <x:f t="shared" si="19"/>
      </x:c>
      <x:c r="Q589" s="10" t="s">
        <x:v>310</x:v>
      </x:c>
      <x:c r="R589" s="5" t="s">
        <x:v>594</x:v>
      </x:c>
      <x:c r="S589" s="5" t="s">
        <x:v>558</x:v>
      </x:c>
      <x:c r="T589" s="5" t="s">
        <x:v>595</x:v>
      </x:c>
      <x:c r="U589" s="151"/>
      <x:c r="V589" s="151"/>
      <x:c r="W589" s="151"/>
      <x:c r="X589" s="151"/>
      <x:c r="Y589" s="151"/>
      <x:c r="Z589" s="151"/>
    </x:row>
    <x:row r="590" ht="22" customHeight="1">
      <x:c r="A590" s="5" t="s">
        <x:v>308</x:v>
      </x:c>
      <x:c r="B590" s="5" t="s">
        <x:v>309</x:v>
      </x:c>
      <x:c r="C590" s="6">
        <x:v>46252</x:v>
      </x:c>
      <x:c r="D590" s="5">
        <x:v>2026</x:v>
      </x:c>
      <x:c r="E590" s="5" t="s">
        <x:v>554</x:v>
      </x:c>
      <x:c r="F590" s="5" t="s">
        <x:v>0</x:v>
      </x:c>
      <x:c r="G590" s="5" t="s">
        <x:v>337</x:v>
      </x:c>
      <x:c r="H590" s="8">
        <x:v>9</x:v>
      </x:c>
      <x:c r="I590" s="8"/>
      <x:c r="J590" s="5" t="s">
        <x:v>593</x:v>
      </x:c>
      <x:c r="K590" s="7">
        <x:v>1E-4</x:v>
      </x:c>
      <x:c r="L590" s="9">
        <x:f t="shared" si="18"/>
        <x:v>1E-4</x:v>
      </x:c>
      <x:c r="M590" s="8"/>
      <x:c r="N590" s="8"/>
      <x:c r="O590" s="7"/>
      <x:c r="P590" s="9" t="str">
        <x:f t="shared" si="19"/>
      </x:c>
      <x:c r="Q590" s="10" t="s">
        <x:v>310</x:v>
      </x:c>
      <x:c r="R590" s="5" t="s">
        <x:v>594</x:v>
      </x:c>
      <x:c r="S590" s="5" t="s">
        <x:v>558</x:v>
      </x:c>
      <x:c r="T590" s="5" t="s">
        <x:v>595</x:v>
      </x:c>
      <x:c r="U590" s="151"/>
      <x:c r="V590" s="151"/>
      <x:c r="W590" s="151"/>
      <x:c r="X590" s="151"/>
      <x:c r="Y590" s="151"/>
      <x:c r="Z590" s="151"/>
    </x:row>
    <x:row r="591" ht="22" customHeight="1">
      <x:c r="A591" s="5" t="s">
        <x:v>308</x:v>
      </x:c>
      <x:c r="B591" s="5" t="s">
        <x:v>309</x:v>
      </x:c>
      <x:c r="C591" s="6">
        <x:v>46252</x:v>
      </x:c>
      <x:c r="D591" s="5">
        <x:v>2026</x:v>
      </x:c>
      <x:c r="E591" s="5" t="s">
        <x:v>533</x:v>
      </x:c>
      <x:c r="F591" s="5" t="s">
        <x:v>0</x:v>
      </x:c>
      <x:c r="G591" s="5" t="s">
        <x:v>337</x:v>
      </x:c>
      <x:c r="H591" s="8">
        <x:v>9</x:v>
      </x:c>
      <x:c r="I591" s="8"/>
      <x:c r="J591" s="5" t="s">
        <x:v>593</x:v>
      </x:c>
      <x:c r="K591" s="7">
        <x:v>1E-4</x:v>
      </x:c>
      <x:c r="L591" s="9">
        <x:f t="shared" si="18"/>
        <x:v>1E-4</x:v>
      </x:c>
      <x:c r="M591" s="8"/>
      <x:c r="N591" s="8"/>
      <x:c r="O591" s="7"/>
      <x:c r="P591" s="9" t="str">
        <x:f t="shared" si="19"/>
      </x:c>
      <x:c r="Q591" s="10" t="s">
        <x:v>310</x:v>
      </x:c>
      <x:c r="R591" s="5" t="s">
        <x:v>594</x:v>
      </x:c>
      <x:c r="S591" s="5" t="s">
        <x:v>558</x:v>
      </x:c>
      <x:c r="T591" s="5" t="s">
        <x:v>595</x:v>
      </x:c>
      <x:c r="U591" s="151"/>
      <x:c r="V591" s="151"/>
      <x:c r="W591" s="151"/>
      <x:c r="X591" s="151"/>
      <x:c r="Y591" s="151"/>
      <x:c r="Z591" s="151"/>
    </x:row>
    <x:row r="592" ht="22" customHeight="1">
      <x:c r="A592" s="5" t="s">
        <x:v>308</x:v>
      </x:c>
      <x:c r="B592" s="5" t="s">
        <x:v>309</x:v>
      </x:c>
      <x:c r="C592" s="6">
        <x:v>46252</x:v>
      </x:c>
      <x:c r="D592" s="5">
        <x:v>2026</x:v>
      </x:c>
      <x:c r="E592" s="5" t="s">
        <x:v>490</x:v>
      </x:c>
      <x:c r="F592" s="5" t="s">
        <x:v>0</x:v>
      </x:c>
      <x:c r="G592" s="5" t="s">
        <x:v>337</x:v>
      </x:c>
      <x:c r="H592" s="8">
        <x:v>6</x:v>
      </x:c>
      <x:c r="I592" s="8"/>
      <x:c r="J592" s="5" t="s">
        <x:v>593</x:v>
      </x:c>
      <x:c r="K592" s="7">
        <x:v>1E-4</x:v>
      </x:c>
      <x:c r="L592" s="9">
        <x:f t="shared" si="18"/>
        <x:v>1E-4</x:v>
      </x:c>
      <x:c r="M592" s="8"/>
      <x:c r="N592" s="8"/>
      <x:c r="O592" s="7"/>
      <x:c r="P592" s="9" t="str">
        <x:f t="shared" si="19"/>
      </x:c>
      <x:c r="Q592" s="10" t="s">
        <x:v>310</x:v>
      </x:c>
      <x:c r="R592" s="5" t="s">
        <x:v>594</x:v>
      </x:c>
      <x:c r="S592" s="5" t="s">
        <x:v>558</x:v>
      </x:c>
      <x:c r="T592" s="5" t="s">
        <x:v>595</x:v>
      </x:c>
      <x:c r="U592" s="151"/>
      <x:c r="V592" s="151"/>
      <x:c r="W592" s="151"/>
      <x:c r="X592" s="151"/>
      <x:c r="Y592" s="151"/>
      <x:c r="Z592" s="151"/>
    </x:row>
    <x:row r="593" ht="22" customHeight="1">
      <x:c r="A593" s="5" t="s">
        <x:v>308</x:v>
      </x:c>
      <x:c r="B593" s="5" t="s">
        <x:v>309</x:v>
      </x:c>
      <x:c r="C593" s="6">
        <x:v>46252</x:v>
      </x:c>
      <x:c r="D593" s="5">
        <x:v>2026</x:v>
      </x:c>
      <x:c r="E593" s="5" t="s">
        <x:v>402</x:v>
      </x:c>
      <x:c r="F593" s="5" t="s">
        <x:v>0</x:v>
      </x:c>
      <x:c r="G593" s="5" t="s">
        <x:v>337</x:v>
      </x:c>
      <x:c r="H593" s="8">
        <x:v>6</x:v>
      </x:c>
      <x:c r="I593" s="8"/>
      <x:c r="J593" s="5" t="s">
        <x:v>593</x:v>
      </x:c>
      <x:c r="K593" s="7">
        <x:v>1E-4</x:v>
      </x:c>
      <x:c r="L593" s="9">
        <x:f t="shared" si="18"/>
        <x:v>1E-4</x:v>
      </x:c>
      <x:c r="M593" s="8"/>
      <x:c r="N593" s="8"/>
      <x:c r="O593" s="7"/>
      <x:c r="P593" s="9" t="str">
        <x:f t="shared" si="19"/>
      </x:c>
      <x:c r="Q593" s="10" t="s">
        <x:v>310</x:v>
      </x:c>
      <x:c r="R593" s="5" t="s">
        <x:v>594</x:v>
      </x:c>
      <x:c r="S593" s="5" t="s">
        <x:v>558</x:v>
      </x:c>
      <x:c r="T593" s="5" t="s">
        <x:v>595</x:v>
      </x:c>
      <x:c r="U593" s="151"/>
      <x:c r="V593" s="151"/>
      <x:c r="W593" s="151"/>
      <x:c r="X593" s="151"/>
      <x:c r="Y593" s="151"/>
      <x:c r="Z593" s="151"/>
    </x:row>
    <x:row r="594" ht="22" customHeight="1">
      <x:c r="A594" s="5" t="s">
        <x:v>308</x:v>
      </x:c>
      <x:c r="B594" s="5" t="s">
        <x:v>309</x:v>
      </x:c>
      <x:c r="C594" s="6">
        <x:v>46252</x:v>
      </x:c>
      <x:c r="D594" s="5">
        <x:v>2026</x:v>
      </x:c>
      <x:c r="E594" s="5" t="s">
        <x:v>496</x:v>
      </x:c>
      <x:c r="F594" s="5" t="s">
        <x:v>0</x:v>
      </x:c>
      <x:c r="G594" s="5" t="s">
        <x:v>337</x:v>
      </x:c>
      <x:c r="H594" s="8">
        <x:v>6</x:v>
      </x:c>
      <x:c r="I594" s="8"/>
      <x:c r="J594" s="5" t="s">
        <x:v>593</x:v>
      </x:c>
      <x:c r="K594" s="7">
        <x:v>1E-4</x:v>
      </x:c>
      <x:c r="L594" s="9">
        <x:f t="shared" si="18"/>
        <x:v>1E-4</x:v>
      </x:c>
      <x:c r="M594" s="8"/>
      <x:c r="N594" s="8"/>
      <x:c r="O594" s="7"/>
      <x:c r="P594" s="9" t="str">
        <x:f t="shared" si="19"/>
      </x:c>
      <x:c r="Q594" s="10" t="s">
        <x:v>310</x:v>
      </x:c>
      <x:c r="R594" s="5" t="s">
        <x:v>594</x:v>
      </x:c>
      <x:c r="S594" s="5" t="s">
        <x:v>558</x:v>
      </x:c>
      <x:c r="T594" s="5" t="s">
        <x:v>595</x:v>
      </x:c>
      <x:c r="U594" s="151"/>
      <x:c r="V594" s="151"/>
      <x:c r="W594" s="151"/>
      <x:c r="X594" s="151"/>
      <x:c r="Y594" s="151"/>
      <x:c r="Z594" s="151"/>
    </x:row>
    <x:row r="595" ht="22" customHeight="1">
      <x:c r="A595" s="5" t="s">
        <x:v>308</x:v>
      </x:c>
      <x:c r="B595" s="5" t="s">
        <x:v>309</x:v>
      </x:c>
      <x:c r="C595" s="6">
        <x:v>46252</x:v>
      </x:c>
      <x:c r="D595" s="5">
        <x:v>2026</x:v>
      </x:c>
      <x:c r="E595" s="5" t="s">
        <x:v>511</x:v>
      </x:c>
      <x:c r="F595" s="5" t="s">
        <x:v>0</x:v>
      </x:c>
      <x:c r="G595" s="5" t="s">
        <x:v>337</x:v>
      </x:c>
      <x:c r="H595" s="8">
        <x:v>6</x:v>
      </x:c>
      <x:c r="I595" s="8"/>
      <x:c r="J595" s="5" t="s">
        <x:v>593</x:v>
      </x:c>
      <x:c r="K595" s="7">
        <x:v>1E-4</x:v>
      </x:c>
      <x:c r="L595" s="9">
        <x:f t="shared" si="18"/>
        <x:v>1E-4</x:v>
      </x:c>
      <x:c r="M595" s="8"/>
      <x:c r="N595" s="8"/>
      <x:c r="O595" s="7"/>
      <x:c r="P595" s="9" t="str">
        <x:f t="shared" si="19"/>
      </x:c>
      <x:c r="Q595" s="10" t="s">
        <x:v>310</x:v>
      </x:c>
      <x:c r="R595" s="5" t="s">
        <x:v>594</x:v>
      </x:c>
      <x:c r="S595" s="5" t="s">
        <x:v>558</x:v>
      </x:c>
      <x:c r="T595" s="5" t="s">
        <x:v>595</x:v>
      </x:c>
      <x:c r="U595" s="151"/>
      <x:c r="V595" s="151"/>
      <x:c r="W595" s="151"/>
      <x:c r="X595" s="151"/>
      <x:c r="Y595" s="151"/>
      <x:c r="Z595" s="151"/>
    </x:row>
    <x:row r="596" ht="22" customHeight="1">
      <x:c r="A596" s="5" t="s">
        <x:v>308</x:v>
      </x:c>
      <x:c r="B596" s="5" t="s">
        <x:v>309</x:v>
      </x:c>
      <x:c r="C596" s="6">
        <x:v>46252</x:v>
      </x:c>
      <x:c r="D596" s="5">
        <x:v>2026</x:v>
      </x:c>
      <x:c r="E596" s="5" t="s">
        <x:v>528</x:v>
      </x:c>
      <x:c r="F596" s="5" t="s">
        <x:v>0</x:v>
      </x:c>
      <x:c r="G596" s="5" t="s">
        <x:v>337</x:v>
      </x:c>
      <x:c r="H596" s="8">
        <x:v>3</x:v>
      </x:c>
      <x:c r="I596" s="8"/>
      <x:c r="J596" s="5" t="s">
        <x:v>593</x:v>
      </x:c>
      <x:c r="K596" s="7">
        <x:v>0</x:v>
      </x:c>
      <x:c r="L596" s="9">
        <x:f t="shared" si="18"/>
        <x:v>0</x:v>
      </x:c>
      <x:c r="M596" s="8"/>
      <x:c r="N596" s="8"/>
      <x:c r="O596" s="7"/>
      <x:c r="P596" s="9" t="str">
        <x:f t="shared" si="19"/>
      </x:c>
      <x:c r="Q596" s="10" t="s">
        <x:v>310</x:v>
      </x:c>
      <x:c r="R596" s="5" t="s">
        <x:v>594</x:v>
      </x:c>
      <x:c r="S596" s="5" t="s">
        <x:v>558</x:v>
      </x:c>
      <x:c r="T596" s="5" t="s">
        <x:v>595</x:v>
      </x:c>
      <x:c r="U596" s="151"/>
      <x:c r="V596" s="151"/>
      <x:c r="W596" s="151"/>
      <x:c r="X596" s="151"/>
      <x:c r="Y596" s="151"/>
      <x:c r="Z596" s="151"/>
    </x:row>
    <x:row r="597" ht="22" customHeight="1">
      <x:c r="A597" s="5" t="s">
        <x:v>317</x:v>
      </x:c>
      <x:c r="B597" s="5" t="s">
        <x:v>318</x:v>
      </x:c>
      <x:c r="C597" s="6">
        <x:v>46022</x:v>
      </x:c>
      <x:c r="D597" s="5">
        <x:v>2025</x:v>
      </x:c>
      <x:c r="E597" s="5" t="s">
        <x:v>436</x:v>
      </x:c>
      <x:c r="F597" s="5" t="s">
        <x:v>0</x:v>
      </x:c>
      <x:c r="G597" s="5" t="s">
        <x:v>597</x:v>
      </x:c>
      <x:c r="H597" s="8"/>
      <x:c r="I597" s="8"/>
      <x:c r="J597" s="5"/>
      <x:c r="K597" s="7">
        <x:v>0.18760000000000002</x:v>
      </x:c>
      <x:c r="L597" s="9">
        <x:f t="shared" si="18"/>
        <x:v>0.18760000000000002</x:v>
      </x:c>
      <x:c r="M597" s="8"/>
      <x:c r="N597" s="8"/>
      <x:c r="O597" s="7"/>
      <x:c r="P597" s="9" t="str">
        <x:f t="shared" si="19"/>
      </x:c>
      <x:c r="Q597" s="10" t="s">
        <x:v>320</x:v>
      </x:c>
      <x:c r="R597" s="5" t="s">
        <x:v>598</x:v>
      </x:c>
      <x:c r="S597" s="5" t="s">
        <x:v>357</x:v>
      </x:c>
      <x:c r="T597" s="5" t="s">
        <x:v>599</x:v>
      </x:c>
      <x:c r="U597" s="151"/>
      <x:c r="V597" s="151"/>
      <x:c r="W597" s="151"/>
      <x:c r="X597" s="151"/>
      <x:c r="Y597" s="151"/>
      <x:c r="Z597" s="151"/>
    </x:row>
    <x:row r="598" ht="22" customHeight="1">
      <x:c r="A598" s="5" t="s">
        <x:v>317</x:v>
      </x:c>
      <x:c r="B598" s="5" t="s">
        <x:v>318</x:v>
      </x:c>
      <x:c r="C598" s="6">
        <x:v>46022</x:v>
      </x:c>
      <x:c r="D598" s="5">
        <x:v>2025</x:v>
      </x:c>
      <x:c r="E598" s="5" t="s">
        <x:v>574</x:v>
      </x:c>
      <x:c r="F598" s="5" t="s">
        <x:v>0</x:v>
      </x:c>
      <x:c r="G598" s="5" t="s">
        <x:v>597</x:v>
      </x:c>
      <x:c r="H598" s="8"/>
      <x:c r="I598" s="8"/>
      <x:c r="J598" s="5"/>
      <x:c r="K598" s="7">
        <x:v>0.18760000000000002</x:v>
      </x:c>
      <x:c r="L598" s="9">
        <x:f t="shared" si="18"/>
        <x:v>0.18760000000000002</x:v>
      </x:c>
      <x:c r="M598" s="8"/>
      <x:c r="N598" s="8"/>
      <x:c r="O598" s="7"/>
      <x:c r="P598" s="9" t="str">
        <x:f t="shared" si="19"/>
      </x:c>
      <x:c r="Q598" s="10" t="s">
        <x:v>320</x:v>
      </x:c>
      <x:c r="R598" s="5" t="s">
        <x:v>598</x:v>
      </x:c>
      <x:c r="S598" s="5" t="s">
        <x:v>357</x:v>
      </x:c>
      <x:c r="T598" s="5" t="s">
        <x:v>599</x:v>
      </x:c>
      <x:c r="U598" s="151"/>
      <x:c r="V598" s="151"/>
      <x:c r="W598" s="151"/>
      <x:c r="X598" s="151"/>
      <x:c r="Y598" s="151"/>
      <x:c r="Z598" s="151"/>
    </x:row>
    <x:row r="599" ht="22" customHeight="1">
      <x:c r="A599" s="5" t="s">
        <x:v>317</x:v>
      </x:c>
      <x:c r="B599" s="5" t="s">
        <x:v>318</x:v>
      </x:c>
      <x:c r="C599" s="6">
        <x:v>46022</x:v>
      </x:c>
      <x:c r="D599" s="5">
        <x:v>2025</x:v>
      </x:c>
      <x:c r="E599" s="5" t="s">
        <x:v>371</x:v>
      </x:c>
      <x:c r="F599" s="5" t="s">
        <x:v>0</x:v>
      </x:c>
      <x:c r="G599" s="5" t="s">
        <x:v>597</x:v>
      </x:c>
      <x:c r="H599" s="8"/>
      <x:c r="I599" s="8"/>
      <x:c r="J599" s="5"/>
      <x:c r="K599" s="7">
        <x:v>0.18760000000000002</x:v>
      </x:c>
      <x:c r="L599" s="9">
        <x:f t="shared" si="18"/>
        <x:v>0.18760000000000002</x:v>
      </x:c>
      <x:c r="M599" s="8"/>
      <x:c r="N599" s="8"/>
      <x:c r="O599" s="7"/>
      <x:c r="P599" s="9" t="str">
        <x:f t="shared" si="19"/>
      </x:c>
      <x:c r="Q599" s="10" t="s">
        <x:v>320</x:v>
      </x:c>
      <x:c r="R599" s="5" t="s">
        <x:v>598</x:v>
      </x:c>
      <x:c r="S599" s="5" t="s">
        <x:v>357</x:v>
      </x:c>
      <x:c r="T599" s="5" t="s">
        <x:v>599</x:v>
      </x:c>
      <x:c r="U599" s="151"/>
      <x:c r="V599" s="151"/>
      <x:c r="W599" s="151"/>
      <x:c r="X599" s="151"/>
      <x:c r="Y599" s="151"/>
      <x:c r="Z599" s="151"/>
    </x:row>
    <x:row r="600" ht="22" customHeight="1">
      <x:c r="A600" s="5" t="s">
        <x:v>317</x:v>
      </x:c>
      <x:c r="B600" s="5" t="s">
        <x:v>318</x:v>
      </x:c>
      <x:c r="C600" s="6">
        <x:v>46022</x:v>
      </x:c>
      <x:c r="D600" s="5">
        <x:v>2025</x:v>
      </x:c>
      <x:c r="E600" s="5" t="s">
        <x:v>438</x:v>
      </x:c>
      <x:c r="F600" s="5" t="s">
        <x:v>0</x:v>
      </x:c>
      <x:c r="G600" s="5" t="s">
        <x:v>597</x:v>
      </x:c>
      <x:c r="H600" s="8"/>
      <x:c r="I600" s="8"/>
      <x:c r="J600" s="5"/>
      <x:c r="K600" s="7">
        <x:v>0.18760000000000002</x:v>
      </x:c>
      <x:c r="L600" s="9">
        <x:f t="shared" si="18"/>
        <x:v>0.18760000000000002</x:v>
      </x:c>
      <x:c r="M600" s="8"/>
      <x:c r="N600" s="8"/>
      <x:c r="O600" s="7"/>
      <x:c r="P600" s="9" t="str">
        <x:f t="shared" si="19"/>
      </x:c>
      <x:c r="Q600" s="10" t="s">
        <x:v>320</x:v>
      </x:c>
      <x:c r="R600" s="5" t="s">
        <x:v>598</x:v>
      </x:c>
      <x:c r="S600" s="5" t="s">
        <x:v>357</x:v>
      </x:c>
      <x:c r="T600" s="5" t="s">
        <x:v>599</x:v>
      </x:c>
      <x:c r="U600" s="151"/>
      <x:c r="V600" s="151"/>
      <x:c r="W600" s="151"/>
      <x:c r="X600" s="151"/>
      <x:c r="Y600" s="151"/>
      <x:c r="Z600" s="151"/>
    </x:row>
    <x:row r="601" ht="22" customHeight="1">
      <x:c r="A601" s="5" t="s">
        <x:v>317</x:v>
      </x:c>
      <x:c r="B601" s="5" t="s">
        <x:v>318</x:v>
      </x:c>
      <x:c r="C601" s="6">
        <x:v>46022</x:v>
      </x:c>
      <x:c r="D601" s="5">
        <x:v>2025</x:v>
      </x:c>
      <x:c r="E601" s="5" t="s">
        <x:v>470</x:v>
      </x:c>
      <x:c r="F601" s="5" t="s">
        <x:v>0</x:v>
      </x:c>
      <x:c r="G601" s="5" t="s">
        <x:v>597</x:v>
      </x:c>
      <x:c r="H601" s="8"/>
      <x:c r="I601" s="8"/>
      <x:c r="J601" s="5"/>
      <x:c r="K601" s="7">
        <x:v>0.18760000000000002</x:v>
      </x:c>
      <x:c r="L601" s="9">
        <x:f t="shared" si="18"/>
        <x:v>0.18760000000000002</x:v>
      </x:c>
      <x:c r="M601" s="8"/>
      <x:c r="N601" s="8"/>
      <x:c r="O601" s="7"/>
      <x:c r="P601" s="9" t="str">
        <x:f t="shared" si="19"/>
      </x:c>
      <x:c r="Q601" s="10" t="s">
        <x:v>320</x:v>
      </x:c>
      <x:c r="R601" s="5" t="s">
        <x:v>598</x:v>
      </x:c>
      <x:c r="S601" s="5" t="s">
        <x:v>357</x:v>
      </x:c>
      <x:c r="T601" s="5" t="s">
        <x:v>599</x:v>
      </x:c>
      <x:c r="U601" s="151"/>
      <x:c r="V601" s="151"/>
      <x:c r="W601" s="151"/>
      <x:c r="X601" s="151"/>
      <x:c r="Y601" s="151"/>
      <x:c r="Z601" s="151"/>
    </x:row>
    <x:row r="602" ht="22" customHeight="1">
      <x:c r="A602" s="5" t="s">
        <x:v>317</x:v>
      </x:c>
      <x:c r="B602" s="5" t="s">
        <x:v>318</x:v>
      </x:c>
      <x:c r="C602" s="6">
        <x:v>46022</x:v>
      </x:c>
      <x:c r="D602" s="5">
        <x:v>2025</x:v>
      </x:c>
      <x:c r="E602" s="5" t="s">
        <x:v>431</x:v>
      </x:c>
      <x:c r="F602" s="5" t="s">
        <x:v>0</x:v>
      </x:c>
      <x:c r="G602" s="5" t="s">
        <x:v>600</x:v>
      </x:c>
      <x:c r="H602" s="8"/>
      <x:c r="I602" s="8"/>
      <x:c r="J602" s="5"/>
      <x:c r="K602" s="7">
        <x:v>1.15E-2</x:v>
      </x:c>
      <x:c r="L602" s="9">
        <x:f t="shared" si="18"/>
        <x:v>1.15E-2</x:v>
      </x:c>
      <x:c r="M602" s="8"/>
      <x:c r="N602" s="8"/>
      <x:c r="O602" s="7"/>
      <x:c r="P602" s="9" t="str">
        <x:f t="shared" si="19"/>
      </x:c>
      <x:c r="Q602" s="10" t="s">
        <x:v>320</x:v>
      </x:c>
      <x:c r="R602" s="5" t="s">
        <x:v>598</x:v>
      </x:c>
      <x:c r="S602" s="5" t="s">
        <x:v>357</x:v>
      </x:c>
      <x:c r="T602" s="5" t="s">
        <x:v>599</x:v>
      </x:c>
      <x:c r="U602" s="151"/>
      <x:c r="V602" s="151"/>
      <x:c r="W602" s="151"/>
      <x:c r="X602" s="151"/>
      <x:c r="Y602" s="151"/>
      <x:c r="Z602" s="151"/>
    </x:row>
    <x:row r="603" ht="22" customHeight="1">
      <x:c r="A603" s="5" t="s">
        <x:v>317</x:v>
      </x:c>
      <x:c r="B603" s="5" t="s">
        <x:v>318</x:v>
      </x:c>
      <x:c r="C603" s="6">
        <x:v>46022</x:v>
      </x:c>
      <x:c r="D603" s="5">
        <x:v>2025</x:v>
      </x:c>
      <x:c r="E603" s="5" t="s">
        <x:v>362</x:v>
      </x:c>
      <x:c r="F603" s="5" t="s">
        <x:v>0</x:v>
      </x:c>
      <x:c r="G603" s="5" t="s">
        <x:v>600</x:v>
      </x:c>
      <x:c r="H603" s="8"/>
      <x:c r="I603" s="8"/>
      <x:c r="J603" s="5"/>
      <x:c r="K603" s="7">
        <x:v>1.77E-2</x:v>
      </x:c>
      <x:c r="L603" s="9">
        <x:f t="shared" si="18"/>
        <x:v>1.77E-2</x:v>
      </x:c>
      <x:c r="M603" s="8"/>
      <x:c r="N603" s="8"/>
      <x:c r="O603" s="7"/>
      <x:c r="P603" s="9" t="str">
        <x:f t="shared" si="19"/>
      </x:c>
      <x:c r="Q603" s="10" t="s">
        <x:v>320</x:v>
      </x:c>
      <x:c r="R603" s="5" t="s">
        <x:v>598</x:v>
      </x:c>
      <x:c r="S603" s="5" t="s">
        <x:v>357</x:v>
      </x:c>
      <x:c r="T603" s="5" t="s">
        <x:v>599</x:v>
      </x:c>
      <x:c r="U603" s="151"/>
      <x:c r="V603" s="151"/>
      <x:c r="W603" s="151"/>
      <x:c r="X603" s="151"/>
      <x:c r="Y603" s="151"/>
      <x:c r="Z603" s="151"/>
    </x:row>
    <x:row r="604" ht="22" customHeight="1">
      <x:c r="A604" s="5" t="s">
        <x:v>317</x:v>
      </x:c>
      <x:c r="B604" s="5" t="s">
        <x:v>318</x:v>
      </x:c>
      <x:c r="C604" s="6">
        <x:v>46022</x:v>
      </x:c>
      <x:c r="D604" s="5">
        <x:v>2025</x:v>
      </x:c>
      <x:c r="E604" s="5" t="s">
        <x:v>443</x:v>
      </x:c>
      <x:c r="F604" s="5" t="s">
        <x:v>0</x:v>
      </x:c>
      <x:c r="G604" s="5" t="s">
        <x:v>600</x:v>
      </x:c>
      <x:c r="H604" s="8"/>
      <x:c r="I604" s="8"/>
      <x:c r="J604" s="5"/>
      <x:c r="K604" s="7">
        <x:v>2.2400000000000003E-2</x:v>
      </x:c>
      <x:c r="L604" s="9">
        <x:f t="shared" si="18"/>
        <x:v>2.2400000000000003E-2</x:v>
      </x:c>
      <x:c r="M604" s="8"/>
      <x:c r="N604" s="8"/>
      <x:c r="O604" s="7"/>
      <x:c r="P604" s="9" t="str">
        <x:f t="shared" si="19"/>
      </x:c>
      <x:c r="Q604" s="10" t="s">
        <x:v>320</x:v>
      </x:c>
      <x:c r="R604" s="5" t="s">
        <x:v>598</x:v>
      </x:c>
      <x:c r="S604" s="5" t="s">
        <x:v>357</x:v>
      </x:c>
      <x:c r="T604" s="5" t="s">
        <x:v>599</x:v>
      </x:c>
      <x:c r="U604" s="151"/>
      <x:c r="V604" s="151"/>
      <x:c r="W604" s="151"/>
      <x:c r="X604" s="151"/>
      <x:c r="Y604" s="151"/>
      <x:c r="Z604" s="151"/>
    </x:row>
    <x:row r="605" ht="22" customHeight="1">
      <x:c r="A605" s="5" t="s">
        <x:v>317</x:v>
      </x:c>
      <x:c r="B605" s="5" t="s">
        <x:v>318</x:v>
      </x:c>
      <x:c r="C605" s="6">
        <x:v>46022</x:v>
      </x:c>
      <x:c r="D605" s="5">
        <x:v>2025</x:v>
      </x:c>
      <x:c r="E605" s="5" t="s">
        <x:v>474</x:v>
      </x:c>
      <x:c r="F605" s="5" t="s">
        <x:v>0</x:v>
      </x:c>
      <x:c r="G605" s="5" t="s">
        <x:v>600</x:v>
      </x:c>
      <x:c r="H605" s="8"/>
      <x:c r="I605" s="8"/>
      <x:c r="J605" s="5"/>
      <x:c r="K605" s="7">
        <x:v>1.04E-2</x:v>
      </x:c>
      <x:c r="L605" s="9">
        <x:f t="shared" si="18"/>
        <x:v>1.04E-2</x:v>
      </x:c>
      <x:c r="M605" s="8"/>
      <x:c r="N605" s="8"/>
      <x:c r="O605" s="7"/>
      <x:c r="P605" s="9" t="str">
        <x:f t="shared" si="19"/>
      </x:c>
      <x:c r="Q605" s="10" t="s">
        <x:v>320</x:v>
      </x:c>
      <x:c r="R605" s="5" t="s">
        <x:v>598</x:v>
      </x:c>
      <x:c r="S605" s="5" t="s">
        <x:v>357</x:v>
      </x:c>
      <x:c r="T605" s="5" t="s">
        <x:v>599</x:v>
      </x:c>
      <x:c r="U605" s="151"/>
      <x:c r="V605" s="151"/>
      <x:c r="W605" s="151"/>
      <x:c r="X605" s="151"/>
      <x:c r="Y605" s="151"/>
      <x:c r="Z605" s="151"/>
    </x:row>
    <x:row r="606" ht="22" customHeight="1">
      <x:c r="A606" s="5" t="s">
        <x:v>327</x:v>
      </x:c>
      <x:c r="B606" s="5" t="s">
        <x:v>328</x:v>
      </x:c>
      <x:c r="C606" s="6">
        <x:v>45291</x:v>
      </x:c>
      <x:c r="D606" s="5">
        <x:v>2023</x:v>
      </x:c>
      <x:c r="E606" s="5" t="s">
        <x:v>414</x:v>
      </x:c>
      <x:c r="F606" s="5" t="s">
        <x:v>0</x:v>
      </x:c>
      <x:c r="G606" s="5" t="s">
        <x:v>601</x:v>
      </x:c>
      <x:c r="H606" s="8">
        <x:v>46722369149</x:v>
      </x:c>
      <x:c r="I606" s="8">
        <x:v>248795606881</x:v>
      </x:c>
      <x:c r="J606" s="5" t="s">
        <x:v>602</x:v>
      </x:c>
      <x:c r="K606" s="7"/>
      <x:c r="L606" s="9">
        <x:f t="shared" si="18"/>
        <x:v>0.18779418871068534</x:v>
      </x:c>
      <x:c r="M606" s="8"/>
      <x:c r="N606" s="8"/>
      <x:c r="O606" s="7"/>
      <x:c r="P606" s="9" t="str">
        <x:f t="shared" si="19"/>
      </x:c>
      <x:c r="Q606" s="10" t="s">
        <x:v>329</x:v>
      </x:c>
      <x:c r="R606" s="5" t="s">
        <x:v>603</x:v>
      </x:c>
      <x:c r="S606" s="5" t="s">
        <x:v>357</x:v>
      </x:c>
      <x:c r="T606" s="5" t="s">
        <x:v>604</x:v>
      </x:c>
      <x:c r="U606" s="151"/>
      <x:c r="V606" s="151"/>
      <x:c r="W606" s="151"/>
      <x:c r="X606" s="151"/>
      <x:c r="Y606" s="151"/>
      <x:c r="Z606" s="151"/>
    </x:row>
    <x:row r="607" ht="22" customHeight="1">
      <x:c r="A607" s="5" t="s">
        <x:v>327</x:v>
      </x:c>
      <x:c r="B607" s="5" t="s">
        <x:v>328</x:v>
      </x:c>
      <x:c r="C607" s="6">
        <x:v>45291</x:v>
      </x:c>
      <x:c r="D607" s="5">
        <x:v>2023</x:v>
      </x:c>
      <x:c r="E607" s="5" t="s">
        <x:v>413</x:v>
      </x:c>
      <x:c r="F607" s="5" t="s">
        <x:v>0</x:v>
      </x:c>
      <x:c r="G607" s="5" t="s">
        <x:v>601</x:v>
      </x:c>
      <x:c r="H607" s="8">
        <x:v>46722369149</x:v>
      </x:c>
      <x:c r="I607" s="8">
        <x:v>248795606881</x:v>
      </x:c>
      <x:c r="J607" s="5" t="s">
        <x:v>602</x:v>
      </x:c>
      <x:c r="K607" s="7"/>
      <x:c r="L607" s="9">
        <x:f t="shared" si="18"/>
        <x:v>0.18779418871068534</x:v>
      </x:c>
      <x:c r="M607" s="8"/>
      <x:c r="N607" s="8"/>
      <x:c r="O607" s="7"/>
      <x:c r="P607" s="9" t="str">
        <x:f t="shared" si="19"/>
      </x:c>
      <x:c r="Q607" s="10" t="s">
        <x:v>329</x:v>
      </x:c>
      <x:c r="R607" s="5" t="s">
        <x:v>603</x:v>
      </x:c>
      <x:c r="S607" s="5" t="s">
        <x:v>357</x:v>
      </x:c>
      <x:c r="T607" s="5" t="s">
        <x:v>604</x:v>
      </x:c>
      <x:c r="U607" s="151"/>
      <x:c r="V607" s="151"/>
      <x:c r="W607" s="151"/>
      <x:c r="X607" s="151"/>
      <x:c r="Y607" s="151"/>
      <x:c r="Z607" s="151"/>
    </x:row>
    <x:row r="608" ht="22" customHeight="1">
      <x:c r="A608" s="5" t="s">
        <x:v>327</x:v>
      </x:c>
      <x:c r="B608" s="5" t="s">
        <x:v>328</x:v>
      </x:c>
      <x:c r="C608" s="6">
        <x:v>45291</x:v>
      </x:c>
      <x:c r="D608" s="5">
        <x:v>2023</x:v>
      </x:c>
      <x:c r="E608" s="5" t="s">
        <x:v>416</x:v>
      </x:c>
      <x:c r="F608" s="5" t="s">
        <x:v>0</x:v>
      </x:c>
      <x:c r="G608" s="5" t="s">
        <x:v>601</x:v>
      </x:c>
      <x:c r="H608" s="8">
        <x:v>46722369149</x:v>
      </x:c>
      <x:c r="I608" s="8">
        <x:v>248795606881</x:v>
      </x:c>
      <x:c r="J608" s="5" t="s">
        <x:v>602</x:v>
      </x:c>
      <x:c r="K608" s="7"/>
      <x:c r="L608" s="9">
        <x:f t="shared" si="18"/>
        <x:v>0.18779418871068534</x:v>
      </x:c>
      <x:c r="M608" s="8"/>
      <x:c r="N608" s="8"/>
      <x:c r="O608" s="7"/>
      <x:c r="P608" s="9" t="str">
        <x:f t="shared" si="19"/>
      </x:c>
      <x:c r="Q608" s="10" t="s">
        <x:v>329</x:v>
      </x:c>
      <x:c r="R608" s="5" t="s">
        <x:v>603</x:v>
      </x:c>
      <x:c r="S608" s="5" t="s">
        <x:v>357</x:v>
      </x:c>
      <x:c r="T608" s="5" t="s">
        <x:v>604</x:v>
      </x:c>
      <x:c r="U608" s="151"/>
      <x:c r="V608" s="151"/>
      <x:c r="W608" s="151"/>
      <x:c r="X608" s="151"/>
      <x:c r="Y608" s="151"/>
      <x:c r="Z608" s="151"/>
    </x:row>
    <x:row r="609" ht="22" customHeight="1">
      <x:c r="A609" s="5" t="s">
        <x:v>327</x:v>
      </x:c>
      <x:c r="B609" s="5" t="s">
        <x:v>328</x:v>
      </x:c>
      <x:c r="C609" s="6">
        <x:v>45291</x:v>
      </x:c>
      <x:c r="D609" s="5">
        <x:v>2023</x:v>
      </x:c>
      <x:c r="E609" s="5" t="s">
        <x:v>421</x:v>
      </x:c>
      <x:c r="F609" s="5" t="s">
        <x:v>0</x:v>
      </x:c>
      <x:c r="G609" s="5" t="s">
        <x:v>601</x:v>
      </x:c>
      <x:c r="H609" s="8">
        <x:v>28033421847</x:v>
      </x:c>
      <x:c r="I609" s="8">
        <x:v>248795606881</x:v>
      </x:c>
      <x:c r="J609" s="5" t="s">
        <x:v>602</x:v>
      </x:c>
      <x:c r="K609" s="7"/>
      <x:c r="L609" s="9">
        <x:f t="shared" si="18"/>
        <x:v>0.11267651466373563</x:v>
      </x:c>
      <x:c r="M609" s="8"/>
      <x:c r="N609" s="8"/>
      <x:c r="O609" s="7"/>
      <x:c r="P609" s="9" t="str">
        <x:f t="shared" si="19"/>
      </x:c>
      <x:c r="Q609" s="10" t="s">
        <x:v>329</x:v>
      </x:c>
      <x:c r="R609" s="5" t="s">
        <x:v>603</x:v>
      </x:c>
      <x:c r="S609" s="5" t="s">
        <x:v>357</x:v>
      </x:c>
      <x:c r="T609" s="5" t="s">
        <x:v>604</x:v>
      </x:c>
      <x:c r="U609" s="151"/>
      <x:c r="V609" s="151"/>
      <x:c r="W609" s="151"/>
      <x:c r="X609" s="151"/>
      <x:c r="Y609" s="151"/>
      <x:c r="Z609" s="151"/>
    </x:row>
    <x:row r="610" ht="22" customHeight="1">
      <x:c r="A610" s="5" t="s">
        <x:v>327</x:v>
      </x:c>
      <x:c r="B610" s="5" t="s">
        <x:v>328</x:v>
      </x:c>
      <x:c r="C610" s="6">
        <x:v>45291</x:v>
      </x:c>
      <x:c r="D610" s="5">
        <x:v>2023</x:v>
      </x:c>
      <x:c r="E610" s="5" t="s">
        <x:v>409</x:v>
      </x:c>
      <x:c r="F610" s="5" t="s">
        <x:v>0</x:v>
      </x:c>
      <x:c r="G610" s="5" t="s">
        <x:v>601</x:v>
      </x:c>
      <x:c r="H610" s="8">
        <x:v>12951115777</x:v>
      </x:c>
      <x:c r="I610" s="8">
        <x:v>248795606881</x:v>
      </x:c>
      <x:c r="J610" s="5" t="s">
        <x:v>602</x:v>
      </x:c>
      <x:c r="K610" s="7"/>
      <x:c r="L610" s="9">
        <x:f t="shared" si="18"/>
        <x:v>5.205524301397562E-2</x:v>
      </x:c>
      <x:c r="M610" s="8"/>
      <x:c r="N610" s="8"/>
      <x:c r="O610" s="7"/>
      <x:c r="P610" s="9" t="str">
        <x:f t="shared" si="19"/>
      </x:c>
      <x:c r="Q610" s="10" t="s">
        <x:v>329</x:v>
      </x:c>
      <x:c r="R610" s="5" t="s">
        <x:v>603</x:v>
      </x:c>
      <x:c r="S610" s="5" t="s">
        <x:v>357</x:v>
      </x:c>
      <x:c r="T610" s="5" t="s">
        <x:v>604</x:v>
      </x:c>
      <x:c r="U610" s="151"/>
      <x:c r="V610" s="151"/>
      <x:c r="W610" s="151"/>
      <x:c r="X610" s="151"/>
      <x:c r="Y610" s="151"/>
      <x:c r="Z610" s="151"/>
    </x:row>
    <x:row r="611" ht="22" customHeight="1">
      <x:c r="A611" s="5" t="s">
        <x:v>327</x:v>
      </x:c>
      <x:c r="B611" s="5" t="s">
        <x:v>328</x:v>
      </x:c>
      <x:c r="C611" s="6">
        <x:v>45291</x:v>
      </x:c>
      <x:c r="D611" s="5">
        <x:v>2023</x:v>
      </x:c>
      <x:c r="E611" s="5" t="s">
        <x:v>418</x:v>
      </x:c>
      <x:c r="F611" s="5" t="s">
        <x:v>0</x:v>
      </x:c>
      <x:c r="G611" s="5" t="s">
        <x:v>601</x:v>
      </x:c>
      <x:c r="H611" s="8">
        <x:v>12951115777</x:v>
      </x:c>
      <x:c r="I611" s="8">
        <x:v>248795606881</x:v>
      </x:c>
      <x:c r="J611" s="5" t="s">
        <x:v>602</x:v>
      </x:c>
      <x:c r="K611" s="7"/>
      <x:c r="L611" s="9">
        <x:f t="shared" si="18"/>
        <x:v>5.205524301397562E-2</x:v>
      </x:c>
      <x:c r="M611" s="8"/>
      <x:c r="N611" s="8"/>
      <x:c r="O611" s="7"/>
      <x:c r="P611" s="9" t="str">
        <x:f t="shared" si="19"/>
      </x:c>
      <x:c r="Q611" s="10" t="s">
        <x:v>329</x:v>
      </x:c>
      <x:c r="R611" s="5" t="s">
        <x:v>603</x:v>
      </x:c>
      <x:c r="S611" s="5" t="s">
        <x:v>357</x:v>
      </x:c>
      <x:c r="T611" s="5" t="s">
        <x:v>604</x:v>
      </x:c>
      <x:c r="U611" s="151"/>
      <x:c r="V611" s="151"/>
      <x:c r="W611" s="151"/>
      <x:c r="X611" s="151"/>
      <x:c r="Y611" s="151"/>
      <x:c r="Z611" s="151"/>
    </x:row>
    <x:row r="612" ht="22" customHeight="1">
      <x:c r="A612" s="5" t="s">
        <x:v>327</x:v>
      </x:c>
      <x:c r="B612" s="5" t="s">
        <x:v>328</x:v>
      </x:c>
      <x:c r="C612" s="6">
        <x:v>45291</x:v>
      </x:c>
      <x:c r="D612" s="5">
        <x:v>2023</x:v>
      </x:c>
      <x:c r="E612" s="5" t="s">
        <x:v>463</x:v>
      </x:c>
      <x:c r="F612" s="5" t="s">
        <x:v>0</x:v>
      </x:c>
      <x:c r="G612" s="5" t="s">
        <x:v>601</x:v>
      </x:c>
      <x:c r="H612" s="8">
        <x:v>11366679827</x:v>
      </x:c>
      <x:c r="I612" s="8">
        <x:v>248795606881</x:v>
      </x:c>
      <x:c r="J612" s="5" t="s">
        <x:v>602</x:v>
      </x:c>
      <x:c r="K612" s="7"/>
      <x:c r="L612" s="9">
        <x:f t="shared" si="18"/>
        <x:v>4.5686818869099775E-2</x:v>
      </x:c>
      <x:c r="M612" s="8"/>
      <x:c r="N612" s="8"/>
      <x:c r="O612" s="7"/>
      <x:c r="P612" s="9" t="str">
        <x:f t="shared" si="19"/>
      </x:c>
      <x:c r="Q612" s="10" t="s">
        <x:v>329</x:v>
      </x:c>
      <x:c r="R612" s="5" t="s">
        <x:v>603</x:v>
      </x:c>
      <x:c r="S612" s="5" t="s">
        <x:v>357</x:v>
      </x:c>
      <x:c r="T612" s="5" t="s">
        <x:v>604</x:v>
      </x:c>
      <x:c r="U612" s="151"/>
      <x:c r="V612" s="151"/>
      <x:c r="W612" s="151"/>
      <x:c r="X612" s="151"/>
      <x:c r="Y612" s="151"/>
      <x:c r="Z612" s="151"/>
    </x:row>
    <x:row r="613" ht="22" customHeight="1">
      <x:c r="A613" s="5" t="s">
        <x:v>327</x:v>
      </x:c>
      <x:c r="B613" s="5" t="s">
        <x:v>328</x:v>
      </x:c>
      <x:c r="C613" s="6">
        <x:v>45291</x:v>
      </x:c>
      <x:c r="D613" s="5">
        <x:v>2023</x:v>
      </x:c>
      <x:c r="E613" s="5" t="s">
        <x:v>422</x:v>
      </x:c>
      <x:c r="F613" s="5" t="s">
        <x:v>0</x:v>
      </x:c>
      <x:c r="G613" s="5" t="s">
        <x:v>601</x:v>
      </x:c>
      <x:c r="H613" s="8">
        <x:v>8591781713</x:v>
      </x:c>
      <x:c r="I613" s="8">
        <x:v>248795606881</x:v>
      </x:c>
      <x:c r="J613" s="5" t="s">
        <x:v>602</x:v>
      </x:c>
      <x:c r="K613" s="7"/>
      <x:c r="L613" s="9">
        <x:f t="shared" si="18"/>
        <x:v>3.4533494464431949E-2</x:v>
      </x:c>
      <x:c r="M613" s="8"/>
      <x:c r="N613" s="8"/>
      <x:c r="O613" s="7"/>
      <x:c r="P613" s="9" t="str">
        <x:f t="shared" si="19"/>
      </x:c>
      <x:c r="Q613" s="10" t="s">
        <x:v>329</x:v>
      </x:c>
      <x:c r="R613" s="5" t="s">
        <x:v>603</x:v>
      </x:c>
      <x:c r="S613" s="5" t="s">
        <x:v>357</x:v>
      </x:c>
      <x:c r="T613" s="5" t="s">
        <x:v>604</x:v>
      </x:c>
      <x:c r="U613" s="151"/>
      <x:c r="V613" s="151"/>
      <x:c r="W613" s="151"/>
      <x:c r="X613" s="151"/>
      <x:c r="Y613" s="151"/>
      <x:c r="Z613" s="151"/>
    </x:row>
    <x:row r="614" ht="22" customHeight="1">
      <x:c r="A614" s="5" t="s">
        <x:v>327</x:v>
      </x:c>
      <x:c r="B614" s="5" t="s">
        <x:v>328</x:v>
      </x:c>
      <x:c r="C614" s="6">
        <x:v>45291</x:v>
      </x:c>
      <x:c r="D614" s="5">
        <x:v>2023</x:v>
      </x:c>
      <x:c r="E614" s="5" t="s">
        <x:v>411</x:v>
      </x:c>
      <x:c r="F614" s="5" t="s">
        <x:v>0</x:v>
      </x:c>
      <x:c r="G614" s="5" t="s">
        <x:v>601</x:v>
      </x:c>
      <x:c r="H614" s="8">
        <x:v>6557521657</x:v>
      </x:c>
      <x:c r="I614" s="8">
        <x:v>248795606881</x:v>
      </x:c>
      <x:c r="J614" s="5" t="s">
        <x:v>602</x:v>
      </x:c>
      <x:c r="K614" s="7"/>
      <x:c r="L614" s="9">
        <x:f t="shared" si="18"/>
        <x:v>2.6357063692593618E-2</x:v>
      </x:c>
      <x:c r="M614" s="8"/>
      <x:c r="N614" s="8"/>
      <x:c r="O614" s="7"/>
      <x:c r="P614" s="9" t="str">
        <x:f t="shared" si="19"/>
      </x:c>
      <x:c r="Q614" s="10" t="s">
        <x:v>329</x:v>
      </x:c>
      <x:c r="R614" s="5" t="s">
        <x:v>603</x:v>
      </x:c>
      <x:c r="S614" s="5" t="s">
        <x:v>357</x:v>
      </x:c>
      <x:c r="T614" s="5" t="s">
        <x:v>604</x:v>
      </x:c>
      <x:c r="U614" s="151"/>
      <x:c r="V614" s="151"/>
      <x:c r="W614" s="151"/>
      <x:c r="X614" s="151"/>
      <x:c r="Y614" s="151"/>
      <x:c r="Z614" s="151"/>
    </x:row>
    <x:row r="615" ht="22" customHeight="1">
      <x:c r="A615" s="5" t="s">
        <x:v>327</x:v>
      </x:c>
      <x:c r="B615" s="5" t="s">
        <x:v>328</x:v>
      </x:c>
      <x:c r="C615" s="6">
        <x:v>45291</x:v>
      </x:c>
      <x:c r="D615" s="5">
        <x:v>2023</x:v>
      </x:c>
      <x:c r="E615" s="5" t="s">
        <x:v>407</x:v>
      </x:c>
      <x:c r="F615" s="5" t="s">
        <x:v>0</x:v>
      </x:c>
      <x:c r="G615" s="5" t="s">
        <x:v>601</x:v>
      </x:c>
      <x:c r="H615" s="8">
        <x:v>6428994386</x:v>
      </x:c>
      <x:c r="I615" s="8">
        <x:v>248795606881</x:v>
      </x:c>
      <x:c r="J615" s="5" t="s">
        <x:v>602</x:v>
      </x:c>
      <x:c r="K615" s="7"/>
      <x:c r="L615" s="9">
        <x:f t="shared" si="18"/>
        <x:v>2.5840465861099449E-2</x:v>
      </x:c>
      <x:c r="M615" s="8"/>
      <x:c r="N615" s="8"/>
      <x:c r="O615" s="7"/>
      <x:c r="P615" s="9" t="str">
        <x:f t="shared" si="19"/>
      </x:c>
      <x:c r="Q615" s="10" t="s">
        <x:v>329</x:v>
      </x:c>
      <x:c r="R615" s="5" t="s">
        <x:v>603</x:v>
      </x:c>
      <x:c r="S615" s="5" t="s">
        <x:v>357</x:v>
      </x:c>
      <x:c r="T615" s="5" t="s">
        <x:v>604</x:v>
      </x:c>
      <x:c r="U615" s="151"/>
      <x:c r="V615" s="151"/>
      <x:c r="W615" s="151"/>
      <x:c r="X615" s="151"/>
      <x:c r="Y615" s="151"/>
      <x:c r="Z615" s="151"/>
    </x:row>
    <x:row r="616" ht="22" customHeight="1">
      <x:c r="A616" s="5" t="s">
        <x:v>327</x:v>
      </x:c>
      <x:c r="B616" s="5" t="s">
        <x:v>328</x:v>
      </x:c>
      <x:c r="C616" s="6">
        <x:v>45291</x:v>
      </x:c>
      <x:c r="D616" s="5">
        <x:v>2023</x:v>
      </x:c>
      <x:c r="E616" s="5" t="s">
        <x:v>412</x:v>
      </x:c>
      <x:c r="F616" s="5" t="s">
        <x:v>0</x:v>
      </x:c>
      <x:c r="G616" s="5" t="s">
        <x:v>601</x:v>
      </x:c>
      <x:c r="H616" s="8">
        <x:v>3693702498</x:v>
      </x:c>
      <x:c r="I616" s="8">
        <x:v>248795606881</x:v>
      </x:c>
      <x:c r="J616" s="5" t="s">
        <x:v>602</x:v>
      </x:c>
      <x:c r="K616" s="7"/>
      <x:c r="L616" s="9">
        <x:f t="shared" si="18"/>
        <x:v>1.4846333278572373E-2</x:v>
      </x:c>
      <x:c r="M616" s="8"/>
      <x:c r="N616" s="8"/>
      <x:c r="O616" s="7"/>
      <x:c r="P616" s="9" t="str">
        <x:f t="shared" si="19"/>
      </x:c>
      <x:c r="Q616" s="10" t="s">
        <x:v>329</x:v>
      </x:c>
      <x:c r="R616" s="5" t="s">
        <x:v>603</x:v>
      </x:c>
      <x:c r="S616" s="5" t="s">
        <x:v>357</x:v>
      </x:c>
      <x:c r="T616" s="5" t="s">
        <x:v>604</x:v>
      </x:c>
      <x:c r="U616" s="151"/>
      <x:c r="V616" s="151"/>
      <x:c r="W616" s="151"/>
      <x:c r="X616" s="151"/>
      <x:c r="Y616" s="151"/>
      <x:c r="Z616" s="151"/>
    </x:row>
    <x:row r="617" ht="22" customHeight="1">
      <x:c r="A617" s="5" t="s">
        <x:v>327</x:v>
      </x:c>
      <x:c r="B617" s="5" t="s">
        <x:v>328</x:v>
      </x:c>
      <x:c r="C617" s="6">
        <x:v>45291</x:v>
      </x:c>
      <x:c r="D617" s="5">
        <x:v>2023</x:v>
      </x:c>
      <x:c r="E617" s="5" t="s">
        <x:v>446</x:v>
      </x:c>
      <x:c r="F617" s="5" t="s">
        <x:v>0</x:v>
      </x:c>
      <x:c r="G617" s="5" t="s">
        <x:v>601</x:v>
      </x:c>
      <x:c r="H617" s="8">
        <x:v>3512961713</x:v>
      </x:c>
      <x:c r="I617" s="8">
        <x:v>248795606881</x:v>
      </x:c>
      <x:c r="J617" s="5" t="s">
        <x:v>602</x:v>
      </x:c>
      <x:c r="K617" s="7"/>
      <x:c r="L617" s="9">
        <x:f t="shared" si="18"/>
        <x:v>1.4119870350766542E-2</x:v>
      </x:c>
      <x:c r="M617" s="8"/>
      <x:c r="N617" s="8"/>
      <x:c r="O617" s="7"/>
      <x:c r="P617" s="9" t="str">
        <x:f t="shared" si="19"/>
      </x:c>
      <x:c r="Q617" s="10" t="s">
        <x:v>329</x:v>
      </x:c>
      <x:c r="R617" s="5" t="s">
        <x:v>603</x:v>
      </x:c>
      <x:c r="S617" s="5" t="s">
        <x:v>357</x:v>
      </x:c>
      <x:c r="T617" s="5" t="s">
        <x:v>604</x:v>
      </x:c>
      <x:c r="U617" s="151"/>
      <x:c r="V617" s="151"/>
      <x:c r="W617" s="151"/>
      <x:c r="X617" s="151"/>
      <x:c r="Y617" s="151"/>
      <x:c r="Z617" s="151"/>
    </x:row>
    <x:row r="618" ht="22" customHeight="1">
      <x:c r="A618" s="5" t="s">
        <x:v>327</x:v>
      </x:c>
      <x:c r="B618" s="5" t="s">
        <x:v>328</x:v>
      </x:c>
      <x:c r="C618" s="6">
        <x:v>45291</x:v>
      </x:c>
      <x:c r="D618" s="5">
        <x:v>2023</x:v>
      </x:c>
      <x:c r="E618" s="5" t="s">
        <x:v>420</x:v>
      </x:c>
      <x:c r="F618" s="5" t="s">
        <x:v>0</x:v>
      </x:c>
      <x:c r="G618" s="5" t="s">
        <x:v>601</x:v>
      </x:c>
      <x:c r="H618" s="8">
        <x:v>2263904037</x:v>
      </x:c>
      <x:c r="I618" s="8">
        <x:v>248795606881</x:v>
      </x:c>
      <x:c r="J618" s="5" t="s">
        <x:v>602</x:v>
      </x:c>
      <x:c r="K618" s="7"/>
      <x:c r="L618" s="9">
        <x:f t="shared" si="18"/>
        <x:v>9.0994534243638587E-3</x:v>
      </x:c>
      <x:c r="M618" s="8"/>
      <x:c r="N618" s="8"/>
      <x:c r="O618" s="7"/>
      <x:c r="P618" s="9" t="str">
        <x:f t="shared" si="19"/>
      </x:c>
      <x:c r="Q618" s="10" t="s">
        <x:v>329</x:v>
      </x:c>
      <x:c r="R618" s="5" t="s">
        <x:v>603</x:v>
      </x:c>
      <x:c r="S618" s="5" t="s">
        <x:v>357</x:v>
      </x:c>
      <x:c r="T618" s="5" t="s">
        <x:v>604</x:v>
      </x:c>
      <x:c r="U618" s="151"/>
      <x:c r="V618" s="151"/>
      <x:c r="W618" s="151"/>
      <x:c r="X618" s="151"/>
      <x:c r="Y618" s="151"/>
      <x:c r="Z618" s="151"/>
    </x:row>
    <x:row r="619" ht="22" customHeight="1">
      <x:c r="A619" s="5" t="s">
        <x:v>327</x:v>
      </x:c>
      <x:c r="B619" s="5" t="s">
        <x:v>328</x:v>
      </x:c>
      <x:c r="C619" s="6">
        <x:v>45291</x:v>
      </x:c>
      <x:c r="D619" s="5">
        <x:v>2023</x:v>
      </x:c>
      <x:c r="E619" s="5" t="s">
        <x:v>605</x:v>
      </x:c>
      <x:c r="F619" s="5" t="s">
        <x:v>0</x:v>
      </x:c>
      <x:c r="G619" s="5" t="s">
        <x:v>601</x:v>
      </x:c>
      <x:c r="H619" s="8">
        <x:v>2206922328</x:v>
      </x:c>
      <x:c r="I619" s="8">
        <x:v>248795606881</x:v>
      </x:c>
      <x:c r="J619" s="5" t="s">
        <x:v>602</x:v>
      </x:c>
      <x:c r="K619" s="7"/>
      <x:c r="L619" s="9">
        <x:f t="shared" si="18"/>
        <x:v>8.8704232187491166E-3</x:v>
      </x:c>
      <x:c r="M619" s="8"/>
      <x:c r="N619" s="8"/>
      <x:c r="O619" s="7"/>
      <x:c r="P619" s="9" t="str">
        <x:f t="shared" si="19"/>
      </x:c>
      <x:c r="Q619" s="10" t="s">
        <x:v>329</x:v>
      </x:c>
      <x:c r="R619" s="5" t="s">
        <x:v>603</x:v>
      </x:c>
      <x:c r="S619" s="5" t="s">
        <x:v>357</x:v>
      </x:c>
      <x:c r="T619" s="5" t="s">
        <x:v>604</x:v>
      </x:c>
      <x:c r="U619" s="151"/>
      <x:c r="V619" s="151"/>
      <x:c r="W619" s="151"/>
      <x:c r="X619" s="151"/>
      <x:c r="Y619" s="151"/>
      <x:c r="Z619" s="151"/>
    </x:row>
    <x:row r="620" ht="22" customHeight="1">
      <x:c r="A620" s="5" t="s">
        <x:v>327</x:v>
      </x:c>
      <x:c r="B620" s="5" t="s">
        <x:v>328</x:v>
      </x:c>
      <x:c r="C620" s="6">
        <x:v>45291</x:v>
      </x:c>
      <x:c r="D620" s="5">
        <x:v>2023</x:v>
      </x:c>
      <x:c r="E620" s="5" t="s">
        <x:v>448</x:v>
      </x:c>
      <x:c r="F620" s="5" t="s">
        <x:v>0</x:v>
      </x:c>
      <x:c r="G620" s="5" t="s">
        <x:v>601</x:v>
      </x:c>
      <x:c r="H620" s="8">
        <x:v>2087849195</x:v>
      </x:c>
      <x:c r="I620" s="8">
        <x:v>248795606881</x:v>
      </x:c>
      <x:c r="J620" s="5" t="s">
        <x:v>602</x:v>
      </x:c>
      <x:c r="K620" s="7"/>
      <x:c r="L620" s="9">
        <x:f t="shared" si="18"/>
        <x:v>8.3918250051683071E-3</x:v>
      </x:c>
      <x:c r="M620" s="8"/>
      <x:c r="N620" s="8"/>
      <x:c r="O620" s="7"/>
      <x:c r="P620" s="9" t="str">
        <x:f t="shared" si="19"/>
      </x:c>
      <x:c r="Q620" s="10" t="s">
        <x:v>329</x:v>
      </x:c>
      <x:c r="R620" s="5" t="s">
        <x:v>603</x:v>
      </x:c>
      <x:c r="S620" s="5" t="s">
        <x:v>357</x:v>
      </x:c>
      <x:c r="T620" s="5" t="s">
        <x:v>604</x:v>
      </x:c>
      <x:c r="U620" s="151"/>
      <x:c r="V620" s="151"/>
      <x:c r="W620" s="151"/>
      <x:c r="X620" s="151"/>
      <x:c r="Y620" s="151"/>
      <x:c r="Z620" s="151"/>
    </x:row>
    <x:row r="621" ht="22" customHeight="1">
      <x:c r="A621" s="5" t="s">
        <x:v>327</x:v>
      </x:c>
      <x:c r="B621" s="5" t="s">
        <x:v>328</x:v>
      </x:c>
      <x:c r="C621" s="6">
        <x:v>45291</x:v>
      </x:c>
      <x:c r="D621" s="5">
        <x:v>2023</x:v>
      </x:c>
      <x:c r="E621" s="5" t="s">
        <x:v>415</x:v>
      </x:c>
      <x:c r="F621" s="5" t="s">
        <x:v>0</x:v>
      </x:c>
      <x:c r="G621" s="5" t="s">
        <x:v>601</x:v>
      </x:c>
      <x:c r="H621" s="8">
        <x:v>1639379073</x:v>
      </x:c>
      <x:c r="I621" s="8">
        <x:v>248795606881</x:v>
      </x:c>
      <x:c r="J621" s="5" t="s">
        <x:v>602</x:v>
      </x:c>
      <x:c r="K621" s="7"/>
      <x:c r="L621" s="9">
        <x:f t="shared" si="18"/>
        <x:v>6.5892605321770095E-3</x:v>
      </x:c>
      <x:c r="M621" s="8"/>
      <x:c r="N621" s="8"/>
      <x:c r="O621" s="7"/>
      <x:c r="P621" s="9" t="str">
        <x:f t="shared" si="19"/>
      </x:c>
      <x:c r="Q621" s="10" t="s">
        <x:v>329</x:v>
      </x:c>
      <x:c r="R621" s="5" t="s">
        <x:v>603</x:v>
      </x:c>
      <x:c r="S621" s="5" t="s">
        <x:v>357</x:v>
      </x:c>
      <x:c r="T621" s="5" t="s">
        <x:v>604</x:v>
      </x:c>
      <x:c r="U621" s="151"/>
      <x:c r="V621" s="151"/>
      <x:c r="W621" s="151"/>
      <x:c r="X621" s="151"/>
      <x:c r="Y621" s="151"/>
      <x:c r="Z621" s="151"/>
    </x:row>
    <x:row r="622" ht="22" customHeight="1">
      <x:c r="A622" s="5" t="s">
        <x:v>327</x:v>
      </x:c>
      <x:c r="B622" s="5" t="s">
        <x:v>328</x:v>
      </x:c>
      <x:c r="C622" s="6">
        <x:v>45291</x:v>
      </x:c>
      <x:c r="D622" s="5">
        <x:v>2023</x:v>
      </x:c>
      <x:c r="E622" s="5" t="s">
        <x:v>465</x:v>
      </x:c>
      <x:c r="F622" s="5" t="s">
        <x:v>0</x:v>
      </x:c>
      <x:c r="G622" s="5" t="s">
        <x:v>601</x:v>
      </x:c>
      <x:c r="H622" s="8">
        <x:v>1639379073</x:v>
      </x:c>
      <x:c r="I622" s="8">
        <x:v>248795606881</x:v>
      </x:c>
      <x:c r="J622" s="5" t="s">
        <x:v>602</x:v>
      </x:c>
      <x:c r="K622" s="7"/>
      <x:c r="L622" s="9">
        <x:f t="shared" si="18"/>
        <x:v>6.5892605321770095E-3</x:v>
      </x:c>
      <x:c r="M622" s="8"/>
      <x:c r="N622" s="8"/>
      <x:c r="O622" s="7"/>
      <x:c r="P622" s="9" t="str">
        <x:f t="shared" si="19"/>
      </x:c>
      <x:c r="Q622" s="10" t="s">
        <x:v>329</x:v>
      </x:c>
      <x:c r="R622" s="5" t="s">
        <x:v>603</x:v>
      </x:c>
      <x:c r="S622" s="5" t="s">
        <x:v>357</x:v>
      </x:c>
      <x:c r="T622" s="5" t="s">
        <x:v>604</x:v>
      </x:c>
      <x:c r="U622" s="151"/>
      <x:c r="V622" s="151"/>
      <x:c r="W622" s="151"/>
      <x:c r="X622" s="151"/>
      <x:c r="Y622" s="151"/>
      <x:c r="Z622" s="151"/>
    </x:row>
    <x:row r="623" ht="22" customHeight="1">
      <x:c r="A623" s="5" t="s">
        <x:v>327</x:v>
      </x:c>
      <x:c r="B623" s="5" t="s">
        <x:v>328</x:v>
      </x:c>
      <x:c r="C623" s="6">
        <x:v>45291</x:v>
      </x:c>
      <x:c r="D623" s="5">
        <x:v>2023</x:v>
      </x:c>
      <x:c r="E623" s="5" t="s">
        <x:v>440</x:v>
      </x:c>
      <x:c r="F623" s="5" t="s">
        <x:v>0</x:v>
      </x:c>
      <x:c r="G623" s="5" t="s">
        <x:v>601</x:v>
      </x:c>
      <x:c r="H623" s="8">
        <x:v>1062312542</x:v>
      </x:c>
      <x:c r="I623" s="8">
        <x:v>248795606881</x:v>
      </x:c>
      <x:c r="J623" s="5" t="s">
        <x:v>602</x:v>
      </x:c>
      <x:c r="K623" s="7"/>
      <x:c r="L623" s="9">
        <x:f t="shared" si="18"/>
        <x:v>4.2698203369326716E-3</x:v>
      </x:c>
      <x:c r="M623" s="8"/>
      <x:c r="N623" s="8"/>
      <x:c r="O623" s="7"/>
      <x:c r="P623" s="9" t="str">
        <x:f t="shared" si="19"/>
      </x:c>
      <x:c r="Q623" s="10" t="s">
        <x:v>329</x:v>
      </x:c>
      <x:c r="R623" s="5" t="s">
        <x:v>603</x:v>
      </x:c>
      <x:c r="S623" s="5" t="s">
        <x:v>357</x:v>
      </x:c>
      <x:c r="T623" s="5" t="s">
        <x:v>604</x:v>
      </x:c>
      <x:c r="U623" s="151"/>
      <x:c r="V623" s="151"/>
      <x:c r="W623" s="151"/>
      <x:c r="X623" s="151"/>
      <x:c r="Y623" s="151"/>
      <x:c r="Z623" s="151"/>
    </x:row>
    <x:row r="624" ht="22" customHeight="1">
      <x:c r="A624" s="5" t="s">
        <x:v>327</x:v>
      </x:c>
      <x:c r="B624" s="5" t="s">
        <x:v>328</x:v>
      </x:c>
      <x:c r="C624" s="6">
        <x:v>45291</x:v>
      </x:c>
      <x:c r="D624" s="5">
        <x:v>2023</x:v>
      </x:c>
      <x:c r="E624" s="5" t="s">
        <x:v>606</x:v>
      </x:c>
      <x:c r="F624" s="5" t="s">
        <x:v>0</x:v>
      </x:c>
      <x:c r="G624" s="5" t="s">
        <x:v>601</x:v>
      </x:c>
      <x:c r="H624" s="8">
        <x:v>751236149</x:v>
      </x:c>
      <x:c r="I624" s="8">
        <x:v>248795606881</x:v>
      </x:c>
      <x:c r="J624" s="5" t="s">
        <x:v>602</x:v>
      </x:c>
      <x:c r="K624" s="7"/>
      <x:c r="L624" s="9">
        <x:f t="shared" si="18"/>
        <x:v>3.0194912137629483E-3</x:v>
      </x:c>
      <x:c r="M624" s="8"/>
      <x:c r="N624" s="8"/>
      <x:c r="O624" s="7"/>
      <x:c r="P624" s="9" t="str">
        <x:f t="shared" si="19"/>
      </x:c>
      <x:c r="Q624" s="10" t="s">
        <x:v>329</x:v>
      </x:c>
      <x:c r="R624" s="5" t="s">
        <x:v>603</x:v>
      </x:c>
      <x:c r="S624" s="5" t="s">
        <x:v>357</x:v>
      </x:c>
      <x:c r="T624" s="5" t="s">
        <x:v>604</x:v>
      </x:c>
      <x:c r="U624" s="151"/>
      <x:c r="V624" s="151"/>
      <x:c r="W624" s="151"/>
      <x:c r="X624" s="151"/>
      <x:c r="Y624" s="151"/>
      <x:c r="Z624" s="151"/>
    </x:row>
    <x:row r="625" ht="22" customHeight="1">
      <x:c r="A625" s="5" t="s">
        <x:v>327</x:v>
      </x:c>
      <x:c r="B625" s="5" t="s">
        <x:v>328</x:v>
      </x:c>
      <x:c r="C625" s="6">
        <x:v>45291</x:v>
      </x:c>
      <x:c r="D625" s="5">
        <x:v>2023</x:v>
      </x:c>
      <x:c r="E625" s="5" t="s">
        <x:v>577</x:v>
      </x:c>
      <x:c r="F625" s="5" t="s">
        <x:v>0</x:v>
      </x:c>
      <x:c r="G625" s="5" t="s">
        <x:v>601</x:v>
      </x:c>
      <x:c r="H625" s="8">
        <x:v>697455090</x:v>
      </x:c>
      <x:c r="I625" s="8">
        <x:v>248795606881</x:v>
      </x:c>
      <x:c r="J625" s="5" t="s">
        <x:v>602</x:v>
      </x:c>
      <x:c r="K625" s="7"/>
      <x:c r="L625" s="9">
        <x:f t="shared" si="18"/>
        <x:v>2.8033255841755909E-3</x:v>
      </x:c>
      <x:c r="M625" s="8"/>
      <x:c r="N625" s="8"/>
      <x:c r="O625" s="7"/>
      <x:c r="P625" s="9" t="str">
        <x:f t="shared" si="19"/>
      </x:c>
      <x:c r="Q625" s="10" t="s">
        <x:v>329</x:v>
      </x:c>
      <x:c r="R625" s="5" t="s">
        <x:v>603</x:v>
      </x:c>
      <x:c r="S625" s="5" t="s">
        <x:v>357</x:v>
      </x:c>
      <x:c r="T625" s="5" t="s">
        <x:v>604</x:v>
      </x:c>
      <x:c r="U625" s="151"/>
      <x:c r="V625" s="151"/>
      <x:c r="W625" s="151"/>
      <x:c r="X625" s="151"/>
      <x:c r="Y625" s="151"/>
      <x:c r="Z625" s="151"/>
    </x:row>
    <x:row r="626" ht="22" customHeight="1">
      <x:c r="A626" s="5" t="s">
        <x:v>327</x:v>
      </x:c>
      <x:c r="B626" s="5" t="s">
        <x:v>328</x:v>
      </x:c>
      <x:c r="C626" s="6">
        <x:v>45291</x:v>
      </x:c>
      <x:c r="D626" s="5">
        <x:v>2023</x:v>
      </x:c>
      <x:c r="E626" s="5" t="s">
        <x:v>561</x:v>
      </x:c>
      <x:c r="F626" s="5" t="s">
        <x:v>0</x:v>
      </x:c>
      <x:c r="G626" s="5" t="s">
        <x:v>601</x:v>
      </x:c>
      <x:c r="H626" s="8">
        <x:v>510041217</x:v>
      </x:c>
      <x:c r="I626" s="8">
        <x:v>248795606881</x:v>
      </x:c>
      <x:c r="J626" s="5" t="s">
        <x:v>602</x:v>
      </x:c>
      <x:c r="K626" s="7"/>
      <x:c r="L626" s="9">
        <x:f t="shared" si="18"/>
        <x:v>2.050041089527577E-3</x:v>
      </x:c>
      <x:c r="M626" s="8"/>
      <x:c r="N626" s="8"/>
      <x:c r="O626" s="7"/>
      <x:c r="P626" s="9" t="str">
        <x:f t="shared" si="19"/>
      </x:c>
      <x:c r="Q626" s="10" t="s">
        <x:v>329</x:v>
      </x:c>
      <x:c r="R626" s="5" t="s">
        <x:v>603</x:v>
      </x:c>
      <x:c r="S626" s="5" t="s">
        <x:v>357</x:v>
      </x:c>
      <x:c r="T626" s="5" t="s">
        <x:v>604</x:v>
      </x:c>
      <x:c r="U626" s="151"/>
      <x:c r="V626" s="151"/>
      <x:c r="W626" s="151"/>
      <x:c r="X626" s="151"/>
      <x:c r="Y626" s="151"/>
      <x:c r="Z626" s="151"/>
    </x:row>
    <x:row r="627" ht="22" customHeight="1">
      <x:c r="A627" s="5" t="s">
        <x:v>327</x:v>
      </x:c>
      <x:c r="B627" s="5" t="s">
        <x:v>328</x:v>
      </x:c>
      <x:c r="C627" s="6">
        <x:v>45291</x:v>
      </x:c>
      <x:c r="D627" s="5">
        <x:v>2023</x:v>
      </x:c>
      <x:c r="E627" s="5" t="s">
        <x:v>570</x:v>
      </x:c>
      <x:c r="F627" s="5" t="s">
        <x:v>0</x:v>
      </x:c>
      <x:c r="G627" s="5" t="s">
        <x:v>601</x:v>
      </x:c>
      <x:c r="H627" s="8">
        <x:v>437633208</x:v>
      </x:c>
      <x:c r="I627" s="8">
        <x:v>248795606881</x:v>
      </x:c>
      <x:c r="J627" s="5" t="s">
        <x:v>602</x:v>
      </x:c>
      <x:c r="K627" s="7"/>
      <x:c r="L627" s="9">
        <x:f t="shared" si="18"/>
        <x:v>1.7590069755906977E-3</x:v>
      </x:c>
      <x:c r="M627" s="8"/>
      <x:c r="N627" s="8"/>
      <x:c r="O627" s="7"/>
      <x:c r="P627" s="9" t="str">
        <x:f t="shared" si="19"/>
      </x:c>
      <x:c r="Q627" s="10" t="s">
        <x:v>329</x:v>
      </x:c>
      <x:c r="R627" s="5" t="s">
        <x:v>603</x:v>
      </x:c>
      <x:c r="S627" s="5" t="s">
        <x:v>357</x:v>
      </x:c>
      <x:c r="T627" s="5" t="s">
        <x:v>604</x:v>
      </x:c>
      <x:c r="U627" s="151"/>
      <x:c r="V627" s="151"/>
      <x:c r="W627" s="151"/>
      <x:c r="X627" s="151"/>
      <x:c r="Y627" s="151"/>
      <x:c r="Z627" s="151"/>
    </x:row>
    <x:row r="628" ht="22" customHeight="1">
      <x:c r="A628" s="5" t="s">
        <x:v>327</x:v>
      </x:c>
      <x:c r="B628" s="5" t="s">
        <x:v>328</x:v>
      </x:c>
      <x:c r="C628" s="6">
        <x:v>45291</x:v>
      </x:c>
      <x:c r="D628" s="5">
        <x:v>2023</x:v>
      </x:c>
      <x:c r="E628" s="5" t="s">
        <x:v>417</x:v>
      </x:c>
      <x:c r="F628" s="5" t="s">
        <x:v>0</x:v>
      </x:c>
      <x:c r="G628" s="5" t="s">
        <x:v>601</x:v>
      </x:c>
      <x:c r="H628" s="8">
        <x:v>327878318</x:v>
      </x:c>
      <x:c r="I628" s="8">
        <x:v>248795606881</x:v>
      </x:c>
      <x:c r="J628" s="5" t="s">
        <x:v>602</x:v>
      </x:c>
      <x:c r="K628" s="7"/>
      <x:c r="L628" s="9">
        <x:f t="shared" si="18"/>
        <x:v>1.3178621685101762E-3</x:v>
      </x:c>
      <x:c r="M628" s="8"/>
      <x:c r="N628" s="8"/>
      <x:c r="O628" s="7"/>
      <x:c r="P628" s="9" t="str">
        <x:f t="shared" si="19"/>
      </x:c>
      <x:c r="Q628" s="10" t="s">
        <x:v>329</x:v>
      </x:c>
      <x:c r="R628" s="5" t="s">
        <x:v>603</x:v>
      </x:c>
      <x:c r="S628" s="5" t="s">
        <x:v>357</x:v>
      </x:c>
      <x:c r="T628" s="5" t="s">
        <x:v>604</x:v>
      </x:c>
      <x:c r="U628" s="151"/>
      <x:c r="V628" s="151"/>
      <x:c r="W628" s="151"/>
      <x:c r="X628" s="151"/>
      <x:c r="Y628" s="151"/>
      <x:c r="Z628" s="151"/>
    </x:row>
    <x:row r="629" ht="22" customHeight="1">
      <x:c r="A629" s="5" t="s">
        <x:v>327</x:v>
      </x:c>
      <x:c r="B629" s="5" t="s">
        <x:v>328</x:v>
      </x:c>
      <x:c r="C629" s="6">
        <x:v>45291</x:v>
      </x:c>
      <x:c r="D629" s="5">
        <x:v>2023</x:v>
      </x:c>
      <x:c r="E629" s="5" t="s">
        <x:v>441</x:v>
      </x:c>
      <x:c r="F629" s="5" t="s">
        <x:v>0</x:v>
      </x:c>
      <x:c r="G629" s="5" t="s">
        <x:v>601</x:v>
      </x:c>
      <x:c r="H629" s="8">
        <x:v>321508011</x:v>
      </x:c>
      <x:c r="I629" s="8">
        <x:v>248795606881</x:v>
      </x:c>
      <x:c r="J629" s="5" t="s">
        <x:v>602</x:v>
      </x:c>
      <x:c r="K629" s="7"/>
      <x:c r="L629" s="9">
        <x:f t="shared" si="18"/>
        <x:v>1.2922575885906966E-3</x:v>
      </x:c>
      <x:c r="M629" s="8"/>
      <x:c r="N629" s="8"/>
      <x:c r="O629" s="7"/>
      <x:c r="P629" s="9" t="str">
        <x:f t="shared" si="19"/>
      </x:c>
      <x:c r="Q629" s="10" t="s">
        <x:v>329</x:v>
      </x:c>
      <x:c r="R629" s="5" t="s">
        <x:v>603</x:v>
      </x:c>
      <x:c r="S629" s="5" t="s">
        <x:v>357</x:v>
      </x:c>
      <x:c r="T629" s="5" t="s">
        <x:v>604</x:v>
      </x:c>
      <x:c r="U629" s="151"/>
      <x:c r="V629" s="151"/>
      <x:c r="W629" s="151"/>
      <x:c r="X629" s="151"/>
      <x:c r="Y629" s="151"/>
      <x:c r="Z629" s="151"/>
    </x:row>
    <x:row r="630" ht="22" customHeight="1">
      <x:c r="A630" s="5" t="s">
        <x:v>327</x:v>
      </x:c>
      <x:c r="B630" s="5" t="s">
        <x:v>328</x:v>
      </x:c>
      <x:c r="C630" s="6">
        <x:v>45291</x:v>
      </x:c>
      <x:c r="D630" s="5">
        <x:v>2023</x:v>
      </x:c>
      <x:c r="E630" s="5" t="s">
        <x:v>568</x:v>
      </x:c>
      <x:c r="F630" s="5" t="s">
        <x:v>0</x:v>
      </x:c>
      <x:c r="G630" s="5" t="s">
        <x:v>601</x:v>
      </x:c>
      <x:c r="H630" s="8">
        <x:v>267076094</x:v>
      </x:c>
      <x:c r="I630" s="8">
        <x:v>248795606881</x:v>
      </x:c>
      <x:c r="J630" s="5" t="s">
        <x:v>602</x:v>
      </x:c>
      <x:c r="K630" s="7"/>
      <x:c r="L630" s="9">
        <x:f t="shared" si="18"/>
        <x:v>1.0734759240654263E-3</x:v>
      </x:c>
      <x:c r="M630" s="8"/>
      <x:c r="N630" s="8"/>
      <x:c r="O630" s="7"/>
      <x:c r="P630" s="9" t="str">
        <x:f t="shared" si="19"/>
      </x:c>
      <x:c r="Q630" s="10" t="s">
        <x:v>329</x:v>
      </x:c>
      <x:c r="R630" s="5" t="s">
        <x:v>603</x:v>
      </x:c>
      <x:c r="S630" s="5" t="s">
        <x:v>357</x:v>
      </x:c>
      <x:c r="T630" s="5" t="s">
        <x:v>604</x:v>
      </x:c>
      <x:c r="U630" s="151"/>
      <x:c r="V630" s="151"/>
      <x:c r="W630" s="151"/>
      <x:c r="X630" s="151"/>
      <x:c r="Y630" s="151"/>
      <x:c r="Z630" s="151"/>
    </x:row>
    <x:row r="631" ht="22" customHeight="1">
      <x:c r="A631" s="5" t="s">
        <x:v>327</x:v>
      </x:c>
      <x:c r="B631" s="5" t="s">
        <x:v>328</x:v>
      </x:c>
      <x:c r="C631" s="6">
        <x:v>45291</x:v>
      </x:c>
      <x:c r="D631" s="5">
        <x:v>2023</x:v>
      </x:c>
      <x:c r="E631" s="5" t="s">
        <x:v>563</x:v>
      </x:c>
      <x:c r="F631" s="5" t="s">
        <x:v>0</x:v>
      </x:c>
      <x:c r="G631" s="5" t="s">
        <x:v>601</x:v>
      </x:c>
      <x:c r="H631" s="8">
        <x:v>206248240</x:v>
      </x:c>
      <x:c r="I631" s="8">
        <x:v>248795606881</x:v>
      </x:c>
      <x:c r="J631" s="5" t="s">
        <x:v>602</x:v>
      </x:c>
      <x:c r="K631" s="7"/>
      <x:c r="L631" s="9">
        <x:f t="shared" si="18"/>
        <x:v>8.2898666333224046E-4</x:v>
      </x:c>
      <x:c r="M631" s="8"/>
      <x:c r="N631" s="8"/>
      <x:c r="O631" s="7"/>
      <x:c r="P631" s="9" t="str">
        <x:f t="shared" si="19"/>
      </x:c>
      <x:c r="Q631" s="10" t="s">
        <x:v>329</x:v>
      </x:c>
      <x:c r="R631" s="5" t="s">
        <x:v>603</x:v>
      </x:c>
      <x:c r="S631" s="5" t="s">
        <x:v>357</x:v>
      </x:c>
      <x:c r="T631" s="5" t="s">
        <x:v>604</x:v>
      </x:c>
      <x:c r="U631" s="151"/>
      <x:c r="V631" s="151"/>
      <x:c r="W631" s="151"/>
      <x:c r="X631" s="151"/>
      <x:c r="Y631" s="151"/>
      <x:c r="Z631" s="151"/>
    </x:row>
    <x:row r="632" ht="22" customHeight="1">
      <x:c r="A632" s="5" t="s">
        <x:v>327</x:v>
      </x:c>
      <x:c r="B632" s="5" t="s">
        <x:v>328</x:v>
      </x:c>
      <x:c r="C632" s="6">
        <x:v>45291</x:v>
      </x:c>
      <x:c r="D632" s="5">
        <x:v>2023</x:v>
      </x:c>
      <x:c r="E632" s="5" t="s">
        <x:v>459</x:v>
      </x:c>
      <x:c r="F632" s="5" t="s">
        <x:v>0</x:v>
      </x:c>
      <x:c r="G632" s="5" t="s">
        <x:v>601</x:v>
      </x:c>
      <x:c r="H632" s="8">
        <x:v>122381664</x:v>
      </x:c>
      <x:c r="I632" s="8">
        <x:v>248795606881</x:v>
      </x:c>
      <x:c r="J632" s="5" t="s">
        <x:v>602</x:v>
      </x:c>
      <x:c r="K632" s="7"/>
      <x:c r="L632" s="9">
        <x:f t="shared" si="18"/>
        <x:v>4.9189640257006498E-4</x:v>
      </x:c>
      <x:c r="M632" s="8"/>
      <x:c r="N632" s="8"/>
      <x:c r="O632" s="7"/>
      <x:c r="P632" s="9" t="str">
        <x:f t="shared" si="19"/>
      </x:c>
      <x:c r="Q632" s="10" t="s">
        <x:v>329</x:v>
      </x:c>
      <x:c r="R632" s="5" t="s">
        <x:v>603</x:v>
      </x:c>
      <x:c r="S632" s="5" t="s">
        <x:v>357</x:v>
      </x:c>
      <x:c r="T632" s="5" t="s">
        <x:v>604</x:v>
      </x:c>
      <x:c r="U632" s="151"/>
      <x:c r="V632" s="151"/>
      <x:c r="W632" s="151"/>
      <x:c r="X632" s="151"/>
      <x:c r="Y632" s="151"/>
      <x:c r="Z632" s="151"/>
    </x:row>
    <x:row r="633" ht="22" customHeight="1">
      <x:c r="A633" s="5" t="s">
        <x:v>327</x:v>
      </x:c>
      <x:c r="B633" s="5" t="s">
        <x:v>328</x:v>
      </x:c>
      <x:c r="C633" s="6">
        <x:v>45657</x:v>
      </x:c>
      <x:c r="D633" s="5">
        <x:v>2024</x:v>
      </x:c>
      <x:c r="E633" s="5" t="s">
        <x:v>414</x:v>
      </x:c>
      <x:c r="F633" s="5" t="s">
        <x:v>0</x:v>
      </x:c>
      <x:c r="G633" s="5" t="s">
        <x:v>601</x:v>
      </x:c>
      <x:c r="H633" s="8">
        <x:v>46722369149</x:v>
      </x:c>
      <x:c r="I633" s="8">
        <x:v>248795606881</x:v>
      </x:c>
      <x:c r="J633" s="5" t="s">
        <x:v>602</x:v>
      </x:c>
      <x:c r="K633" s="7"/>
      <x:c r="L633" s="9">
        <x:f t="shared" si="18"/>
        <x:v>0.18779418871068534</x:v>
      </x:c>
      <x:c r="M633" s="8"/>
      <x:c r="N633" s="8"/>
      <x:c r="O633" s="7"/>
      <x:c r="P633" s="9" t="str">
        <x:f t="shared" si="19"/>
      </x:c>
      <x:c r="Q633" s="10" t="s">
        <x:v>329</x:v>
      </x:c>
      <x:c r="R633" s="5" t="s">
        <x:v>603</x:v>
      </x:c>
      <x:c r="S633" s="5" t="s">
        <x:v>357</x:v>
      </x:c>
      <x:c r="T633" s="5" t="s">
        <x:v>604</x:v>
      </x:c>
      <x:c r="U633" s="151"/>
      <x:c r="V633" s="151"/>
      <x:c r="W633" s="151"/>
      <x:c r="X633" s="151"/>
      <x:c r="Y633" s="151"/>
      <x:c r="Z633" s="151"/>
    </x:row>
    <x:row r="634" ht="22" customHeight="1">
      <x:c r="A634" s="5" t="s">
        <x:v>327</x:v>
      </x:c>
      <x:c r="B634" s="5" t="s">
        <x:v>328</x:v>
      </x:c>
      <x:c r="C634" s="6">
        <x:v>45657</x:v>
      </x:c>
      <x:c r="D634" s="5">
        <x:v>2024</x:v>
      </x:c>
      <x:c r="E634" s="5" t="s">
        <x:v>413</x:v>
      </x:c>
      <x:c r="F634" s="5" t="s">
        <x:v>0</x:v>
      </x:c>
      <x:c r="G634" s="5" t="s">
        <x:v>601</x:v>
      </x:c>
      <x:c r="H634" s="8">
        <x:v>46722369149</x:v>
      </x:c>
      <x:c r="I634" s="8">
        <x:v>248795606881</x:v>
      </x:c>
      <x:c r="J634" s="5" t="s">
        <x:v>602</x:v>
      </x:c>
      <x:c r="K634" s="7"/>
      <x:c r="L634" s="9">
        <x:f t="shared" si="18"/>
        <x:v>0.18779418871068534</x:v>
      </x:c>
      <x:c r="M634" s="8"/>
      <x:c r="N634" s="8"/>
      <x:c r="O634" s="7"/>
      <x:c r="P634" s="9" t="str">
        <x:f t="shared" si="19"/>
      </x:c>
      <x:c r="Q634" s="10" t="s">
        <x:v>329</x:v>
      </x:c>
      <x:c r="R634" s="5" t="s">
        <x:v>603</x:v>
      </x:c>
      <x:c r="S634" s="5" t="s">
        <x:v>357</x:v>
      </x:c>
      <x:c r="T634" s="5" t="s">
        <x:v>604</x:v>
      </x:c>
      <x:c r="U634" s="151"/>
      <x:c r="V634" s="151"/>
      <x:c r="W634" s="151"/>
      <x:c r="X634" s="151"/>
      <x:c r="Y634" s="151"/>
      <x:c r="Z634" s="151"/>
    </x:row>
    <x:row r="635" ht="22" customHeight="1">
      <x:c r="A635" s="5" t="s">
        <x:v>327</x:v>
      </x:c>
      <x:c r="B635" s="5" t="s">
        <x:v>328</x:v>
      </x:c>
      <x:c r="C635" s="6">
        <x:v>45657</x:v>
      </x:c>
      <x:c r="D635" s="5">
        <x:v>2024</x:v>
      </x:c>
      <x:c r="E635" s="5" t="s">
        <x:v>416</x:v>
      </x:c>
      <x:c r="F635" s="5" t="s">
        <x:v>0</x:v>
      </x:c>
      <x:c r="G635" s="5" t="s">
        <x:v>601</x:v>
      </x:c>
      <x:c r="H635" s="8">
        <x:v>46722369149</x:v>
      </x:c>
      <x:c r="I635" s="8">
        <x:v>248795606881</x:v>
      </x:c>
      <x:c r="J635" s="5" t="s">
        <x:v>602</x:v>
      </x:c>
      <x:c r="K635" s="7"/>
      <x:c r="L635" s="9">
        <x:f t="shared" si="18"/>
        <x:v>0.18779418871068534</x:v>
      </x:c>
      <x:c r="M635" s="8"/>
      <x:c r="N635" s="8"/>
      <x:c r="O635" s="7"/>
      <x:c r="P635" s="9" t="str">
        <x:f t="shared" si="19"/>
      </x:c>
      <x:c r="Q635" s="10" t="s">
        <x:v>329</x:v>
      </x:c>
      <x:c r="R635" s="5" t="s">
        <x:v>603</x:v>
      </x:c>
      <x:c r="S635" s="5" t="s">
        <x:v>357</x:v>
      </x:c>
      <x:c r="T635" s="5" t="s">
        <x:v>604</x:v>
      </x:c>
      <x:c r="U635" s="151"/>
      <x:c r="V635" s="151"/>
      <x:c r="W635" s="151"/>
      <x:c r="X635" s="151"/>
      <x:c r="Y635" s="151"/>
      <x:c r="Z635" s="151"/>
    </x:row>
    <x:row r="636" ht="22" customHeight="1">
      <x:c r="A636" s="5" t="s">
        <x:v>327</x:v>
      </x:c>
      <x:c r="B636" s="5" t="s">
        <x:v>328</x:v>
      </x:c>
      <x:c r="C636" s="6">
        <x:v>45657</x:v>
      </x:c>
      <x:c r="D636" s="5">
        <x:v>2024</x:v>
      </x:c>
      <x:c r="E636" s="5" t="s">
        <x:v>421</x:v>
      </x:c>
      <x:c r="F636" s="5" t="s">
        <x:v>0</x:v>
      </x:c>
      <x:c r="G636" s="5" t="s">
        <x:v>601</x:v>
      </x:c>
      <x:c r="H636" s="8">
        <x:v>28033421847</x:v>
      </x:c>
      <x:c r="I636" s="8">
        <x:v>248795606881</x:v>
      </x:c>
      <x:c r="J636" s="5" t="s">
        <x:v>602</x:v>
      </x:c>
      <x:c r="K636" s="7"/>
      <x:c r="L636" s="9">
        <x:f t="shared" si="18"/>
        <x:v>0.11267651466373563</x:v>
      </x:c>
      <x:c r="M636" s="8"/>
      <x:c r="N636" s="8"/>
      <x:c r="O636" s="7"/>
      <x:c r="P636" s="9" t="str">
        <x:f t="shared" si="19"/>
      </x:c>
      <x:c r="Q636" s="10" t="s">
        <x:v>329</x:v>
      </x:c>
      <x:c r="R636" s="5" t="s">
        <x:v>603</x:v>
      </x:c>
      <x:c r="S636" s="5" t="s">
        <x:v>357</x:v>
      </x:c>
      <x:c r="T636" s="5" t="s">
        <x:v>604</x:v>
      </x:c>
      <x:c r="U636" s="151"/>
      <x:c r="V636" s="151"/>
      <x:c r="W636" s="151"/>
      <x:c r="X636" s="151"/>
      <x:c r="Y636" s="151"/>
      <x:c r="Z636" s="151"/>
    </x:row>
    <x:row r="637" ht="22" customHeight="1">
      <x:c r="A637" s="5" t="s">
        <x:v>327</x:v>
      </x:c>
      <x:c r="B637" s="5" t="s">
        <x:v>328</x:v>
      </x:c>
      <x:c r="C637" s="6">
        <x:v>45657</x:v>
      </x:c>
      <x:c r="D637" s="5">
        <x:v>2024</x:v>
      </x:c>
      <x:c r="E637" s="5" t="s">
        <x:v>409</x:v>
      </x:c>
      <x:c r="F637" s="5" t="s">
        <x:v>0</x:v>
      </x:c>
      <x:c r="G637" s="5" t="s">
        <x:v>601</x:v>
      </x:c>
      <x:c r="H637" s="8">
        <x:v>12951115777</x:v>
      </x:c>
      <x:c r="I637" s="8">
        <x:v>248795606881</x:v>
      </x:c>
      <x:c r="J637" s="5" t="s">
        <x:v>602</x:v>
      </x:c>
      <x:c r="K637" s="7"/>
      <x:c r="L637" s="9">
        <x:f t="shared" si="18"/>
        <x:v>5.205524301397562E-2</x:v>
      </x:c>
      <x:c r="M637" s="8"/>
      <x:c r="N637" s="8"/>
      <x:c r="O637" s="7"/>
      <x:c r="P637" s="9" t="str">
        <x:f t="shared" si="19"/>
      </x:c>
      <x:c r="Q637" s="10" t="s">
        <x:v>329</x:v>
      </x:c>
      <x:c r="R637" s="5" t="s">
        <x:v>603</x:v>
      </x:c>
      <x:c r="S637" s="5" t="s">
        <x:v>357</x:v>
      </x:c>
      <x:c r="T637" s="5" t="s">
        <x:v>604</x:v>
      </x:c>
      <x:c r="U637" s="151"/>
      <x:c r="V637" s="151"/>
      <x:c r="W637" s="151"/>
      <x:c r="X637" s="151"/>
      <x:c r="Y637" s="151"/>
      <x:c r="Z637" s="151"/>
    </x:row>
    <x:row r="638" ht="22" customHeight="1">
      <x:c r="A638" s="5" t="s">
        <x:v>327</x:v>
      </x:c>
      <x:c r="B638" s="5" t="s">
        <x:v>328</x:v>
      </x:c>
      <x:c r="C638" s="6">
        <x:v>45657</x:v>
      </x:c>
      <x:c r="D638" s="5">
        <x:v>2024</x:v>
      </x:c>
      <x:c r="E638" s="5" t="s">
        <x:v>418</x:v>
      </x:c>
      <x:c r="F638" s="5" t="s">
        <x:v>0</x:v>
      </x:c>
      <x:c r="G638" s="5" t="s">
        <x:v>601</x:v>
      </x:c>
      <x:c r="H638" s="8">
        <x:v>12951115777</x:v>
      </x:c>
      <x:c r="I638" s="8">
        <x:v>248795606881</x:v>
      </x:c>
      <x:c r="J638" s="5" t="s">
        <x:v>602</x:v>
      </x:c>
      <x:c r="K638" s="7"/>
      <x:c r="L638" s="9">
        <x:f t="shared" si="18"/>
        <x:v>5.205524301397562E-2</x:v>
      </x:c>
      <x:c r="M638" s="8"/>
      <x:c r="N638" s="8"/>
      <x:c r="O638" s="7"/>
      <x:c r="P638" s="9" t="str">
        <x:f t="shared" si="19"/>
      </x:c>
      <x:c r="Q638" s="10" t="s">
        <x:v>329</x:v>
      </x:c>
      <x:c r="R638" s="5" t="s">
        <x:v>603</x:v>
      </x:c>
      <x:c r="S638" s="5" t="s">
        <x:v>357</x:v>
      </x:c>
      <x:c r="T638" s="5" t="s">
        <x:v>604</x:v>
      </x:c>
      <x:c r="U638" s="151"/>
      <x:c r="V638" s="151"/>
      <x:c r="W638" s="151"/>
      <x:c r="X638" s="151"/>
      <x:c r="Y638" s="151"/>
      <x:c r="Z638" s="151"/>
    </x:row>
    <x:row r="639" ht="22" customHeight="1">
      <x:c r="A639" s="5" t="s">
        <x:v>327</x:v>
      </x:c>
      <x:c r="B639" s="5" t="s">
        <x:v>328</x:v>
      </x:c>
      <x:c r="C639" s="6">
        <x:v>45657</x:v>
      </x:c>
      <x:c r="D639" s="5">
        <x:v>2024</x:v>
      </x:c>
      <x:c r="E639" s="5" t="s">
        <x:v>463</x:v>
      </x:c>
      <x:c r="F639" s="5" t="s">
        <x:v>0</x:v>
      </x:c>
      <x:c r="G639" s="5" t="s">
        <x:v>601</x:v>
      </x:c>
      <x:c r="H639" s="8">
        <x:v>11366679827</x:v>
      </x:c>
      <x:c r="I639" s="8">
        <x:v>248795606881</x:v>
      </x:c>
      <x:c r="J639" s="5" t="s">
        <x:v>602</x:v>
      </x:c>
      <x:c r="K639" s="7"/>
      <x:c r="L639" s="9">
        <x:f t="shared" si="18"/>
        <x:v>4.5686818869099775E-2</x:v>
      </x:c>
      <x:c r="M639" s="8"/>
      <x:c r="N639" s="8"/>
      <x:c r="O639" s="7"/>
      <x:c r="P639" s="9" t="str">
        <x:f t="shared" si="19"/>
      </x:c>
      <x:c r="Q639" s="10" t="s">
        <x:v>329</x:v>
      </x:c>
      <x:c r="R639" s="5" t="s">
        <x:v>603</x:v>
      </x:c>
      <x:c r="S639" s="5" t="s">
        <x:v>357</x:v>
      </x:c>
      <x:c r="T639" s="5" t="s">
        <x:v>604</x:v>
      </x:c>
      <x:c r="U639" s="151"/>
      <x:c r="V639" s="151"/>
      <x:c r="W639" s="151"/>
      <x:c r="X639" s="151"/>
      <x:c r="Y639" s="151"/>
      <x:c r="Z639" s="151"/>
    </x:row>
    <x:row r="640" ht="22" customHeight="1">
      <x:c r="A640" s="5" t="s">
        <x:v>327</x:v>
      </x:c>
      <x:c r="B640" s="5" t="s">
        <x:v>328</x:v>
      </x:c>
      <x:c r="C640" s="6">
        <x:v>45657</x:v>
      </x:c>
      <x:c r="D640" s="5">
        <x:v>2024</x:v>
      </x:c>
      <x:c r="E640" s="5" t="s">
        <x:v>422</x:v>
      </x:c>
      <x:c r="F640" s="5" t="s">
        <x:v>0</x:v>
      </x:c>
      <x:c r="G640" s="5" t="s">
        <x:v>601</x:v>
      </x:c>
      <x:c r="H640" s="8">
        <x:v>8591781713</x:v>
      </x:c>
      <x:c r="I640" s="8">
        <x:v>248795606881</x:v>
      </x:c>
      <x:c r="J640" s="5" t="s">
        <x:v>602</x:v>
      </x:c>
      <x:c r="K640" s="7"/>
      <x:c r="L640" s="9">
        <x:f t="shared" si="18"/>
        <x:v>3.4533494464431949E-2</x:v>
      </x:c>
      <x:c r="M640" s="8"/>
      <x:c r="N640" s="8"/>
      <x:c r="O640" s="7"/>
      <x:c r="P640" s="9" t="str">
        <x:f t="shared" si="19"/>
      </x:c>
      <x:c r="Q640" s="10" t="s">
        <x:v>329</x:v>
      </x:c>
      <x:c r="R640" s="5" t="s">
        <x:v>603</x:v>
      </x:c>
      <x:c r="S640" s="5" t="s">
        <x:v>357</x:v>
      </x:c>
      <x:c r="T640" s="5" t="s">
        <x:v>604</x:v>
      </x:c>
      <x:c r="U640" s="151"/>
      <x:c r="V640" s="151"/>
      <x:c r="W640" s="151"/>
      <x:c r="X640" s="151"/>
      <x:c r="Y640" s="151"/>
      <x:c r="Z640" s="151"/>
    </x:row>
    <x:row r="641" ht="22" customHeight="1">
      <x:c r="A641" s="5" t="s">
        <x:v>327</x:v>
      </x:c>
      <x:c r="B641" s="5" t="s">
        <x:v>328</x:v>
      </x:c>
      <x:c r="C641" s="6">
        <x:v>45657</x:v>
      </x:c>
      <x:c r="D641" s="5">
        <x:v>2024</x:v>
      </x:c>
      <x:c r="E641" s="5" t="s">
        <x:v>411</x:v>
      </x:c>
      <x:c r="F641" s="5" t="s">
        <x:v>0</x:v>
      </x:c>
      <x:c r="G641" s="5" t="s">
        <x:v>601</x:v>
      </x:c>
      <x:c r="H641" s="8">
        <x:v>6557521657</x:v>
      </x:c>
      <x:c r="I641" s="8">
        <x:v>248795606881</x:v>
      </x:c>
      <x:c r="J641" s="5" t="s">
        <x:v>602</x:v>
      </x:c>
      <x:c r="K641" s="7"/>
      <x:c r="L641" s="9">
        <x:f t="shared" si="18"/>
        <x:v>2.6357063692593618E-2</x:v>
      </x:c>
      <x:c r="M641" s="8"/>
      <x:c r="N641" s="8"/>
      <x:c r="O641" s="7"/>
      <x:c r="P641" s="9" t="str">
        <x:f t="shared" si="19"/>
      </x:c>
      <x:c r="Q641" s="10" t="s">
        <x:v>329</x:v>
      </x:c>
      <x:c r="R641" s="5" t="s">
        <x:v>603</x:v>
      </x:c>
      <x:c r="S641" s="5" t="s">
        <x:v>357</x:v>
      </x:c>
      <x:c r="T641" s="5" t="s">
        <x:v>604</x:v>
      </x:c>
      <x:c r="U641" s="151"/>
      <x:c r="V641" s="151"/>
      <x:c r="W641" s="151"/>
      <x:c r="X641" s="151"/>
      <x:c r="Y641" s="151"/>
      <x:c r="Z641" s="151"/>
    </x:row>
    <x:row r="642" ht="22" customHeight="1">
      <x:c r="A642" s="5" t="s">
        <x:v>327</x:v>
      </x:c>
      <x:c r="B642" s="5" t="s">
        <x:v>328</x:v>
      </x:c>
      <x:c r="C642" s="6">
        <x:v>45657</x:v>
      </x:c>
      <x:c r="D642" s="5">
        <x:v>2024</x:v>
      </x:c>
      <x:c r="E642" s="5" t="s">
        <x:v>407</x:v>
      </x:c>
      <x:c r="F642" s="5" t="s">
        <x:v>0</x:v>
      </x:c>
      <x:c r="G642" s="5" t="s">
        <x:v>601</x:v>
      </x:c>
      <x:c r="H642" s="8">
        <x:v>6428994386</x:v>
      </x:c>
      <x:c r="I642" s="8">
        <x:v>248795606881</x:v>
      </x:c>
      <x:c r="J642" s="5" t="s">
        <x:v>602</x:v>
      </x:c>
      <x:c r="K642" s="7"/>
      <x:c r="L642" s="9">
        <x:f t="shared" si="18"/>
        <x:v>2.5840465861099449E-2</x:v>
      </x:c>
      <x:c r="M642" s="8"/>
      <x:c r="N642" s="8"/>
      <x:c r="O642" s="7"/>
      <x:c r="P642" s="9" t="str">
        <x:f t="shared" si="19"/>
      </x:c>
      <x:c r="Q642" s="10" t="s">
        <x:v>329</x:v>
      </x:c>
      <x:c r="R642" s="5" t="s">
        <x:v>603</x:v>
      </x:c>
      <x:c r="S642" s="5" t="s">
        <x:v>357</x:v>
      </x:c>
      <x:c r="T642" s="5" t="s">
        <x:v>604</x:v>
      </x:c>
      <x:c r="U642" s="151"/>
      <x:c r="V642" s="151"/>
      <x:c r="W642" s="151"/>
      <x:c r="X642" s="151"/>
      <x:c r="Y642" s="151"/>
      <x:c r="Z642" s="151"/>
    </x:row>
    <x:row r="643" ht="22" customHeight="1">
      <x:c r="A643" s="5" t="s">
        <x:v>327</x:v>
      </x:c>
      <x:c r="B643" s="5" t="s">
        <x:v>328</x:v>
      </x:c>
      <x:c r="C643" s="6">
        <x:v>45657</x:v>
      </x:c>
      <x:c r="D643" s="5">
        <x:v>2024</x:v>
      </x:c>
      <x:c r="E643" s="5" t="s">
        <x:v>412</x:v>
      </x:c>
      <x:c r="F643" s="5" t="s">
        <x:v>0</x:v>
      </x:c>
      <x:c r="G643" s="5" t="s">
        <x:v>601</x:v>
      </x:c>
      <x:c r="H643" s="8">
        <x:v>3693702498</x:v>
      </x:c>
      <x:c r="I643" s="8">
        <x:v>248795606881</x:v>
      </x:c>
      <x:c r="J643" s="5" t="s">
        <x:v>602</x:v>
      </x:c>
      <x:c r="K643" s="7"/>
      <x:c r="L643" s="9">
        <x:f t="shared" si="18"/>
        <x:v>1.4846333278572373E-2</x:v>
      </x:c>
      <x:c r="M643" s="8"/>
      <x:c r="N643" s="8"/>
      <x:c r="O643" s="7"/>
      <x:c r="P643" s="9" t="str">
        <x:f t="shared" si="19"/>
      </x:c>
      <x:c r="Q643" s="10" t="s">
        <x:v>329</x:v>
      </x:c>
      <x:c r="R643" s="5" t="s">
        <x:v>603</x:v>
      </x:c>
      <x:c r="S643" s="5" t="s">
        <x:v>357</x:v>
      </x:c>
      <x:c r="T643" s="5" t="s">
        <x:v>604</x:v>
      </x:c>
      <x:c r="U643" s="151"/>
      <x:c r="V643" s="151"/>
      <x:c r="W643" s="151"/>
      <x:c r="X643" s="151"/>
      <x:c r="Y643" s="151"/>
      <x:c r="Z643" s="151"/>
    </x:row>
    <x:row r="644" ht="22" customHeight="1">
      <x:c r="A644" s="5" t="s">
        <x:v>327</x:v>
      </x:c>
      <x:c r="B644" s="5" t="s">
        <x:v>328</x:v>
      </x:c>
      <x:c r="C644" s="6">
        <x:v>45657</x:v>
      </x:c>
      <x:c r="D644" s="5">
        <x:v>2024</x:v>
      </x:c>
      <x:c r="E644" s="5" t="s">
        <x:v>446</x:v>
      </x:c>
      <x:c r="F644" s="5" t="s">
        <x:v>0</x:v>
      </x:c>
      <x:c r="G644" s="5" t="s">
        <x:v>601</x:v>
      </x:c>
      <x:c r="H644" s="8">
        <x:v>3512961713</x:v>
      </x:c>
      <x:c r="I644" s="8">
        <x:v>248795606881</x:v>
      </x:c>
      <x:c r="J644" s="5" t="s">
        <x:v>602</x:v>
      </x:c>
      <x:c r="K644" s="7"/>
      <x:c r="L644" s="9">
        <x:f t="shared" si="18"/>
        <x:v>1.4119870350766542E-2</x:v>
      </x:c>
      <x:c r="M644" s="8"/>
      <x:c r="N644" s="8"/>
      <x:c r="O644" s="7"/>
      <x:c r="P644" s="9" t="str">
        <x:f t="shared" si="19"/>
      </x:c>
      <x:c r="Q644" s="10" t="s">
        <x:v>329</x:v>
      </x:c>
      <x:c r="R644" s="5" t="s">
        <x:v>603</x:v>
      </x:c>
      <x:c r="S644" s="5" t="s">
        <x:v>357</x:v>
      </x:c>
      <x:c r="T644" s="5" t="s">
        <x:v>604</x:v>
      </x:c>
      <x:c r="U644" s="151"/>
      <x:c r="V644" s="151"/>
      <x:c r="W644" s="151"/>
      <x:c r="X644" s="151"/>
      <x:c r="Y644" s="151"/>
      <x:c r="Z644" s="151"/>
    </x:row>
    <x:row r="645" ht="22" customHeight="1">
      <x:c r="A645" s="5" t="s">
        <x:v>327</x:v>
      </x:c>
      <x:c r="B645" s="5" t="s">
        <x:v>328</x:v>
      </x:c>
      <x:c r="C645" s="6">
        <x:v>45657</x:v>
      </x:c>
      <x:c r="D645" s="5">
        <x:v>2024</x:v>
      </x:c>
      <x:c r="E645" s="5" t="s">
        <x:v>420</x:v>
      </x:c>
      <x:c r="F645" s="5" t="s">
        <x:v>0</x:v>
      </x:c>
      <x:c r="G645" s="5" t="s">
        <x:v>601</x:v>
      </x:c>
      <x:c r="H645" s="8">
        <x:v>2263904037</x:v>
      </x:c>
      <x:c r="I645" s="8">
        <x:v>248795606881</x:v>
      </x:c>
      <x:c r="J645" s="5" t="s">
        <x:v>602</x:v>
      </x:c>
      <x:c r="K645" s="7"/>
      <x:c r="L645" s="9">
        <x:f t="shared" si="18"/>
        <x:v>9.0994534243638587E-3</x:v>
      </x:c>
      <x:c r="M645" s="8"/>
      <x:c r="N645" s="8"/>
      <x:c r="O645" s="7"/>
      <x:c r="P645" s="9" t="str">
        <x:f t="shared" si="19"/>
      </x:c>
      <x:c r="Q645" s="10" t="s">
        <x:v>329</x:v>
      </x:c>
      <x:c r="R645" s="5" t="s">
        <x:v>603</x:v>
      </x:c>
      <x:c r="S645" s="5" t="s">
        <x:v>357</x:v>
      </x:c>
      <x:c r="T645" s="5" t="s">
        <x:v>604</x:v>
      </x:c>
      <x:c r="U645" s="151"/>
      <x:c r="V645" s="151"/>
      <x:c r="W645" s="151"/>
      <x:c r="X645" s="151"/>
      <x:c r="Y645" s="151"/>
      <x:c r="Z645" s="151"/>
    </x:row>
    <x:row r="646" ht="22" customHeight="1">
      <x:c r="A646" s="5" t="s">
        <x:v>327</x:v>
      </x:c>
      <x:c r="B646" s="5" t="s">
        <x:v>328</x:v>
      </x:c>
      <x:c r="C646" s="6">
        <x:v>45657</x:v>
      </x:c>
      <x:c r="D646" s="5">
        <x:v>2024</x:v>
      </x:c>
      <x:c r="E646" s="5" t="s">
        <x:v>605</x:v>
      </x:c>
      <x:c r="F646" s="5" t="s">
        <x:v>0</x:v>
      </x:c>
      <x:c r="G646" s="5" t="s">
        <x:v>601</x:v>
      </x:c>
      <x:c r="H646" s="8">
        <x:v>2206922328</x:v>
      </x:c>
      <x:c r="I646" s="8">
        <x:v>248795606881</x:v>
      </x:c>
      <x:c r="J646" s="5" t="s">
        <x:v>602</x:v>
      </x:c>
      <x:c r="K646" s="7"/>
      <x:c r="L646" s="9" t="n">
        <x:f t="shared" ref="L646:L659" si="20">IF(AND(H646&lt;&gt;"",I646&lt;&gt;""),H646/I646,IF(K646&lt;&gt;"",K646,""))</x:f>
        <x:v>0.008870423218749117</x:v>
      </x:c>
      <x:c r="M646" s="8"/>
      <x:c r="N646" s="8"/>
      <x:c r="O646" s="7"/>
      <x:c r="P646" s="9" t="str">
        <x:f t="shared" ref="P646:P659" si="21">IF(AND(M646&lt;&gt;"",N646&lt;&gt;""),M646/N646,IF(O646&lt;&gt;"",O646,""))</x:f>
      </x:c>
      <x:c r="Q646" s="10" t="s">
        <x:v>329</x:v>
      </x:c>
      <x:c r="R646" s="5" t="s">
        <x:v>603</x:v>
      </x:c>
      <x:c r="S646" s="5" t="s">
        <x:v>357</x:v>
      </x:c>
      <x:c r="T646" s="5" t="s">
        <x:v>604</x:v>
      </x:c>
      <x:c r="U646" s="151"/>
      <x:c r="V646" s="151"/>
      <x:c r="W646" s="151"/>
      <x:c r="X646" s="151"/>
      <x:c r="Y646" s="151"/>
      <x:c r="Z646" s="151"/>
    </x:row>
    <x:row r="647" ht="22" customHeight="1">
      <x:c r="A647" s="5" t="s">
        <x:v>327</x:v>
      </x:c>
      <x:c r="B647" s="5" t="s">
        <x:v>328</x:v>
      </x:c>
      <x:c r="C647" s="6">
        <x:v>45657</x:v>
      </x:c>
      <x:c r="D647" s="5">
        <x:v>2024</x:v>
      </x:c>
      <x:c r="E647" s="5" t="s">
        <x:v>448</x:v>
      </x:c>
      <x:c r="F647" s="5" t="s">
        <x:v>0</x:v>
      </x:c>
      <x:c r="G647" s="5" t="s">
        <x:v>601</x:v>
      </x:c>
      <x:c r="H647" s="8">
        <x:v>2087849195</x:v>
      </x:c>
      <x:c r="I647" s="8">
        <x:v>248795606881</x:v>
      </x:c>
      <x:c r="J647" s="5" t="s">
        <x:v>602</x:v>
      </x:c>
      <x:c r="K647" s="7"/>
      <x:c r="L647" s="9">
        <x:f t="shared" si="20"/>
        <x:v>8.3918250051683071E-3</x:v>
      </x:c>
      <x:c r="M647" s="8"/>
      <x:c r="N647" s="8"/>
      <x:c r="O647" s="7"/>
      <x:c r="P647" s="9" t="str">
        <x:f t="shared" si="21"/>
      </x:c>
      <x:c r="Q647" s="10" t="s">
        <x:v>329</x:v>
      </x:c>
      <x:c r="R647" s="5" t="s">
        <x:v>603</x:v>
      </x:c>
      <x:c r="S647" s="5" t="s">
        <x:v>357</x:v>
      </x:c>
      <x:c r="T647" s="5" t="s">
        <x:v>604</x:v>
      </x:c>
      <x:c r="U647" s="151"/>
      <x:c r="V647" s="151"/>
      <x:c r="W647" s="151"/>
      <x:c r="X647" s="151"/>
      <x:c r="Y647" s="151"/>
      <x:c r="Z647" s="151"/>
    </x:row>
    <x:row r="648" ht="22" customHeight="1">
      <x:c r="A648" s="5" t="s">
        <x:v>327</x:v>
      </x:c>
      <x:c r="B648" s="5" t="s">
        <x:v>328</x:v>
      </x:c>
      <x:c r="C648" s="6">
        <x:v>45657</x:v>
      </x:c>
      <x:c r="D648" s="5">
        <x:v>2024</x:v>
      </x:c>
      <x:c r="E648" s="5" t="s">
        <x:v>415</x:v>
      </x:c>
      <x:c r="F648" s="5" t="s">
        <x:v>0</x:v>
      </x:c>
      <x:c r="G648" s="5" t="s">
        <x:v>601</x:v>
      </x:c>
      <x:c r="H648" s="8">
        <x:v>1639379073</x:v>
      </x:c>
      <x:c r="I648" s="8">
        <x:v>248795606881</x:v>
      </x:c>
      <x:c r="J648" s="5" t="s">
        <x:v>602</x:v>
      </x:c>
      <x:c r="K648" s="7"/>
      <x:c r="L648" s="9">
        <x:f t="shared" si="20"/>
        <x:v>6.5892605321770095E-3</x:v>
      </x:c>
      <x:c r="M648" s="8"/>
      <x:c r="N648" s="8"/>
      <x:c r="O648" s="7"/>
      <x:c r="P648" s="9" t="str">
        <x:f t="shared" si="21"/>
      </x:c>
      <x:c r="Q648" s="10" t="s">
        <x:v>329</x:v>
      </x:c>
      <x:c r="R648" s="5" t="s">
        <x:v>603</x:v>
      </x:c>
      <x:c r="S648" s="5" t="s">
        <x:v>357</x:v>
      </x:c>
      <x:c r="T648" s="5" t="s">
        <x:v>604</x:v>
      </x:c>
      <x:c r="U648" s="151"/>
      <x:c r="V648" s="151"/>
      <x:c r="W648" s="151"/>
      <x:c r="X648" s="151"/>
      <x:c r="Y648" s="151"/>
      <x:c r="Z648" s="151"/>
    </x:row>
    <x:row r="649" ht="22" customHeight="1">
      <x:c r="A649" s="5" t="s">
        <x:v>327</x:v>
      </x:c>
      <x:c r="B649" s="5" t="s">
        <x:v>328</x:v>
      </x:c>
      <x:c r="C649" s="6">
        <x:v>45657</x:v>
      </x:c>
      <x:c r="D649" s="5">
        <x:v>2024</x:v>
      </x:c>
      <x:c r="E649" s="5" t="s">
        <x:v>465</x:v>
      </x:c>
      <x:c r="F649" s="5" t="s">
        <x:v>0</x:v>
      </x:c>
      <x:c r="G649" s="5" t="s">
        <x:v>601</x:v>
      </x:c>
      <x:c r="H649" s="8">
        <x:v>1639379073</x:v>
      </x:c>
      <x:c r="I649" s="8">
        <x:v>248795606881</x:v>
      </x:c>
      <x:c r="J649" s="5" t="s">
        <x:v>602</x:v>
      </x:c>
      <x:c r="K649" s="7"/>
      <x:c r="L649" s="9">
        <x:f t="shared" si="20"/>
        <x:v>6.5892605321770095E-3</x:v>
      </x:c>
      <x:c r="M649" s="8"/>
      <x:c r="N649" s="8"/>
      <x:c r="O649" s="7"/>
      <x:c r="P649" s="9" t="str">
        <x:f t="shared" si="21"/>
      </x:c>
      <x:c r="Q649" s="10" t="s">
        <x:v>329</x:v>
      </x:c>
      <x:c r="R649" s="5" t="s">
        <x:v>603</x:v>
      </x:c>
      <x:c r="S649" s="5" t="s">
        <x:v>357</x:v>
      </x:c>
      <x:c r="T649" s="5" t="s">
        <x:v>604</x:v>
      </x:c>
      <x:c r="U649" s="151"/>
      <x:c r="V649" s="151"/>
      <x:c r="W649" s="151"/>
      <x:c r="X649" s="151"/>
      <x:c r="Y649" s="151"/>
      <x:c r="Z649" s="151"/>
    </x:row>
    <x:row r="650" ht="22" customHeight="1">
      <x:c r="A650" s="5" t="s">
        <x:v>327</x:v>
      </x:c>
      <x:c r="B650" s="5" t="s">
        <x:v>328</x:v>
      </x:c>
      <x:c r="C650" s="6">
        <x:v>45657</x:v>
      </x:c>
      <x:c r="D650" s="5">
        <x:v>2024</x:v>
      </x:c>
      <x:c r="E650" s="5" t="s">
        <x:v>440</x:v>
      </x:c>
      <x:c r="F650" s="5" t="s">
        <x:v>0</x:v>
      </x:c>
      <x:c r="G650" s="5" t="s">
        <x:v>601</x:v>
      </x:c>
      <x:c r="H650" s="8">
        <x:v>1062312542</x:v>
      </x:c>
      <x:c r="I650" s="8">
        <x:v>248795606881</x:v>
      </x:c>
      <x:c r="J650" s="5" t="s">
        <x:v>602</x:v>
      </x:c>
      <x:c r="K650" s="7"/>
      <x:c r="L650" s="9">
        <x:f t="shared" si="20"/>
        <x:v>4.2698203369326716E-3</x:v>
      </x:c>
      <x:c r="M650" s="8"/>
      <x:c r="N650" s="8"/>
      <x:c r="O650" s="7"/>
      <x:c r="P650" s="9" t="str">
        <x:f t="shared" si="21"/>
      </x:c>
      <x:c r="Q650" s="10" t="s">
        <x:v>329</x:v>
      </x:c>
      <x:c r="R650" s="5" t="s">
        <x:v>603</x:v>
      </x:c>
      <x:c r="S650" s="5" t="s">
        <x:v>357</x:v>
      </x:c>
      <x:c r="T650" s="5" t="s">
        <x:v>604</x:v>
      </x:c>
      <x:c r="U650" s="151"/>
      <x:c r="V650" s="151"/>
      <x:c r="W650" s="151"/>
      <x:c r="X650" s="151"/>
      <x:c r="Y650" s="151"/>
      <x:c r="Z650" s="151"/>
    </x:row>
    <x:row r="651" ht="22" customHeight="1">
      <x:c r="A651" s="5" t="s">
        <x:v>327</x:v>
      </x:c>
      <x:c r="B651" s="5" t="s">
        <x:v>328</x:v>
      </x:c>
      <x:c r="C651" s="6">
        <x:v>45657</x:v>
      </x:c>
      <x:c r="D651" s="5">
        <x:v>2024</x:v>
      </x:c>
      <x:c r="E651" s="5" t="s">
        <x:v>606</x:v>
      </x:c>
      <x:c r="F651" s="5" t="s">
        <x:v>0</x:v>
      </x:c>
      <x:c r="G651" s="5" t="s">
        <x:v>601</x:v>
      </x:c>
      <x:c r="H651" s="8">
        <x:v>751236149</x:v>
      </x:c>
      <x:c r="I651" s="8">
        <x:v>248795606881</x:v>
      </x:c>
      <x:c r="J651" s="5" t="s">
        <x:v>602</x:v>
      </x:c>
      <x:c r="K651" s="7"/>
      <x:c r="L651" s="9">
        <x:f t="shared" si="20"/>
        <x:v>3.0194912137629483E-3</x:v>
      </x:c>
      <x:c r="M651" s="8"/>
      <x:c r="N651" s="8"/>
      <x:c r="O651" s="7"/>
      <x:c r="P651" s="9" t="str">
        <x:f t="shared" si="21"/>
      </x:c>
      <x:c r="Q651" s="10" t="s">
        <x:v>329</x:v>
      </x:c>
      <x:c r="R651" s="5" t="s">
        <x:v>603</x:v>
      </x:c>
      <x:c r="S651" s="5" t="s">
        <x:v>357</x:v>
      </x:c>
      <x:c r="T651" s="5" t="s">
        <x:v>604</x:v>
      </x:c>
      <x:c r="U651" s="151"/>
      <x:c r="V651" s="151"/>
      <x:c r="W651" s="151"/>
      <x:c r="X651" s="151"/>
      <x:c r="Y651" s="151"/>
      <x:c r="Z651" s="151"/>
    </x:row>
    <x:row r="652" ht="22" customHeight="1">
      <x:c r="A652" s="5" t="s">
        <x:v>327</x:v>
      </x:c>
      <x:c r="B652" s="5" t="s">
        <x:v>328</x:v>
      </x:c>
      <x:c r="C652" s="6">
        <x:v>45657</x:v>
      </x:c>
      <x:c r="D652" s="5">
        <x:v>2024</x:v>
      </x:c>
      <x:c r="E652" s="5" t="s">
        <x:v>577</x:v>
      </x:c>
      <x:c r="F652" s="5" t="s">
        <x:v>0</x:v>
      </x:c>
      <x:c r="G652" s="5" t="s">
        <x:v>601</x:v>
      </x:c>
      <x:c r="H652" s="8">
        <x:v>697455090</x:v>
      </x:c>
      <x:c r="I652" s="8">
        <x:v>248795606881</x:v>
      </x:c>
      <x:c r="J652" s="5" t="s">
        <x:v>602</x:v>
      </x:c>
      <x:c r="K652" s="7"/>
      <x:c r="L652" s="9">
        <x:f t="shared" si="20"/>
        <x:v>2.8033255841755909E-3</x:v>
      </x:c>
      <x:c r="M652" s="8"/>
      <x:c r="N652" s="8"/>
      <x:c r="O652" s="7"/>
      <x:c r="P652" s="9" t="str">
        <x:f t="shared" si="21"/>
      </x:c>
      <x:c r="Q652" s="10" t="s">
        <x:v>329</x:v>
      </x:c>
      <x:c r="R652" s="5" t="s">
        <x:v>603</x:v>
      </x:c>
      <x:c r="S652" s="5" t="s">
        <x:v>357</x:v>
      </x:c>
      <x:c r="T652" s="5" t="s">
        <x:v>604</x:v>
      </x:c>
      <x:c r="U652" s="151"/>
      <x:c r="V652" s="151"/>
      <x:c r="W652" s="151"/>
      <x:c r="X652" s="151"/>
      <x:c r="Y652" s="151"/>
      <x:c r="Z652" s="151"/>
    </x:row>
    <x:row r="653" ht="22" customHeight="1">
      <x:c r="A653" s="5" t="s">
        <x:v>327</x:v>
      </x:c>
      <x:c r="B653" s="5" t="s">
        <x:v>328</x:v>
      </x:c>
      <x:c r="C653" s="6">
        <x:v>45657</x:v>
      </x:c>
      <x:c r="D653" s="5">
        <x:v>2024</x:v>
      </x:c>
      <x:c r="E653" s="5" t="s">
        <x:v>561</x:v>
      </x:c>
      <x:c r="F653" s="5" t="s">
        <x:v>0</x:v>
      </x:c>
      <x:c r="G653" s="5" t="s">
        <x:v>601</x:v>
      </x:c>
      <x:c r="H653" s="8">
        <x:v>510041217</x:v>
      </x:c>
      <x:c r="I653" s="8">
        <x:v>248795606881</x:v>
      </x:c>
      <x:c r="J653" s="5" t="s">
        <x:v>602</x:v>
      </x:c>
      <x:c r="K653" s="7"/>
      <x:c r="L653" s="9">
        <x:f t="shared" si="20"/>
        <x:v>2.050041089527577E-3</x:v>
      </x:c>
      <x:c r="M653" s="8"/>
      <x:c r="N653" s="8"/>
      <x:c r="O653" s="7"/>
      <x:c r="P653" s="9" t="str">
        <x:f t="shared" si="21"/>
      </x:c>
      <x:c r="Q653" s="10" t="s">
        <x:v>329</x:v>
      </x:c>
      <x:c r="R653" s="5" t="s">
        <x:v>603</x:v>
      </x:c>
      <x:c r="S653" s="5" t="s">
        <x:v>357</x:v>
      </x:c>
      <x:c r="T653" s="5" t="s">
        <x:v>604</x:v>
      </x:c>
      <x:c r="U653" s="151"/>
      <x:c r="V653" s="151"/>
      <x:c r="W653" s="151"/>
      <x:c r="X653" s="151"/>
      <x:c r="Y653" s="151"/>
      <x:c r="Z653" s="151"/>
    </x:row>
    <x:row r="654" ht="22" customHeight="1">
      <x:c r="A654" s="5" t="s">
        <x:v>327</x:v>
      </x:c>
      <x:c r="B654" s="5" t="s">
        <x:v>328</x:v>
      </x:c>
      <x:c r="C654" s="6">
        <x:v>45657</x:v>
      </x:c>
      <x:c r="D654" s="5">
        <x:v>2024</x:v>
      </x:c>
      <x:c r="E654" s="5" t="s">
        <x:v>570</x:v>
      </x:c>
      <x:c r="F654" s="5" t="s">
        <x:v>0</x:v>
      </x:c>
      <x:c r="G654" s="5" t="s">
        <x:v>601</x:v>
      </x:c>
      <x:c r="H654" s="8">
        <x:v>437633208</x:v>
      </x:c>
      <x:c r="I654" s="8">
        <x:v>248795606881</x:v>
      </x:c>
      <x:c r="J654" s="5" t="s">
        <x:v>602</x:v>
      </x:c>
      <x:c r="K654" s="7"/>
      <x:c r="L654" s="9">
        <x:f t="shared" si="20"/>
        <x:v>1.7590069755906977E-3</x:v>
      </x:c>
      <x:c r="M654" s="8"/>
      <x:c r="N654" s="8"/>
      <x:c r="O654" s="7"/>
      <x:c r="P654" s="9" t="str">
        <x:f t="shared" si="21"/>
      </x:c>
      <x:c r="Q654" s="10" t="s">
        <x:v>329</x:v>
      </x:c>
      <x:c r="R654" s="5" t="s">
        <x:v>603</x:v>
      </x:c>
      <x:c r="S654" s="5" t="s">
        <x:v>357</x:v>
      </x:c>
      <x:c r="T654" s="5" t="s">
        <x:v>604</x:v>
      </x:c>
      <x:c r="U654" s="151"/>
      <x:c r="V654" s="151"/>
      <x:c r="W654" s="151"/>
      <x:c r="X654" s="151"/>
      <x:c r="Y654" s="151"/>
      <x:c r="Z654" s="151"/>
    </x:row>
    <x:row r="655" ht="22" customHeight="1">
      <x:c r="A655" s="5" t="s">
        <x:v>327</x:v>
      </x:c>
      <x:c r="B655" s="5" t="s">
        <x:v>328</x:v>
      </x:c>
      <x:c r="C655" s="6">
        <x:v>45657</x:v>
      </x:c>
      <x:c r="D655" s="5">
        <x:v>2024</x:v>
      </x:c>
      <x:c r="E655" s="5" t="s">
        <x:v>417</x:v>
      </x:c>
      <x:c r="F655" s="5" t="s">
        <x:v>0</x:v>
      </x:c>
      <x:c r="G655" s="5" t="s">
        <x:v>601</x:v>
      </x:c>
      <x:c r="H655" s="8">
        <x:v>327878318</x:v>
      </x:c>
      <x:c r="I655" s="8">
        <x:v>248795606881</x:v>
      </x:c>
      <x:c r="J655" s="5" t="s">
        <x:v>602</x:v>
      </x:c>
      <x:c r="K655" s="7"/>
      <x:c r="L655" s="9">
        <x:f t="shared" si="20"/>
        <x:v>1.3178621685101762E-3</x:v>
      </x:c>
      <x:c r="M655" s="8"/>
      <x:c r="N655" s="8"/>
      <x:c r="O655" s="7"/>
      <x:c r="P655" s="9" t="str">
        <x:f t="shared" si="21"/>
      </x:c>
      <x:c r="Q655" s="10" t="s">
        <x:v>329</x:v>
      </x:c>
      <x:c r="R655" s="5" t="s">
        <x:v>603</x:v>
      </x:c>
      <x:c r="S655" s="5" t="s">
        <x:v>357</x:v>
      </x:c>
      <x:c r="T655" s="5" t="s">
        <x:v>604</x:v>
      </x:c>
      <x:c r="U655" s="151"/>
      <x:c r="V655" s="151"/>
      <x:c r="W655" s="151"/>
      <x:c r="X655" s="151"/>
      <x:c r="Y655" s="151"/>
      <x:c r="Z655" s="151"/>
    </x:row>
    <x:row r="656" ht="22" customHeight="1">
      <x:c r="A656" s="5" t="s">
        <x:v>327</x:v>
      </x:c>
      <x:c r="B656" s="5" t="s">
        <x:v>328</x:v>
      </x:c>
      <x:c r="C656" s="6">
        <x:v>45657</x:v>
      </x:c>
      <x:c r="D656" s="5">
        <x:v>2024</x:v>
      </x:c>
      <x:c r="E656" s="5" t="s">
        <x:v>441</x:v>
      </x:c>
      <x:c r="F656" s="5" t="s">
        <x:v>0</x:v>
      </x:c>
      <x:c r="G656" s="5" t="s">
        <x:v>601</x:v>
      </x:c>
      <x:c r="H656" s="8">
        <x:v>321508011</x:v>
      </x:c>
      <x:c r="I656" s="8">
        <x:v>248795606881</x:v>
      </x:c>
      <x:c r="J656" s="5" t="s">
        <x:v>602</x:v>
      </x:c>
      <x:c r="K656" s="7"/>
      <x:c r="L656" s="9">
        <x:f t="shared" si="20"/>
        <x:v>1.2922575885906966E-3</x:v>
      </x:c>
      <x:c r="M656" s="8"/>
      <x:c r="N656" s="8"/>
      <x:c r="O656" s="7"/>
      <x:c r="P656" s="9" t="str">
        <x:f t="shared" si="21"/>
      </x:c>
      <x:c r="Q656" s="10" t="s">
        <x:v>329</x:v>
      </x:c>
      <x:c r="R656" s="5" t="s">
        <x:v>603</x:v>
      </x:c>
      <x:c r="S656" s="5" t="s">
        <x:v>357</x:v>
      </x:c>
      <x:c r="T656" s="5" t="s">
        <x:v>604</x:v>
      </x:c>
      <x:c r="U656" s="151"/>
      <x:c r="V656" s="151"/>
      <x:c r="W656" s="151"/>
      <x:c r="X656" s="151"/>
      <x:c r="Y656" s="151"/>
      <x:c r="Z656" s="151"/>
    </x:row>
    <x:row r="657" ht="22" customHeight="1">
      <x:c r="A657" s="5" t="s">
        <x:v>327</x:v>
      </x:c>
      <x:c r="B657" s="5" t="s">
        <x:v>328</x:v>
      </x:c>
      <x:c r="C657" s="6">
        <x:v>45657</x:v>
      </x:c>
      <x:c r="D657" s="5">
        <x:v>2024</x:v>
      </x:c>
      <x:c r="E657" s="5" t="s">
        <x:v>568</x:v>
      </x:c>
      <x:c r="F657" s="5" t="s">
        <x:v>0</x:v>
      </x:c>
      <x:c r="G657" s="5" t="s">
        <x:v>601</x:v>
      </x:c>
      <x:c r="H657" s="8">
        <x:v>267076094</x:v>
      </x:c>
      <x:c r="I657" s="8">
        <x:v>248795606881</x:v>
      </x:c>
      <x:c r="J657" s="5" t="s">
        <x:v>602</x:v>
      </x:c>
      <x:c r="K657" s="7"/>
      <x:c r="L657" s="9">
        <x:f t="shared" si="20"/>
        <x:v>1.0734759240654263E-3</x:v>
      </x:c>
      <x:c r="M657" s="8"/>
      <x:c r="N657" s="8"/>
      <x:c r="O657" s="7"/>
      <x:c r="P657" s="9" t="str">
        <x:f t="shared" si="21"/>
      </x:c>
      <x:c r="Q657" s="10" t="s">
        <x:v>329</x:v>
      </x:c>
      <x:c r="R657" s="5" t="s">
        <x:v>603</x:v>
      </x:c>
      <x:c r="S657" s="5" t="s">
        <x:v>357</x:v>
      </x:c>
      <x:c r="T657" s="5" t="s">
        <x:v>604</x:v>
      </x:c>
      <x:c r="U657" s="151"/>
      <x:c r="V657" s="151"/>
      <x:c r="W657" s="151"/>
      <x:c r="X657" s="151"/>
      <x:c r="Y657" s="151"/>
      <x:c r="Z657" s="151"/>
    </x:row>
    <x:row r="658" ht="22" customHeight="1">
      <x:c r="A658" s="5" t="s">
        <x:v>327</x:v>
      </x:c>
      <x:c r="B658" s="5" t="s">
        <x:v>328</x:v>
      </x:c>
      <x:c r="C658" s="6">
        <x:v>45657</x:v>
      </x:c>
      <x:c r="D658" s="5">
        <x:v>2024</x:v>
      </x:c>
      <x:c r="E658" s="5" t="s">
        <x:v>563</x:v>
      </x:c>
      <x:c r="F658" s="5" t="s">
        <x:v>0</x:v>
      </x:c>
      <x:c r="G658" s="5" t="s">
        <x:v>601</x:v>
      </x:c>
      <x:c r="H658" s="8">
        <x:v>206248240</x:v>
      </x:c>
      <x:c r="I658" s="8">
        <x:v>248795606881</x:v>
      </x:c>
      <x:c r="J658" s="5" t="s">
        <x:v>602</x:v>
      </x:c>
      <x:c r="K658" s="7"/>
      <x:c r="L658" s="9">
        <x:f t="shared" si="20"/>
        <x:v>8.2898666333224046E-4</x:v>
      </x:c>
      <x:c r="M658" s="8"/>
      <x:c r="N658" s="8"/>
      <x:c r="O658" s="7"/>
      <x:c r="P658" s="9" t="str">
        <x:f t="shared" si="21"/>
      </x:c>
      <x:c r="Q658" s="10" t="s">
        <x:v>329</x:v>
      </x:c>
      <x:c r="R658" s="5" t="s">
        <x:v>603</x:v>
      </x:c>
      <x:c r="S658" s="5" t="s">
        <x:v>357</x:v>
      </x:c>
      <x:c r="T658" s="5" t="s">
        <x:v>604</x:v>
      </x:c>
      <x:c r="U658" s="151"/>
      <x:c r="V658" s="151"/>
      <x:c r="W658" s="151"/>
      <x:c r="X658" s="151"/>
      <x:c r="Y658" s="151"/>
      <x:c r="Z658" s="151"/>
    </x:row>
    <x:row r="659" ht="22" customHeight="1">
      <x:c r="A659" s="5" t="s">
        <x:v>327</x:v>
      </x:c>
      <x:c r="B659" s="5" t="s">
        <x:v>328</x:v>
      </x:c>
      <x:c r="C659" s="6">
        <x:v>45657</x:v>
      </x:c>
      <x:c r="D659" s="5">
        <x:v>2024</x:v>
      </x:c>
      <x:c r="E659" s="5" t="s">
        <x:v>459</x:v>
      </x:c>
      <x:c r="F659" s="5" t="s">
        <x:v>0</x:v>
      </x:c>
      <x:c r="G659" s="5" t="s">
        <x:v>601</x:v>
      </x:c>
      <x:c r="H659" s="8">
        <x:v>122381664</x:v>
      </x:c>
      <x:c r="I659" s="8">
        <x:v>248795606881</x:v>
      </x:c>
      <x:c r="J659" s="5" t="s">
        <x:v>602</x:v>
      </x:c>
      <x:c r="K659" s="7"/>
      <x:c r="L659" s="9">
        <x:f t="shared" si="20"/>
        <x:v>4.9189640257006498E-4</x:v>
      </x:c>
      <x:c r="M659" s="8"/>
      <x:c r="N659" s="8"/>
      <x:c r="O659" s="7"/>
      <x:c r="P659" s="9" t="str">
        <x:f t="shared" si="21"/>
      </x:c>
      <x:c r="Q659" s="10" t="s">
        <x:v>329</x:v>
      </x:c>
      <x:c r="R659" s="5" t="s">
        <x:v>603</x:v>
      </x:c>
      <x:c r="S659" s="5" t="s">
        <x:v>357</x:v>
      </x:c>
      <x:c r="T659" s="5" t="s">
        <x:v>604</x:v>
      </x:c>
      <x:c r="U659" s="151"/>
      <x:c r="V659" s="151"/>
      <x:c r="W659" s="151"/>
      <x:c r="X659" s="151"/>
      <x:c r="Y659" s="151"/>
      <x:c r="Z659" s="151"/>
    </x:row>
    <x:row r="660">
      <x:c r="A660" s="151" t="str">
        <x:v>cabei</x:v>
      </x:c>
      <x:c r="B660" s="151" t="str">
        <x:v>Central American Bank for Economic Integration</x:v>
      </x:c>
      <x:c r="C660" s="171" t="n">
        <x:v>45657</x:v>
      </x:c>
      <x:c r="D660" s="151" t="n">
        <x:v>2024</x:v>
      </x:c>
      <x:c r="E660" s="151" t="str">
        <x:v>Guatemala</x:v>
      </x:c>
      <x:c r="F660" s="151" t="str">
        <x:v>Country</x:v>
      </x:c>
      <x:c r="G660" s="151" t="str">
        <x:v>Founding</x:v>
      </x:c>
      <x:c r="H660" s="173" t="n">
        <x:v>714000000</x:v>
      </x:c>
      <x:c r="I660" s="173" t="n">
        <x:v>6923100000</x:v>
      </x:c>
      <x:c r="J660" s="151" t="str">
        <x:v>USD, subscribed capital</x:v>
      </x:c>
      <x:c r="K660" s="161" t="n">
        <x:v>0.102</x:v>
      </x:c>
      <x:c r="L660" s="161" t="n">
        <x:f>H660/I660</x:f>
        <x:v>0.10313298955670147</x:v>
      </x:c>
      <x:c r="M660" s="157" t="n">
        <x:v>100157</x:v>
      </x:c>
      <x:c r="N660" s="157" t="n">
        <x:v>937411</x:v>
      </x:c>
      <x:c r="O660" s="161" t="n">
        <x:v>0.1068</x:v>
      </x:c>
      <x:c r="P660" s="161" t="n">
        <x:f>M660/N660</x:f>
        <x:v>0.10684427641664115</x:v>
      </x:c>
      <x:c r="Q660" s="151" t="str">
        <x:v>https://www.bcie.org/api/documents/26127/BCIE%20Presentaci%C3%B3n%20Institucional%20Cifras%20Diciembre%202024.pdf</x:v>
      </x:c>
      <x:c r="R660" s="151" t="str">
        <x:v>Capital structure table, p. 14</x:v>
      </x:c>
      <x:c r="S660" s="151" t="str">
        <x:v>Official extract; calculated shares</x:v>
      </x:c>
      <x:c r="T660" s="151" t="str">
        <x:v>Capital share is normalized to subscribed capital; voting includes Series C zero-face-value shares.</x:v>
      </x:c>
      <x:c r="U660" s="151" t="str">
        <x:v>Board of Directors</x:v>
      </x:c>
      <x:c r="V660" s="157" t="n">
        <x:v>100157</x:v>
      </x:c>
      <x:c r="W660" s="157" t="n">
        <x:v>937411</x:v>
      </x:c>
      <x:c r="X660" s="161" t="n">
        <x:f>V660/W660</x:f>
        <x:v>0.10684427641664115</x:v>
      </x:c>
      <x:c r="Y660" s="161" t="n">
        <x:f>X660</x:f>
        <x:v>0.10684427641664115</x:v>
      </x:c>
      <x:c r="Z660" s="151" t="str">
        <x:v>Capital-weighted votes represented by directors; ordinary decisions use a majority of votes represented by directors present.</x:v>
      </x:c>
    </x:row>
    <x:row r="661">
      <x:c r="A661" s="151" t="str">
        <x:v>cabei</x:v>
      </x:c>
      <x:c r="B661" s="151" t="str">
        <x:v>Central American Bank for Economic Integration</x:v>
      </x:c>
      <x:c r="C661" s="171" t="n">
        <x:v>45657</x:v>
      </x:c>
      <x:c r="D661" s="151" t="n">
        <x:v>2024</x:v>
      </x:c>
      <x:c r="E661" s="151" t="str">
        <x:v>El Salvador</x:v>
      </x:c>
      <x:c r="F661" s="151" t="str">
        <x:v>Country</x:v>
      </x:c>
      <x:c r="G661" s="151" t="str">
        <x:v>Founding</x:v>
      </x:c>
      <x:c r="H661" s="173" t="n">
        <x:v>714000000</x:v>
      </x:c>
      <x:c r="I661" s="173" t="n">
        <x:v>6923100000</x:v>
      </x:c>
      <x:c r="J661" s="151" t="str">
        <x:v>USD, subscribed capital</x:v>
      </x:c>
      <x:c r="K661" s="161" t="n">
        <x:v>0.102</x:v>
      </x:c>
      <x:c r="L661" s="161" t="n">
        <x:f>H661/I661</x:f>
        <x:v>0.10313298955670147</x:v>
      </x:c>
      <x:c r="M661" s="157" t="n">
        <x:v>100157</x:v>
      </x:c>
      <x:c r="N661" s="157" t="n">
        <x:v>937411</x:v>
      </x:c>
      <x:c r="O661" s="161" t="n">
        <x:v>0.1068</x:v>
      </x:c>
      <x:c r="P661" s="161" t="n">
        <x:f>M661/N661</x:f>
        <x:v>0.10684427641664115</x:v>
      </x:c>
      <x:c r="Q661" s="151" t="str">
        <x:v>https://www.bcie.org/api/documents/26127/BCIE%20Presentaci%C3%B3n%20Institucional%20Cifras%20Diciembre%202024.pdf</x:v>
      </x:c>
      <x:c r="R661" s="151" t="str">
        <x:v>Capital structure table, p. 14</x:v>
      </x:c>
      <x:c r="S661" s="151" t="str">
        <x:v>Official extract; calculated shares</x:v>
      </x:c>
      <x:c r="T661" s="151" t="str">
        <x:v>Capital share is normalized to subscribed capital; voting includes Series C zero-face-value shares.</x:v>
      </x:c>
      <x:c r="U661" s="151" t="str">
        <x:v>Board of Directors</x:v>
      </x:c>
      <x:c r="V661" s="157" t="n">
        <x:v>100157</x:v>
      </x:c>
      <x:c r="W661" s="157" t="n">
        <x:v>937411</x:v>
      </x:c>
      <x:c r="X661" s="161" t="n">
        <x:f>V661/W661</x:f>
        <x:v>0.10684427641664115</x:v>
      </x:c>
      <x:c r="Y661" s="161" t="n">
        <x:f>X661</x:f>
        <x:v>0.10684427641664115</x:v>
      </x:c>
      <x:c r="Z661" s="151" t="str">
        <x:v>Capital-weighted votes represented by directors; ordinary decisions use a majority of votes represented by directors present.</x:v>
      </x:c>
    </x:row>
    <x:row r="662">
      <x:c r="A662" s="151" t="str">
        <x:v>cabei</x:v>
      </x:c>
      <x:c r="B662" s="151" t="str">
        <x:v>Central American Bank for Economic Integration</x:v>
      </x:c>
      <x:c r="C662" s="171" t="n">
        <x:v>45657</x:v>
      </x:c>
      <x:c r="D662" s="151" t="n">
        <x:v>2024</x:v>
      </x:c>
      <x:c r="E662" s="151" t="str">
        <x:v>Honduras</x:v>
      </x:c>
      <x:c r="F662" s="151" t="str">
        <x:v>Country</x:v>
      </x:c>
      <x:c r="G662" s="151" t="str">
        <x:v>Founding</x:v>
      </x:c>
      <x:c r="H662" s="173" t="n">
        <x:v>714000000</x:v>
      </x:c>
      <x:c r="I662" s="173" t="n">
        <x:v>6923100000</x:v>
      </x:c>
      <x:c r="J662" s="151" t="str">
        <x:v>USD, subscribed capital</x:v>
      </x:c>
      <x:c r="K662" s="161" t="n">
        <x:v>0.102</x:v>
      </x:c>
      <x:c r="L662" s="161" t="n">
        <x:f>H662/I662</x:f>
        <x:v>0.10313298955670147</x:v>
      </x:c>
      <x:c r="M662" s="157" t="n">
        <x:v>100157</x:v>
      </x:c>
      <x:c r="N662" s="157" t="n">
        <x:v>937411</x:v>
      </x:c>
      <x:c r="O662" s="161" t="n">
        <x:v>0.1068</x:v>
      </x:c>
      <x:c r="P662" s="161" t="n">
        <x:f>M662/N662</x:f>
        <x:v>0.10684427641664115</x:v>
      </x:c>
      <x:c r="Q662" s="151" t="str">
        <x:v>https://www.bcie.org/api/documents/26127/BCIE%20Presentaci%C3%B3n%20Institucional%20Cifras%20Diciembre%202024.pdf</x:v>
      </x:c>
      <x:c r="R662" s="151" t="str">
        <x:v>Capital structure table, p. 14</x:v>
      </x:c>
      <x:c r="S662" s="151" t="str">
        <x:v>Official extract; calculated shares</x:v>
      </x:c>
      <x:c r="T662" s="151" t="str">
        <x:v>Capital share is normalized to subscribed capital; voting includes Series C zero-face-value shares.</x:v>
      </x:c>
      <x:c r="U662" s="151" t="str">
        <x:v>Board of Directors</x:v>
      </x:c>
      <x:c r="V662" s="157" t="n">
        <x:v>100157</x:v>
      </x:c>
      <x:c r="W662" s="157" t="n">
        <x:v>937411</x:v>
      </x:c>
      <x:c r="X662" s="161" t="n">
        <x:f>V662/W662</x:f>
        <x:v>0.10684427641664115</x:v>
      </x:c>
      <x:c r="Y662" s="161" t="n">
        <x:f>X662</x:f>
        <x:v>0.10684427641664115</x:v>
      </x:c>
      <x:c r="Z662" s="151" t="str">
        <x:v>Capital-weighted votes represented by directors; ordinary decisions use a majority of votes represented by directors present.</x:v>
      </x:c>
    </x:row>
    <x:row r="663">
      <x:c r="A663" s="151" t="str">
        <x:v>cabei</x:v>
      </x:c>
      <x:c r="B663" s="151" t="str">
        <x:v>Central American Bank for Economic Integration</x:v>
      </x:c>
      <x:c r="C663" s="171" t="n">
        <x:v>45657</x:v>
      </x:c>
      <x:c r="D663" s="151" t="n">
        <x:v>2024</x:v>
      </x:c>
      <x:c r="E663" s="151" t="str">
        <x:v>Nicaragua</x:v>
      </x:c>
      <x:c r="F663" s="151" t="str">
        <x:v>Country</x:v>
      </x:c>
      <x:c r="G663" s="151" t="str">
        <x:v>Founding</x:v>
      </x:c>
      <x:c r="H663" s="173" t="n">
        <x:v>714000000</x:v>
      </x:c>
      <x:c r="I663" s="173" t="n">
        <x:v>6923100000</x:v>
      </x:c>
      <x:c r="J663" s="151" t="str">
        <x:v>USD, subscribed capital</x:v>
      </x:c>
      <x:c r="K663" s="161" t="n">
        <x:v>0.102</x:v>
      </x:c>
      <x:c r="L663" s="161" t="n">
        <x:f>H663/I663</x:f>
        <x:v>0.10313298955670147</x:v>
      </x:c>
      <x:c r="M663" s="157" t="n">
        <x:v>100157</x:v>
      </x:c>
      <x:c r="N663" s="157" t="n">
        <x:v>937411</x:v>
      </x:c>
      <x:c r="O663" s="161" t="n">
        <x:v>0.1068</x:v>
      </x:c>
      <x:c r="P663" s="161" t="n">
        <x:f>M663/N663</x:f>
        <x:v>0.10684427641664115</x:v>
      </x:c>
      <x:c r="Q663" s="151" t="str">
        <x:v>https://www.bcie.org/api/documents/26127/BCIE%20Presentaci%C3%B3n%20Institucional%20Cifras%20Diciembre%202024.pdf</x:v>
      </x:c>
      <x:c r="R663" s="151" t="str">
        <x:v>Capital structure table, p. 14</x:v>
      </x:c>
      <x:c r="S663" s="151" t="str">
        <x:v>Official extract; calculated shares</x:v>
      </x:c>
      <x:c r="T663" s="151" t="str">
        <x:v>Capital share is normalized to subscribed capital; voting includes Series C zero-face-value shares.</x:v>
      </x:c>
      <x:c r="U663" s="151" t="str">
        <x:v>Board of Directors</x:v>
      </x:c>
      <x:c r="V663" s="157" t="n">
        <x:v>100157</x:v>
      </x:c>
      <x:c r="W663" s="157" t="n">
        <x:v>937411</x:v>
      </x:c>
      <x:c r="X663" s="161" t="n">
        <x:f>V663/W663</x:f>
        <x:v>0.10684427641664115</x:v>
      </x:c>
      <x:c r="Y663" s="161" t="n">
        <x:f>X663</x:f>
        <x:v>0.10684427641664115</x:v>
      </x:c>
      <x:c r="Z663" s="151" t="str">
        <x:v>Capital-weighted votes represented by directors; ordinary decisions use a majority of votes represented by directors present.</x:v>
      </x:c>
    </x:row>
    <x:row r="664">
      <x:c r="A664" s="151" t="str">
        <x:v>cabei</x:v>
      </x:c>
      <x:c r="B664" s="151" t="str">
        <x:v>Central American Bank for Economic Integration</x:v>
      </x:c>
      <x:c r="C664" s="171" t="n">
        <x:v>45657</x:v>
      </x:c>
      <x:c r="D664" s="151" t="n">
        <x:v>2024</x:v>
      </x:c>
      <x:c r="E664" s="151" t="str">
        <x:v>Costa Rica</x:v>
      </x:c>
      <x:c r="F664" s="151" t="str">
        <x:v>Country</x:v>
      </x:c>
      <x:c r="G664" s="151" t="str">
        <x:v>Founding</x:v>
      </x:c>
      <x:c r="H664" s="173" t="n">
        <x:v>714000000</x:v>
      </x:c>
      <x:c r="I664" s="173" t="n">
        <x:v>6923100000</x:v>
      </x:c>
      <x:c r="J664" s="151" t="str">
        <x:v>USD, subscribed capital</x:v>
      </x:c>
      <x:c r="K664" s="161" t="n">
        <x:v>0.102</x:v>
      </x:c>
      <x:c r="L664" s="161" t="n">
        <x:f>H664/I664</x:f>
        <x:v>0.10313298955670147</x:v>
      </x:c>
      <x:c r="M664" s="157" t="n">
        <x:v>100157</x:v>
      </x:c>
      <x:c r="N664" s="157" t="n">
        <x:v>937411</x:v>
      </x:c>
      <x:c r="O664" s="161" t="n">
        <x:v>0.1068</x:v>
      </x:c>
      <x:c r="P664" s="161" t="n">
        <x:f>M664/N664</x:f>
        <x:v>0.10684427641664115</x:v>
      </x:c>
      <x:c r="Q664" s="151" t="str">
        <x:v>https://www.bcie.org/api/documents/26127/BCIE%20Presentaci%C3%B3n%20Institucional%20Cifras%20Diciembre%202024.pdf</x:v>
      </x:c>
      <x:c r="R664" s="151" t="str">
        <x:v>Capital structure table, p. 14</x:v>
      </x:c>
      <x:c r="S664" s="151" t="str">
        <x:v>Official extract; calculated shares</x:v>
      </x:c>
      <x:c r="T664" s="151" t="str">
        <x:v>Capital share is normalized to subscribed capital; voting includes Series C zero-face-value shares.</x:v>
      </x:c>
      <x:c r="U664" s="151" t="str">
        <x:v>Board of Directors</x:v>
      </x:c>
      <x:c r="V664" s="157" t="n">
        <x:v>100157</x:v>
      </x:c>
      <x:c r="W664" s="157" t="n">
        <x:v>937411</x:v>
      </x:c>
      <x:c r="X664" s="161" t="n">
        <x:f>V664/W664</x:f>
        <x:v>0.10684427641664115</x:v>
      </x:c>
      <x:c r="Y664" s="161" t="n">
        <x:f>X664</x:f>
        <x:v>0.10684427641664115</x:v>
      </x:c>
      <x:c r="Z664" s="151" t="str">
        <x:v>Capital-weighted votes represented by directors; ordinary decisions use a majority of votes represented by directors present.</x:v>
      </x:c>
    </x:row>
    <x:row r="665">
      <x:c r="A665" s="151" t="str">
        <x:v>cabei</x:v>
      </x:c>
      <x:c r="B665" s="151" t="str">
        <x:v>Central American Bank for Economic Integration</x:v>
      </x:c>
      <x:c r="C665" s="171" t="n">
        <x:v>45657</x:v>
      </x:c>
      <x:c r="D665" s="151" t="n">
        <x:v>2024</x:v>
      </x:c>
      <x:c r="E665" s="151" t="str">
        <x:v>Dominican Republic</x:v>
      </x:c>
      <x:c r="F665" s="151" t="str">
        <x:v>Country</x:v>
      </x:c>
      <x:c r="G665" s="151" t="str">
        <x:v>Regional non-founding</x:v>
      </x:c>
      <x:c r="H665" s="173" t="n">
        <x:v>378400000</x:v>
      </x:c>
      <x:c r="I665" s="173" t="n">
        <x:v>6923100000</x:v>
      </x:c>
      <x:c r="J665" s="151" t="str">
        <x:v>USD, subscribed capital</x:v>
      </x:c>
      <x:c r="K665" s="161" t="n">
        <x:v>0.0541</x:v>
      </x:c>
      <x:c r="L665" s="161" t="n">
        <x:f>H665/I665</x:f>
        <x:v>0.054657595585792494</x:v>
      </x:c>
      <x:c r="M665" s="157" t="n">
        <x:v>46557</x:v>
      </x:c>
      <x:c r="N665" s="157" t="n">
        <x:v>937411</x:v>
      </x:c>
      <x:c r="O665" s="161" t="n">
        <x:v>0.0497</x:v>
      </x:c>
      <x:c r="P665" s="161" t="n">
        <x:f>M665/N665</x:f>
        <x:v>0.049665514912882396</x:v>
      </x:c>
      <x:c r="Q665" s="151" t="str">
        <x:v>https://www.bcie.org/api/documents/26127/BCIE%20Presentaci%C3%B3n%20Institucional%20Cifras%20Diciembre%202024.pdf</x:v>
      </x:c>
      <x:c r="R665" s="151" t="str">
        <x:v>Capital structure table, p. 14</x:v>
      </x:c>
      <x:c r="S665" s="151" t="str">
        <x:v>Official extract; calculated shares</x:v>
      </x:c>
      <x:c r="T665" s="151" t="str">
        <x:v>Capital share is normalized to subscribed capital; voting includes Series C zero-face-value shares.</x:v>
      </x:c>
      <x:c r="U665" s="151" t="str">
        <x:v>Board of Directors</x:v>
      </x:c>
      <x:c r="V665" s="157" t="n">
        <x:v>46557</x:v>
      </x:c>
      <x:c r="W665" s="157" t="n">
        <x:v>937411</x:v>
      </x:c>
      <x:c r="X665" s="161" t="n">
        <x:f>V665/W665</x:f>
        <x:v>0.049665514912882396</x:v>
      </x:c>
      <x:c r="Y665" s="161" t="n">
        <x:f>X665</x:f>
        <x:v>0.049665514912882396</x:v>
      </x:c>
      <x:c r="Z665" s="151" t="str">
        <x:v>Capital-weighted votes represented by directors; ordinary decisions use a majority of votes represented by directors present.</x:v>
      </x:c>
    </x:row>
    <x:row r="666">
      <x:c r="A666" s="151" t="str">
        <x:v>cabei</x:v>
      </x:c>
      <x:c r="B666" s="151" t="str">
        <x:v>Central American Bank for Economic Integration</x:v>
      </x:c>
      <x:c r="C666" s="171" t="n">
        <x:v>45657</x:v>
      </x:c>
      <x:c r="D666" s="151" t="n">
        <x:v>2024</x:v>
      </x:c>
      <x:c r="E666" s="151" t="str">
        <x:v>Panama</x:v>
      </x:c>
      <x:c r="F666" s="151" t="str">
        <x:v>Country</x:v>
      </x:c>
      <x:c r="G666" s="151" t="str">
        <x:v>Regional non-founding</x:v>
      </x:c>
      <x:c r="H666" s="173" t="n">
        <x:v>358400000</x:v>
      </x:c>
      <x:c r="I666" s="173" t="n">
        <x:v>6923100000</x:v>
      </x:c>
      <x:c r="J666" s="151" t="str">
        <x:v>USD, subscribed capital</x:v>
      </x:c>
      <x:c r="K666" s="161" t="n">
        <x:v>0.0512</x:v>
      </x:c>
      <x:c r="L666" s="161" t="n">
        <x:f>H666/I666</x:f>
        <x:v>0.05176871632650113</x:v>
      </x:c>
      <x:c r="M666" s="157" t="n">
        <x:v>44907</x:v>
      </x:c>
      <x:c r="N666" s="157" t="n">
        <x:v>937411</x:v>
      </x:c>
      <x:c r="O666" s="161" t="n">
        <x:v>0.0479</x:v>
      </x:c>
      <x:c r="P666" s="161" t="n">
        <x:f>M666/N666</x:f>
        <x:v>0.04790534781435251</x:v>
      </x:c>
      <x:c r="Q666" s="151" t="str">
        <x:v>https://www.bcie.org/api/documents/26127/BCIE%20Presentaci%C3%B3n%20Institucional%20Cifras%20Diciembre%202024.pdf</x:v>
      </x:c>
      <x:c r="R666" s="151" t="str">
        <x:v>Capital structure table, p. 14</x:v>
      </x:c>
      <x:c r="S666" s="151" t="str">
        <x:v>Official extract; calculated shares</x:v>
      </x:c>
      <x:c r="T666" s="151" t="str">
        <x:v>Capital share is normalized to subscribed capital; voting includes Series C zero-face-value shares.</x:v>
      </x:c>
      <x:c r="U666" s="151" t="str">
        <x:v>Board of Directors</x:v>
      </x:c>
      <x:c r="V666" s="157" t="n">
        <x:v>44907</x:v>
      </x:c>
      <x:c r="W666" s="157" t="n">
        <x:v>937411</x:v>
      </x:c>
      <x:c r="X666" s="161" t="n">
        <x:f>V666/W666</x:f>
        <x:v>0.04790534781435251</x:v>
      </x:c>
      <x:c r="Y666" s="161" t="n">
        <x:f>X666</x:f>
        <x:v>0.04790534781435251</x:v>
      </x:c>
      <x:c r="Z666" s="151" t="str">
        <x:v>Capital-weighted votes represented by directors; ordinary decisions use a majority of votes represented by directors present.</x:v>
      </x:c>
    </x:row>
    <x:row r="667">
      <x:c r="A667" s="151" t="str">
        <x:v>cabei</x:v>
      </x:c>
      <x:c r="B667" s="151" t="str">
        <x:v>Central American Bank for Economic Integration</x:v>
      </x:c>
      <x:c r="C667" s="171" t="n">
        <x:v>45657</x:v>
      </x:c>
      <x:c r="D667" s="151" t="n">
        <x:v>2024</x:v>
      </x:c>
      <x:c r="E667" s="151" t="str">
        <x:v>Belize</x:v>
      </x:c>
      <x:c r="F667" s="151" t="str">
        <x:v>Country</x:v>
      </x:c>
      <x:c r="G667" s="151" t="str">
        <x:v>Regional non-founding</x:v>
      </x:c>
      <x:c r="H667" s="173" t="n">
        <x:v>25000000</x:v>
      </x:c>
      <x:c r="I667" s="173" t="n">
        <x:v>6923100000</x:v>
      </x:c>
      <x:c r="J667" s="151" t="str">
        <x:v>USD, subscribed capital</x:v>
      </x:c>
      <x:c r="K667" s="161" t="n">
        <x:v>0.0036</x:v>
      </x:c>
      <x:c r="L667" s="161" t="n">
        <x:f>H667/I667</x:f>
        <x:v>0.0036110990741141974</x:v>
      </x:c>
      <x:c r="M667" s="157" t="n">
        <x:v>3132</x:v>
      </x:c>
      <x:c r="N667" s="157" t="n">
        <x:v>937411</x:v>
      </x:c>
      <x:c r="O667" s="161" t="n">
        <x:v>0.0033</x:v>
      </x:c>
      <x:c r="P667" s="161" t="n">
        <x:f>M667/N667</x:f>
        <x:v>0.0033411171833912768</x:v>
      </x:c>
      <x:c r="Q667" s="151" t="str">
        <x:v>https://www.bcie.org/api/documents/26127/BCIE%20Presentaci%C3%B3n%20Institucional%20Cifras%20Diciembre%202024.pdf</x:v>
      </x:c>
      <x:c r="R667" s="151" t="str">
        <x:v>Capital structure table, p. 14</x:v>
      </x:c>
      <x:c r="S667" s="151" t="str">
        <x:v>Official extract; calculated shares</x:v>
      </x:c>
      <x:c r="T667" s="151" t="str">
        <x:v>Capital share is normalized to subscribed capital; voting includes Series C zero-face-value shares.</x:v>
      </x:c>
      <x:c r="U667" s="151" t="str">
        <x:v>Board of Directors</x:v>
      </x:c>
      <x:c r="V667" s="157" t="n">
        <x:v>3132</x:v>
      </x:c>
      <x:c r="W667" s="157" t="n">
        <x:v>937411</x:v>
      </x:c>
      <x:c r="X667" s="161" t="n">
        <x:f>V667/W667</x:f>
        <x:v>0.0033411171833912768</x:v>
      </x:c>
      <x:c r="Y667" s="161" t="n">
        <x:f>X667</x:f>
        <x:v>0.0033411171833912768</x:v>
      </x:c>
      <x:c r="Z667" s="151" t="str">
        <x:v>Capital-weighted votes represented by directors; ordinary decisions use a majority of votes represented by directors present.</x:v>
      </x:c>
    </x:row>
    <x:row r="668">
      <x:c r="A668" s="151" t="str">
        <x:v>cabei</x:v>
      </x:c>
      <x:c r="B668" s="151" t="str">
        <x:v>Central American Bank for Economic Integration</x:v>
      </x:c>
      <x:c r="C668" s="171" t="n">
        <x:v>45657</x:v>
      </x:c>
      <x:c r="D668" s="151" t="n">
        <x:v>2024</x:v>
      </x:c>
      <x:c r="E668" s="151" t="str">
        <x:v>Taiwan</x:v>
      </x:c>
      <x:c r="F668" s="151" t="str">
        <x:v>Country</x:v>
      </x:c>
      <x:c r="G668" s="151" t="str">
        <x:v>Non-regional</x:v>
      </x:c>
      <x:c r="H668" s="173" t="n">
        <x:v>776250000</x:v>
      </x:c>
      <x:c r="I668" s="173" t="n">
        <x:v>6923100000</x:v>
      </x:c>
      <x:c r="J668" s="151" t="str">
        <x:v>USD, subscribed capital</x:v>
      </x:c>
      <x:c r="K668" s="161" t="n">
        <x:v>0.1109</x:v>
      </x:c>
      <x:c r="L668" s="161" t="n">
        <x:f>H668/I668</x:f>
        <x:v>0.11212462625124583</x:v>
      </x:c>
      <x:c r="M668" s="157" t="n">
        <x:v>106588</x:v>
      </x:c>
      <x:c r="N668" s="157" t="n">
        <x:v>937411</x:v>
      </x:c>
      <x:c r="O668" s="161" t="n">
        <x:v>0.1137</x:v>
      </x:c>
      <x:c r="P668" s="161" t="n">
        <x:f>M668/N668</x:f>
        <x:v>0.1137046610291537</x:v>
      </x:c>
      <x:c r="Q668" s="151" t="str">
        <x:v>https://www.bcie.org/api/documents/26127/BCIE%20Presentaci%C3%B3n%20Institucional%20Cifras%20Diciembre%202024.pdf</x:v>
      </x:c>
      <x:c r="R668" s="151" t="str">
        <x:v>Capital structure table, p. 14</x:v>
      </x:c>
      <x:c r="S668" s="151" t="str">
        <x:v>Official extract; calculated shares</x:v>
      </x:c>
      <x:c r="T668" s="151" t="str">
        <x:v>Capital share is normalized to subscribed capital; voting includes Series C zero-face-value shares.</x:v>
      </x:c>
      <x:c r="U668" s="151" t="str">
        <x:v>Board of Directors</x:v>
      </x:c>
      <x:c r="V668" s="157" t="n">
        <x:v>106588</x:v>
      </x:c>
      <x:c r="W668" s="157" t="n">
        <x:v>937411</x:v>
      </x:c>
      <x:c r="X668" s="161" t="n">
        <x:f>V668/W668</x:f>
        <x:v>0.1137046610291537</x:v>
      </x:c>
      <x:c r="Y668" s="161" t="n">
        <x:f>X668</x:f>
        <x:v>0.1137046610291537</x:v>
      </x:c>
      <x:c r="Z668" s="151" t="str">
        <x:v>Capital-weighted votes represented by directors; ordinary decisions use a majority of votes represented by directors present.</x:v>
      </x:c>
    </x:row>
    <x:row r="669">
      <x:c r="A669" s="151" t="str">
        <x:v>cabei</x:v>
      </x:c>
      <x:c r="B669" s="151" t="str">
        <x:v>Central American Bank for Economic Integration</x:v>
      </x:c>
      <x:c r="C669" s="171" t="n">
        <x:v>45657</x:v>
      </x:c>
      <x:c r="D669" s="151" t="n">
        <x:v>2024</x:v>
      </x:c>
      <x:c r="E669" s="151" t="str">
        <x:v>Korea, Republic of</x:v>
      </x:c>
      <x:c r="F669" s="151" t="str">
        <x:v>Country</x:v>
      </x:c>
      <x:c r="G669" s="151" t="str">
        <x:v>Non-regional</x:v>
      </x:c>
      <x:c r="H669" s="173" t="n">
        <x:v>630000000</x:v>
      </x:c>
      <x:c r="I669" s="173" t="n">
        <x:v>6923100000</x:v>
      </x:c>
      <x:c r="J669" s="151" t="str">
        <x:v>USD, subscribed capital</x:v>
      </x:c>
      <x:c r="K669" s="161" t="n">
        <x:v>0.09</x:v>
      </x:c>
      <x:c r="L669" s="161" t="n">
        <x:f>H669/I669</x:f>
        <x:v>0.09099969666767778</x:v>
      </x:c>
      <x:c r="M669" s="157" t="n">
        <x:v>71177</x:v>
      </x:c>
      <x:c r="N669" s="157" t="n">
        <x:v>937411</x:v>
      </x:c>
      <x:c r="O669" s="161" t="n">
        <x:v>0.0759</x:v>
      </x:c>
      <x:c r="P669" s="161" t="n">
        <x:f>M669/N669</x:f>
        <x:v>0.07592934155882532</x:v>
      </x:c>
      <x:c r="Q669" s="151" t="str">
        <x:v>https://www.bcie.org/api/documents/26127/BCIE%20Presentaci%C3%B3n%20Institucional%20Cifras%20Diciembre%202024.pdf</x:v>
      </x:c>
      <x:c r="R669" s="151" t="str">
        <x:v>Capital structure table, p. 14</x:v>
      </x:c>
      <x:c r="S669" s="151" t="str">
        <x:v>Official extract; calculated shares</x:v>
      </x:c>
      <x:c r="T669" s="151" t="str">
        <x:v>Capital share is normalized to subscribed capital; voting includes Series C zero-face-value shares.</x:v>
      </x:c>
      <x:c r="U669" s="151" t="str">
        <x:v>Board of Directors</x:v>
      </x:c>
      <x:c r="V669" s="157" t="n">
        <x:v>71177</x:v>
      </x:c>
      <x:c r="W669" s="157" t="n">
        <x:v>937411</x:v>
      </x:c>
      <x:c r="X669" s="161" t="n">
        <x:f>V669/W669</x:f>
        <x:v>0.07592934155882532</x:v>
      </x:c>
      <x:c r="Y669" s="161" t="n">
        <x:f>X669</x:f>
        <x:v>0.07592934155882532</x:v>
      </x:c>
      <x:c r="Z669" s="151" t="str">
        <x:v>Capital-weighted votes represented by directors; ordinary decisions use a majority of votes represented by directors present.</x:v>
      </x:c>
    </x:row>
    <x:row r="670">
      <x:c r="A670" s="151" t="str">
        <x:v>cabei</x:v>
      </x:c>
      <x:c r="B670" s="151" t="str">
        <x:v>Central American Bank for Economic Integration</x:v>
      </x:c>
      <x:c r="C670" s="171" t="n">
        <x:v>45657</x:v>
      </x:c>
      <x:c r="D670" s="151" t="n">
        <x:v>2024</x:v>
      </x:c>
      <x:c r="E670" s="151" t="str">
        <x:v>Mexico</x:v>
      </x:c>
      <x:c r="F670" s="151" t="str">
        <x:v>Country</x:v>
      </x:c>
      <x:c r="G670" s="151" t="str">
        <x:v>Non-regional</x:v>
      </x:c>
      <x:c r="H670" s="173" t="n">
        <x:v>306250000</x:v>
      </x:c>
      <x:c r="I670" s="173" t="n">
        <x:v>6923100000</x:v>
      </x:c>
      <x:c r="J670" s="151" t="str">
        <x:v>USD, subscribed capital</x:v>
      </x:c>
      <x:c r="K670" s="161" t="n">
        <x:v>0.0438</x:v>
      </x:c>
      <x:c r="L670" s="161" t="n">
        <x:f>H670/I670</x:f>
        <x:v>0.04423596365789892</x:v>
      </x:c>
      <x:c r="M670" s="157" t="n">
        <x:v>46656</x:v>
      </x:c>
      <x:c r="N670" s="157" t="n">
        <x:v>937411</x:v>
      </x:c>
      <x:c r="O670" s="161" t="n">
        <x:v>0.0498</x:v>
      </x:c>
      <x:c r="P670" s="161" t="n">
        <x:f>M670/N670</x:f>
        <x:v>0.04977112493879419</x:v>
      </x:c>
      <x:c r="Q670" s="151" t="str">
        <x:v>https://www.bcie.org/api/documents/26127/BCIE%20Presentaci%C3%B3n%20Institucional%20Cifras%20Diciembre%202024.pdf</x:v>
      </x:c>
      <x:c r="R670" s="151" t="str">
        <x:v>Capital structure table, p. 14</x:v>
      </x:c>
      <x:c r="S670" s="151" t="str">
        <x:v>Official extract; calculated shares</x:v>
      </x:c>
      <x:c r="T670" s="151" t="str">
        <x:v>Capital share is normalized to subscribed capital; voting includes Series C zero-face-value shares.</x:v>
      </x:c>
      <x:c r="U670" s="151" t="str">
        <x:v>Board of Directors</x:v>
      </x:c>
      <x:c r="V670" s="157" t="n">
        <x:v>46656</x:v>
      </x:c>
      <x:c r="W670" s="157" t="n">
        <x:v>937411</x:v>
      </x:c>
      <x:c r="X670" s="161" t="n">
        <x:f>V670/W670</x:f>
        <x:v>0.04977112493879419</x:v>
      </x:c>
      <x:c r="Y670" s="161" t="n">
        <x:f>X670</x:f>
        <x:v>0.04977112493879419</x:v>
      </x:c>
      <x:c r="Z670" s="151" t="str">
        <x:v>Capital-weighted votes represented by directors; ordinary decisions use a majority of votes represented by directors present.</x:v>
      </x:c>
    </x:row>
    <x:row r="671">
      <x:c r="A671" s="151" t="str">
        <x:v>cabei</x:v>
      </x:c>
      <x:c r="B671" s="151" t="str">
        <x:v>Central American Bank for Economic Integration</x:v>
      </x:c>
      <x:c r="C671" s="171" t="n">
        <x:v>45657</x:v>
      </x:c>
      <x:c r="D671" s="151" t="n">
        <x:v>2024</x:v>
      </x:c>
      <x:c r="E671" s="151" t="str">
        <x:v>Argentina</x:v>
      </x:c>
      <x:c r="F671" s="151" t="str">
        <x:v>Country</x:v>
      </x:c>
      <x:c r="G671" s="151" t="str">
        <x:v>Non-regional</x:v>
      </x:c>
      <x:c r="H671" s="173" t="n">
        <x:v>345800000</x:v>
      </x:c>
      <x:c r="I671" s="173" t="n">
        <x:v>6923100000</x:v>
      </x:c>
      <x:c r="J671" s="151" t="str">
        <x:v>USD, subscribed capital</x:v>
      </x:c>
      <x:c r="K671" s="161" t="n">
        <x:v>0.0494</x:v>
      </x:c>
      <x:c r="L671" s="161" t="n">
        <x:f>H671/I671</x:f>
        <x:v>0.04994872239314758</x:v>
      </x:c>
      <x:c r="M671" s="157" t="n">
        <x:v>43872</x:v>
      </x:c>
      <x:c r="N671" s="157" t="n">
        <x:v>937411</x:v>
      </x:c>
      <x:c r="O671" s="161" t="n">
        <x:v>0.0468</x:v>
      </x:c>
      <x:c r="P671" s="161" t="n">
        <x:f>M671/N671</x:f>
        <x:v>0.046801242998001945</x:v>
      </x:c>
      <x:c r="Q671" s="151" t="str">
        <x:v>https://www.bcie.org/api/documents/26127/BCIE%20Presentaci%C3%B3n%20Institucional%20Cifras%20Diciembre%202024.pdf</x:v>
      </x:c>
      <x:c r="R671" s="151" t="str">
        <x:v>Capital structure table, p. 14</x:v>
      </x:c>
      <x:c r="S671" s="151" t="str">
        <x:v>Official extract; calculated shares</x:v>
      </x:c>
      <x:c r="T671" s="151" t="str">
        <x:v>Capital share is normalized to subscribed capital; voting includes Series C zero-face-value shares.</x:v>
      </x:c>
      <x:c r="U671" s="151" t="str">
        <x:v>Board of Directors</x:v>
      </x:c>
      <x:c r="V671" s="157" t="n">
        <x:v>43872</x:v>
      </x:c>
      <x:c r="W671" s="157" t="n">
        <x:v>937411</x:v>
      </x:c>
      <x:c r="X671" s="161" t="n">
        <x:f>V671/W671</x:f>
        <x:v>0.046801242998001945</x:v>
      </x:c>
      <x:c r="Y671" s="161" t="n">
        <x:f>X671</x:f>
        <x:v>0.046801242998001945</x:v>
      </x:c>
      <x:c r="Z671" s="151" t="str">
        <x:v>Capital-weighted votes represented by directors; ordinary decisions use a majority of votes represented by directors present.</x:v>
      </x:c>
    </x:row>
    <x:row r="672">
      <x:c r="A672" s="151" t="str">
        <x:v>cabei</x:v>
      </x:c>
      <x:c r="B672" s="151" t="str">
        <x:v>Central American Bank for Economic Integration</x:v>
      </x:c>
      <x:c r="C672" s="171" t="n">
        <x:v>45657</x:v>
      </x:c>
      <x:c r="D672" s="151" t="n">
        <x:v>2024</x:v>
      </x:c>
      <x:c r="E672" s="151" t="str">
        <x:v>Spain</x:v>
      </x:c>
      <x:c r="F672" s="151" t="str">
        <x:v>Country</x:v>
      </x:c>
      <x:c r="G672" s="151" t="str">
        <x:v>Non-regional</x:v>
      </x:c>
      <x:c r="H672" s="173" t="n">
        <x:v>280000000</x:v>
      </x:c>
      <x:c r="I672" s="173" t="n">
        <x:v>6923100000</x:v>
      </x:c>
      <x:c r="J672" s="151" t="str">
        <x:v>USD, subscribed capital</x:v>
      </x:c>
      <x:c r="K672" s="161" t="n">
        <x:v>0.04</x:v>
      </x:c>
      <x:c r="L672" s="161" t="n">
        <x:f>H672/I672</x:f>
        <x:v>0.04044430963007901</x:v>
      </x:c>
      <x:c r="M672" s="157" t="n">
        <x:v>39277</x:v>
      </x:c>
      <x:c r="N672" s="157" t="n">
        <x:v>937411</x:v>
      </x:c>
      <x:c r="O672" s="161" t="n">
        <x:v>0.0419</x:v>
      </x:c>
      <x:c r="P672" s="161" t="n">
        <x:f>M672/N672</x:f>
        <x:v>0.041899444320580834</x:v>
      </x:c>
      <x:c r="Q672" s="151" t="str">
        <x:v>https://www.bcie.org/api/documents/26127/BCIE%20Presentaci%C3%B3n%20Institucional%20Cifras%20Diciembre%202024.pdf</x:v>
      </x:c>
      <x:c r="R672" s="151" t="str">
        <x:v>Capital structure table, p. 14</x:v>
      </x:c>
      <x:c r="S672" s="151" t="str">
        <x:v>Official extract; calculated shares</x:v>
      </x:c>
      <x:c r="T672" s="151" t="str">
        <x:v>Capital share is normalized to subscribed capital; voting includes Series C zero-face-value shares.</x:v>
      </x:c>
      <x:c r="U672" s="151" t="str">
        <x:v>Board of Directors</x:v>
      </x:c>
      <x:c r="V672" s="157" t="n">
        <x:v>39277</x:v>
      </x:c>
      <x:c r="W672" s="157" t="n">
        <x:v>937411</x:v>
      </x:c>
      <x:c r="X672" s="161" t="n">
        <x:f>V672/W672</x:f>
        <x:v>0.041899444320580834</x:v>
      </x:c>
      <x:c r="Y672" s="161" t="n">
        <x:f>X672</x:f>
        <x:v>0.041899444320580834</x:v>
      </x:c>
      <x:c r="Z672" s="151" t="str">
        <x:v>Capital-weighted votes represented by directors; ordinary decisions use a majority of votes represented by directors present.</x:v>
      </x:c>
    </x:row>
    <x:row r="673">
      <x:c r="A673" s="151" t="str">
        <x:v>cabei</x:v>
      </x:c>
      <x:c r="B673" s="151" t="str">
        <x:v>Central American Bank for Economic Integration</x:v>
      </x:c>
      <x:c r="C673" s="171" t="n">
        <x:v>45657</x:v>
      </x:c>
      <x:c r="D673" s="151" t="n">
        <x:v>2024</x:v>
      </x:c>
      <x:c r="E673" s="151" t="str">
        <x:v>Colombia</x:v>
      </x:c>
      <x:c r="F673" s="151" t="str">
        <x:v>Country</x:v>
      </x:c>
      <x:c r="G673" s="151" t="str">
        <x:v>Non-regional</x:v>
      </x:c>
      <x:c r="H673" s="173" t="n">
        <x:v>203000000</x:v>
      </x:c>
      <x:c r="I673" s="173" t="n">
        <x:v>6923100000</x:v>
      </x:c>
      <x:c r="J673" s="151" t="str">
        <x:v>USD, subscribed capital</x:v>
      </x:c>
      <x:c r="K673" s="161" t="n">
        <x:v>0.029</x:v>
      </x:c>
      <x:c r="L673" s="161" t="n">
        <x:f>H673/I673</x:f>
        <x:v>0.029322124481807283</x:v>
      </x:c>
      <x:c r="M673" s="157" t="n">
        <x:v>28449</x:v>
      </x:c>
      <x:c r="N673" s="157" t="n">
        <x:v>937411</x:v>
      </x:c>
      <x:c r="O673" s="161" t="n">
        <x:v>0.0303</x:v>
      </x:c>
      <x:c r="P673" s="161" t="n">
        <x:f>M673/N673</x:f>
        <x:v>0.030348481082470763</x:v>
      </x:c>
      <x:c r="Q673" s="151" t="str">
        <x:v>https://www.bcie.org/api/documents/26127/BCIE%20Presentaci%C3%B3n%20Institucional%20Cifras%20Diciembre%202024.pdf</x:v>
      </x:c>
      <x:c r="R673" s="151" t="str">
        <x:v>Capital structure table, p. 14</x:v>
      </x:c>
      <x:c r="S673" s="151" t="str">
        <x:v>Official extract; calculated shares</x:v>
      </x:c>
      <x:c r="T673" s="151" t="str">
        <x:v>Capital share is normalized to subscribed capital; voting includes Series C zero-face-value shares.</x:v>
      </x:c>
      <x:c r="U673" s="151" t="str">
        <x:v>Board of Directors</x:v>
      </x:c>
      <x:c r="V673" s="157" t="n">
        <x:v>28449</x:v>
      </x:c>
      <x:c r="W673" s="157" t="n">
        <x:v>937411</x:v>
      </x:c>
      <x:c r="X673" s="161" t="n">
        <x:f>V673/W673</x:f>
        <x:v>0.030348481082470763</x:v>
      </x:c>
      <x:c r="Y673" s="161" t="n">
        <x:f>X673</x:f>
        <x:v>0.030348481082470763</x:v>
      </x:c>
      <x:c r="Z673" s="151" t="str">
        <x:v>Capital-weighted votes represented by directors; ordinary decisions use a majority of votes represented by directors present.</x:v>
      </x:c>
    </x:row>
    <x:row r="674">
      <x:c r="A674" s="151" t="str">
        <x:v>cabei</x:v>
      </x:c>
      <x:c r="B674" s="151" t="str">
        <x:v>Central American Bank for Economic Integration</x:v>
      </x:c>
      <x:c r="C674" s="171" t="n">
        <x:v>45657</x:v>
      </x:c>
      <x:c r="D674" s="151" t="n">
        <x:v>2024</x:v>
      </x:c>
      <x:c r="E674" s="151" t="str">
        <x:v>Cuba</x:v>
      </x:c>
      <x:c r="F674" s="151" t="str">
        <x:v>Country</x:v>
      </x:c>
      <x:c r="G674" s="151" t="str">
        <x:v>Non-regional</x:v>
      </x:c>
      <x:c r="H674" s="173" t="n">
        <x:v>50000000</x:v>
      </x:c>
      <x:c r="I674" s="173" t="n">
        <x:v>6923100000</x:v>
      </x:c>
      <x:c r="J674" s="151" t="str">
        <x:v>USD, subscribed capital</x:v>
      </x:c>
      <x:c r="K674" s="161" t="n">
        <x:v>0.0071</x:v>
      </x:c>
      <x:c r="L674" s="161" t="n">
        <x:f>H674/I674</x:f>
        <x:v>0.007222198148228395</x:v>
      </x:c>
      <x:c r="M674" s="157" t="n">
        <x:v>6011</x:v>
      </x:c>
      <x:c r="N674" s="157" t="n">
        <x:v>937411</x:v>
      </x:c>
      <x:c r="O674" s="161" t="n">
        <x:v>0.0064</x:v>
      </x:c>
      <x:c r="P674" s="161" t="n">
        <x:f>M674/N674</x:f>
        <x:v>0.006412342078341304</x:v>
      </x:c>
      <x:c r="Q674" s="151" t="str">
        <x:v>https://www.bcie.org/api/documents/26127/BCIE%20Presentaci%C3%B3n%20Institucional%20Cifras%20Diciembre%202024.pdf</x:v>
      </x:c>
      <x:c r="R674" s="151" t="str">
        <x:v>Capital structure table, p. 14</x:v>
      </x:c>
      <x:c r="S674" s="151" t="str">
        <x:v>Official extract; calculated shares</x:v>
      </x:c>
      <x:c r="T674" s="151" t="str">
        <x:v>Capital share is normalized to subscribed capital; voting includes Series C zero-face-value shares.</x:v>
      </x:c>
      <x:c r="U674" s="151" t="str">
        <x:v>Board of Directors</x:v>
      </x:c>
      <x:c r="V674" s="157" t="n">
        <x:v>6011</x:v>
      </x:c>
      <x:c r="W674" s="157" t="n">
        <x:v>937411</x:v>
      </x:c>
      <x:c r="X674" s="161" t="n">
        <x:f>V674/W674</x:f>
        <x:v>0.006412342078341304</x:v>
      </x:c>
      <x:c r="Y674" s="161" t="n">
        <x:f>X674</x:f>
        <x:v>0.006412342078341304</x:v>
      </x:c>
      <x:c r="Z674" s="151" t="str">
        <x:v>Capital-weighted votes represented by directors; ordinary decisions use a majority of votes represented by directors present.</x:v>
      </x:c>
    </x:row>
    <x:row r="675">
      <x:c r="A675" s="151" t="str">
        <x:v>caf</x:v>
      </x:c>
      <x:c r="B675" s="151" t="str">
        <x:v>Development Bank of Latin America and the Caribbean</x:v>
      </x:c>
      <x:c r="C675" s="171" t="n">
        <x:v>45657</x:v>
      </x:c>
      <x:c r="D675" s="151" t="n">
        <x:v>2024</x:v>
      </x:c>
      <x:c r="E675" s="151" t="str">
        <x:v>Peru</x:v>
      </x:c>
      <x:c r="F675" s="151" t="str">
        <x:v>Country</x:v>
      </x:c>
      <x:c r="G675" s="151" t="str">
        <x:v>Full member (Series A/B)</x:v>
      </x:c>
      <x:c r="H675" s="173" t="n">
        <x:v>16.7</x:v>
      </x:c>
      <x:c r="I675" s="173" t="n">
        <x:v>99.75</x:v>
      </x:c>
      <x:c r="J675" s="151" t="str">
        <x:v>Reported percentage points (rounded)</x:v>
      </x:c>
      <x:c r="K675" s="161" t="n">
        <x:v>0.16699999999999998</x:v>
      </x:c>
      <x:c r="L675" s="161" t="n">
        <x:f>H675/I675</x:f>
        <x:v>0.16741854636591477</x:v>
      </x:c>
      <x:c r="M675" s="157" t="n">
        <x:v>2</x:v>
      </x:c>
      <x:c r="N675" s="157" t="n">
        <x:v>24</x:v>
      </x:c>
      <x:c r="O675" s="161"/>
      <x:c r="P675" s="161" t="n">
        <x:f>M675/N675</x:f>
        <x:v>0.08333333333333333</x:v>
      </x:c>
      <x:c r="Q675" s="151" t="str">
        <x:v>https://www.caf.com/media/4675803/2412-caf-investor-presentation-wp.pdf</x:v>
      </x:c>
      <x:c r="R675" s="151" t="str">
        <x:v>Investor presentation (31 Dec 2024) plus Agreement arts. 24–27</x:v>
      </x:c>
      <x:c r="S675" s="151" t="str">
        <x:v>Official rounded capital; statutory vote reconstruction</x:v>
      </x:c>
      <x:c r="T675" s="151" t="str">
        <x:v>Capital shares are normalized because reported rounded percentages sum to 99.75%. Board seats are reconstructed from statutory classes; Series C seats are attributed to principal directors.</x:v>
      </x:c>
      <x:c r="U675" s="151" t="str">
        <x:v>Board of Directors</x:v>
      </x:c>
      <x:c r="V675" s="157" t="n">
        <x:v>2</x:v>
      </x:c>
      <x:c r="W675" s="157" t="n">
        <x:v>24</x:v>
      </x:c>
      <x:c r="X675" s="161" t="n">
        <x:f>V675/W675</x:f>
        <x:v>0.08333333333333333</x:v>
      </x:c>
      <x:c r="Y675" s="161" t="n">
        <x:f>IF(F675="Country",V675/23,"")</x:f>
        <x:v>0.08695652173913043</x:v>
      </x:c>
      <x:c r="Z675" s="151" t="str">
        <x:v>One director, one vote. Country-normalized share excludes the private-banking seat; principal-country attribution is used for Series C seats.</x:v>
      </x:c>
    </x:row>
    <x:row r="676">
      <x:c r="A676" s="151" t="str">
        <x:v>caf</x:v>
      </x:c>
      <x:c r="B676" s="151" t="str">
        <x:v>Development Bank of Latin America and the Caribbean</x:v>
      </x:c>
      <x:c r="C676" s="171" t="n">
        <x:v>45657</x:v>
      </x:c>
      <x:c r="D676" s="151" t="n">
        <x:v>2024</x:v>
      </x:c>
      <x:c r="E676" s="151" t="str">
        <x:v>Colombia</x:v>
      </x:c>
      <x:c r="F676" s="151" t="str">
        <x:v>Country</x:v>
      </x:c>
      <x:c r="G676" s="151" t="str">
        <x:v>Full member (Series A/B)</x:v>
      </x:c>
      <x:c r="H676" s="173" t="n">
        <x:v>16.7</x:v>
      </x:c>
      <x:c r="I676" s="173" t="n">
        <x:v>99.75</x:v>
      </x:c>
      <x:c r="J676" s="151" t="str">
        <x:v>Reported percentage points (rounded)</x:v>
      </x:c>
      <x:c r="K676" s="161" t="n">
        <x:v>0.16699999999999998</x:v>
      </x:c>
      <x:c r="L676" s="161" t="n">
        <x:f>H676/I676</x:f>
        <x:v>0.16741854636591477</x:v>
      </x:c>
      <x:c r="M676" s="157" t="n">
        <x:v>2</x:v>
      </x:c>
      <x:c r="N676" s="157" t="n">
        <x:v>24</x:v>
      </x:c>
      <x:c r="O676" s="161"/>
      <x:c r="P676" s="161" t="n">
        <x:f>M676/N676</x:f>
        <x:v>0.08333333333333333</x:v>
      </x:c>
      <x:c r="Q676" s="151" t="str">
        <x:v>https://www.caf.com/media/4675803/2412-caf-investor-presentation-wp.pdf</x:v>
      </x:c>
      <x:c r="R676" s="151" t="str">
        <x:v>Investor presentation (31 Dec 2024) plus Agreement arts. 24–27</x:v>
      </x:c>
      <x:c r="S676" s="151" t="str">
        <x:v>Official rounded capital; statutory vote reconstruction</x:v>
      </x:c>
      <x:c r="T676" s="151" t="str">
        <x:v>Capital shares are normalized because reported rounded percentages sum to 99.75%. Board seats are reconstructed from statutory classes; Series C seats are attributed to principal directors.</x:v>
      </x:c>
      <x:c r="U676" s="151" t="str">
        <x:v>Board of Directors</x:v>
      </x:c>
      <x:c r="V676" s="157" t="n">
        <x:v>2</x:v>
      </x:c>
      <x:c r="W676" s="157" t="n">
        <x:v>24</x:v>
      </x:c>
      <x:c r="X676" s="161" t="n">
        <x:f>V676/W676</x:f>
        <x:v>0.08333333333333333</x:v>
      </x:c>
      <x:c r="Y676" s="161" t="n">
        <x:f>IF(F676="Country",V676/23,"")</x:f>
        <x:v>0.08695652173913043</x:v>
      </x:c>
      <x:c r="Z676" s="151" t="str">
        <x:v>One director, one vote. Country-normalized share excludes the private-banking seat; principal-country attribution is used for Series C seats.</x:v>
      </x:c>
    </x:row>
    <x:row r="677">
      <x:c r="A677" s="151" t="str">
        <x:v>caf</x:v>
      </x:c>
      <x:c r="B677" s="151" t="str">
        <x:v>Development Bank of Latin America and the Caribbean</x:v>
      </x:c>
      <x:c r="C677" s="171" t="n">
        <x:v>45657</x:v>
      </x:c>
      <x:c r="D677" s="151" t="n">
        <x:v>2024</x:v>
      </x:c>
      <x:c r="E677" s="151" t="str">
        <x:v>Argentina</x:v>
      </x:c>
      <x:c r="F677" s="151" t="str">
        <x:v>Country</x:v>
      </x:c>
      <x:c r="G677" s="151" t="str">
        <x:v>Full member (Series A/B)</x:v>
      </x:c>
      <x:c r="H677" s="173" t="n">
        <x:v>11.5</x:v>
      </x:c>
      <x:c r="I677" s="173" t="n">
        <x:v>99.75</x:v>
      </x:c>
      <x:c r="J677" s="151" t="str">
        <x:v>Reported percentage points (rounded)</x:v>
      </x:c>
      <x:c r="K677" s="161" t="n">
        <x:v>0.115</x:v>
      </x:c>
      <x:c r="L677" s="161" t="n">
        <x:f>H677/I677</x:f>
        <x:v>0.11528822055137844</x:v>
      </x:c>
      <x:c r="M677" s="157" t="n">
        <x:v>1</x:v>
      </x:c>
      <x:c r="N677" s="157" t="n">
        <x:v>24</x:v>
      </x:c>
      <x:c r="O677" s="161"/>
      <x:c r="P677" s="161" t="n">
        <x:f>M677/N677</x:f>
        <x:v>0.041666666666666664</x:v>
      </x:c>
      <x:c r="Q677" s="151" t="str">
        <x:v>https://www.caf.com/media/4675803/2412-caf-investor-presentation-wp.pdf</x:v>
      </x:c>
      <x:c r="R677" s="151" t="str">
        <x:v>Investor presentation (31 Dec 2024) plus Agreement arts. 24–27</x:v>
      </x:c>
      <x:c r="S677" s="151" t="str">
        <x:v>Official rounded capital; statutory vote reconstruction</x:v>
      </x:c>
      <x:c r="T677" s="151" t="str">
        <x:v>Capital shares are normalized because reported rounded percentages sum to 99.75%. Board seats are reconstructed from statutory classes; Series C seats are attributed to principal directors.</x:v>
      </x:c>
      <x:c r="U677" s="151" t="str">
        <x:v>Board of Directors</x:v>
      </x:c>
      <x:c r="V677" s="157" t="n">
        <x:v>1</x:v>
      </x:c>
      <x:c r="W677" s="157" t="n">
        <x:v>24</x:v>
      </x:c>
      <x:c r="X677" s="161" t="n">
        <x:f>V677/W677</x:f>
        <x:v>0.041666666666666664</x:v>
      </x:c>
      <x:c r="Y677" s="161" t="n">
        <x:f>IF(F677="Country",V677/23,"")</x:f>
        <x:v>0.043478260869565216</x:v>
      </x:c>
      <x:c r="Z677" s="151" t="str">
        <x:v>One director, one vote. Country-normalized share excludes the private-banking seat; principal-country attribution is used for Series C seats.</x:v>
      </x:c>
    </x:row>
    <x:row r="678">
      <x:c r="A678" s="151" t="str">
        <x:v>caf</x:v>
      </x:c>
      <x:c r="B678" s="151" t="str">
        <x:v>Development Bank of Latin America and the Caribbean</x:v>
      </x:c>
      <x:c r="C678" s="171" t="n">
        <x:v>45657</x:v>
      </x:c>
      <x:c r="D678" s="151" t="n">
        <x:v>2024</x:v>
      </x:c>
      <x:c r="E678" s="151" t="str">
        <x:v>Brazil</x:v>
      </x:c>
      <x:c r="F678" s="151" t="str">
        <x:v>Country</x:v>
      </x:c>
      <x:c r="G678" s="151" t="str">
        <x:v>Full member (Series A/B)</x:v>
      </x:c>
      <x:c r="H678" s="173" t="n">
        <x:v>7.8</x:v>
      </x:c>
      <x:c r="I678" s="173" t="n">
        <x:v>99.75</x:v>
      </x:c>
      <x:c r="J678" s="151" t="str">
        <x:v>Reported percentage points (rounded)</x:v>
      </x:c>
      <x:c r="K678" s="161" t="n">
        <x:v>0.078</x:v>
      </x:c>
      <x:c r="L678" s="161" t="n">
        <x:f>H678/I678</x:f>
        <x:v>0.07819548872180451</x:v>
      </x:c>
      <x:c r="M678" s="157" t="n">
        <x:v>1</x:v>
      </x:c>
      <x:c r="N678" s="157" t="n">
        <x:v>24</x:v>
      </x:c>
      <x:c r="O678" s="161"/>
      <x:c r="P678" s="161" t="n">
        <x:f>M678/N678</x:f>
        <x:v>0.041666666666666664</x:v>
      </x:c>
      <x:c r="Q678" s="151" t="str">
        <x:v>https://www.caf.com/media/4675803/2412-caf-investor-presentation-wp.pdf</x:v>
      </x:c>
      <x:c r="R678" s="151" t="str">
        <x:v>Investor presentation (31 Dec 2024) plus Agreement arts. 24–27</x:v>
      </x:c>
      <x:c r="S678" s="151" t="str">
        <x:v>Official rounded capital; statutory vote reconstruction</x:v>
      </x:c>
      <x:c r="T678" s="151" t="str">
        <x:v>Capital shares are normalized because reported rounded percentages sum to 99.75%. Board seats are reconstructed from statutory classes; Series C seats are attributed to principal directors.</x:v>
      </x:c>
      <x:c r="U678" s="151" t="str">
        <x:v>Board of Directors</x:v>
      </x:c>
      <x:c r="V678" s="157" t="n">
        <x:v>1</x:v>
      </x:c>
      <x:c r="W678" s="157" t="n">
        <x:v>24</x:v>
      </x:c>
      <x:c r="X678" s="161" t="n">
        <x:f>V678/W678</x:f>
        <x:v>0.041666666666666664</x:v>
      </x:c>
      <x:c r="Y678" s="161" t="n">
        <x:f>IF(F678="Country",V678/23,"")</x:f>
        <x:v>0.043478260869565216</x:v>
      </x:c>
      <x:c r="Z678" s="151" t="str">
        <x:v>One director, one vote. Country-normalized share excludes the private-banking seat; principal-country attribution is used for Series C seats.</x:v>
      </x:c>
    </x:row>
    <x:row r="679">
      <x:c r="A679" s="151" t="str">
        <x:v>caf</x:v>
      </x:c>
      <x:c r="B679" s="151" t="str">
        <x:v>Development Bank of Latin America and the Caribbean</x:v>
      </x:c>
      <x:c r="C679" s="171" t="n">
        <x:v>45657</x:v>
      </x:c>
      <x:c r="D679" s="151" t="n">
        <x:v>2024</x:v>
      </x:c>
      <x:c r="E679" s="151" t="str">
        <x:v>Chile</x:v>
      </x:c>
      <x:c r="F679" s="151" t="str">
        <x:v>Country</x:v>
      </x:c>
      <x:c r="G679" s="151" t="str">
        <x:v>Full member (Series A/B)</x:v>
      </x:c>
      <x:c r="H679" s="173" t="n">
        <x:v>6.6</x:v>
      </x:c>
      <x:c r="I679" s="173" t="n">
        <x:v>99.75</x:v>
      </x:c>
      <x:c r="J679" s="151" t="str">
        <x:v>Reported percentage points (rounded)</x:v>
      </x:c>
      <x:c r="K679" s="161" t="n">
        <x:v>0.066</x:v>
      </x:c>
      <x:c r="L679" s="161" t="n">
        <x:f>H679/I679</x:f>
        <x:v>0.06616541353383458</x:v>
      </x:c>
      <x:c r="M679" s="157" t="n">
        <x:v>1</x:v>
      </x:c>
      <x:c r="N679" s="157" t="n">
        <x:v>24</x:v>
      </x:c>
      <x:c r="O679" s="161"/>
      <x:c r="P679" s="161" t="n">
        <x:f>M679/N679</x:f>
        <x:v>0.041666666666666664</x:v>
      </x:c>
      <x:c r="Q679" s="151" t="str">
        <x:v>https://www.caf.com/media/4675803/2412-caf-investor-presentation-wp.pdf</x:v>
      </x:c>
      <x:c r="R679" s="151" t="str">
        <x:v>Investor presentation (31 Dec 2024) plus Agreement arts. 24–27</x:v>
      </x:c>
      <x:c r="S679" s="151" t="str">
        <x:v>Official rounded capital; statutory vote reconstruction</x:v>
      </x:c>
      <x:c r="T679" s="151" t="str">
        <x:v>Capital shares are normalized because reported rounded percentages sum to 99.75%. Board seats are reconstructed from statutory classes; Series C seats are attributed to principal directors.</x:v>
      </x:c>
      <x:c r="U679" s="151" t="str">
        <x:v>Board of Directors</x:v>
      </x:c>
      <x:c r="V679" s="157" t="n">
        <x:v>1</x:v>
      </x:c>
      <x:c r="W679" s="157" t="n">
        <x:v>24</x:v>
      </x:c>
      <x:c r="X679" s="161" t="n">
        <x:f>V679/W679</x:f>
        <x:v>0.041666666666666664</x:v>
      </x:c>
      <x:c r="Y679" s="161" t="n">
        <x:f>IF(F679="Country",V679/23,"")</x:f>
        <x:v>0.043478260869565216</x:v>
      </x:c>
      <x:c r="Z679" s="151" t="str">
        <x:v>One director, one vote. Country-normalized share excludes the private-banking seat; principal-country attribution is used for Series C seats.</x:v>
      </x:c>
    </x:row>
    <x:row r="680">
      <x:c r="A680" s="151" t="str">
        <x:v>caf</x:v>
      </x:c>
      <x:c r="B680" s="151" t="str">
        <x:v>Development Bank of Latin America and the Caribbean</x:v>
      </x:c>
      <x:c r="C680" s="171" t="n">
        <x:v>45657</x:v>
      </x:c>
      <x:c r="D680" s="151" t="n">
        <x:v>2024</x:v>
      </x:c>
      <x:c r="E680" s="151" t="str">
        <x:v>Ecuador</x:v>
      </x:c>
      <x:c r="F680" s="151" t="str">
        <x:v>Country</x:v>
      </x:c>
      <x:c r="G680" s="151" t="str">
        <x:v>Full member (Series A/B)</x:v>
      </x:c>
      <x:c r="H680" s="173" t="n">
        <x:v>5.1</x:v>
      </x:c>
      <x:c r="I680" s="173" t="n">
        <x:v>99.75</x:v>
      </x:c>
      <x:c r="J680" s="151" t="str">
        <x:v>Reported percentage points (rounded)</x:v>
      </x:c>
      <x:c r="K680" s="161" t="n">
        <x:v>0.051</x:v>
      </x:c>
      <x:c r="L680" s="161" t="n">
        <x:f>H680/I680</x:f>
        <x:v>0.051127819548872175</x:v>
      </x:c>
      <x:c r="M680" s="157" t="n">
        <x:v>2</x:v>
      </x:c>
      <x:c r="N680" s="157" t="n">
        <x:v>24</x:v>
      </x:c>
      <x:c r="O680" s="161"/>
      <x:c r="P680" s="161" t="n">
        <x:f>M680/N680</x:f>
        <x:v>0.08333333333333333</x:v>
      </x:c>
      <x:c r="Q680" s="151" t="str">
        <x:v>https://www.caf.com/media/4675803/2412-caf-investor-presentation-wp.pdf</x:v>
      </x:c>
      <x:c r="R680" s="151" t="str">
        <x:v>Investor presentation (31 Dec 2024) plus Agreement arts. 24–27</x:v>
      </x:c>
      <x:c r="S680" s="151" t="str">
        <x:v>Official rounded capital; statutory vote reconstruction</x:v>
      </x:c>
      <x:c r="T680" s="151" t="str">
        <x:v>Capital shares are normalized because reported rounded percentages sum to 99.75%. Board seats are reconstructed from statutory classes; Series C seats are attributed to principal directors.</x:v>
      </x:c>
      <x:c r="U680" s="151" t="str">
        <x:v>Board of Directors</x:v>
      </x:c>
      <x:c r="V680" s="157" t="n">
        <x:v>2</x:v>
      </x:c>
      <x:c r="W680" s="157" t="n">
        <x:v>24</x:v>
      </x:c>
      <x:c r="X680" s="161" t="n">
        <x:f>V680/W680</x:f>
        <x:v>0.08333333333333333</x:v>
      </x:c>
      <x:c r="Y680" s="161" t="n">
        <x:f>IF(F680="Country",V680/23,"")</x:f>
        <x:v>0.08695652173913043</x:v>
      </x:c>
      <x:c r="Z680" s="151" t="str">
        <x:v>One director, one vote. Country-normalized share excludes the private-banking seat; principal-country attribution is used for Series C seats.</x:v>
      </x:c>
    </x:row>
    <x:row r="681">
      <x:c r="A681" s="151" t="str">
        <x:v>caf</x:v>
      </x:c>
      <x:c r="B681" s="151" t="str">
        <x:v>Development Bank of Latin America and the Caribbean</x:v>
      </x:c>
      <x:c r="C681" s="171" t="n">
        <x:v>45657</x:v>
      </x:c>
      <x:c r="D681" s="151" t="n">
        <x:v>2024</x:v>
      </x:c>
      <x:c r="E681" s="151" t="str">
        <x:v>Bolivia</x:v>
      </x:c>
      <x:c r="F681" s="151" t="str">
        <x:v>Country</x:v>
      </x:c>
      <x:c r="G681" s="151" t="str">
        <x:v>Full member (Series A/B)</x:v>
      </x:c>
      <x:c r="H681" s="173" t="n">
        <x:v>5.1</x:v>
      </x:c>
      <x:c r="I681" s="173" t="n">
        <x:v>99.75</x:v>
      </x:c>
      <x:c r="J681" s="151" t="str">
        <x:v>Reported percentage points (rounded)</x:v>
      </x:c>
      <x:c r="K681" s="161" t="n">
        <x:v>0.051</x:v>
      </x:c>
      <x:c r="L681" s="161" t="n">
        <x:f>H681/I681</x:f>
        <x:v>0.051127819548872175</x:v>
      </x:c>
      <x:c r="M681" s="157" t="n">
        <x:v>2</x:v>
      </x:c>
      <x:c r="N681" s="157" t="n">
        <x:v>24</x:v>
      </x:c>
      <x:c r="O681" s="161"/>
      <x:c r="P681" s="161" t="n">
        <x:f>M681/N681</x:f>
        <x:v>0.08333333333333333</x:v>
      </x:c>
      <x:c r="Q681" s="151" t="str">
        <x:v>https://www.caf.com/media/4675803/2412-caf-investor-presentation-wp.pdf</x:v>
      </x:c>
      <x:c r="R681" s="151" t="str">
        <x:v>Investor presentation (31 Dec 2024) plus Agreement arts. 24–27</x:v>
      </x:c>
      <x:c r="S681" s="151" t="str">
        <x:v>Official rounded capital; statutory vote reconstruction</x:v>
      </x:c>
      <x:c r="T681" s="151" t="str">
        <x:v>Capital shares are normalized because reported rounded percentages sum to 99.75%. Board seats are reconstructed from statutory classes; Series C seats are attributed to principal directors.</x:v>
      </x:c>
      <x:c r="U681" s="151" t="str">
        <x:v>Board of Directors</x:v>
      </x:c>
      <x:c r="V681" s="157" t="n">
        <x:v>2</x:v>
      </x:c>
      <x:c r="W681" s="157" t="n">
        <x:v>24</x:v>
      </x:c>
      <x:c r="X681" s="161" t="n">
        <x:f>V681/W681</x:f>
        <x:v>0.08333333333333333</x:v>
      </x:c>
      <x:c r="Y681" s="161" t="n">
        <x:f>IF(F681="Country",V681/23,"")</x:f>
        <x:v>0.08695652173913043</x:v>
      </x:c>
      <x:c r="Z681" s="151" t="str">
        <x:v>One director, one vote. Country-normalized share excludes the private-banking seat; principal-country attribution is used for Series C seats.</x:v>
      </x:c>
    </x:row>
    <x:row r="682">
      <x:c r="A682" s="151" t="str">
        <x:v>caf</x:v>
      </x:c>
      <x:c r="B682" s="151" t="str">
        <x:v>Development Bank of Latin America and the Caribbean</x:v>
      </x:c>
      <x:c r="C682" s="171" t="n">
        <x:v>45657</x:v>
      </x:c>
      <x:c r="D682" s="151" t="n">
        <x:v>2024</x:v>
      </x:c>
      <x:c r="E682" s="151" t="str">
        <x:v>Panama</x:v>
      </x:c>
      <x:c r="F682" s="151" t="str">
        <x:v>Country</x:v>
      </x:c>
      <x:c r="G682" s="151" t="str">
        <x:v>Full member (Series A/B)</x:v>
      </x:c>
      <x:c r="H682" s="173" t="n">
        <x:v>3.6</x:v>
      </x:c>
      <x:c r="I682" s="173" t="n">
        <x:v>99.75</x:v>
      </x:c>
      <x:c r="J682" s="151" t="str">
        <x:v>Reported percentage points (rounded)</x:v>
      </x:c>
      <x:c r="K682" s="161" t="n">
        <x:v>0.036000000000000004</x:v>
      </x:c>
      <x:c r="L682" s="161" t="n">
        <x:f>H682/I682</x:f>
        <x:v>0.03609022556390978</x:v>
      </x:c>
      <x:c r="M682" s="157" t="n">
        <x:v>1</x:v>
      </x:c>
      <x:c r="N682" s="157" t="n">
        <x:v>24</x:v>
      </x:c>
      <x:c r="O682" s="161"/>
      <x:c r="P682" s="161" t="n">
        <x:f>M682/N682</x:f>
        <x:v>0.041666666666666664</x:v>
      </x:c>
      <x:c r="Q682" s="151" t="str">
        <x:v>https://www.caf.com/media/4675803/2412-caf-investor-presentation-wp.pdf</x:v>
      </x:c>
      <x:c r="R682" s="151" t="str">
        <x:v>Investor presentation (31 Dec 2024) plus Agreement arts. 24–27</x:v>
      </x:c>
      <x:c r="S682" s="151" t="str">
        <x:v>Official rounded capital; statutory vote reconstruction</x:v>
      </x:c>
      <x:c r="T682" s="151" t="str">
        <x:v>Capital shares are normalized because reported rounded percentages sum to 99.75%. Board seats are reconstructed from statutory classes; Series C seats are attributed to principal directors.</x:v>
      </x:c>
      <x:c r="U682" s="151" t="str">
        <x:v>Board of Directors</x:v>
      </x:c>
      <x:c r="V682" s="157" t="n">
        <x:v>1</x:v>
      </x:c>
      <x:c r="W682" s="157" t="n">
        <x:v>24</x:v>
      </x:c>
      <x:c r="X682" s="161" t="n">
        <x:f>V682/W682</x:f>
        <x:v>0.041666666666666664</x:v>
      </x:c>
      <x:c r="Y682" s="161" t="n">
        <x:f>IF(F682="Country",V682/23,"")</x:f>
        <x:v>0.043478260869565216</x:v>
      </x:c>
      <x:c r="Z682" s="151" t="str">
        <x:v>One director, one vote. Country-normalized share excludes the private-banking seat; principal-country attribution is used for Series C seats.</x:v>
      </x:c>
    </x:row>
    <x:row r="683">
      <x:c r="A683" s="151" t="str">
        <x:v>caf</x:v>
      </x:c>
      <x:c r="B683" s="151" t="str">
        <x:v>Development Bank of Latin America and the Caribbean</x:v>
      </x:c>
      <x:c r="C683" s="171" t="n">
        <x:v>45657</x:v>
      </x:c>
      <x:c r="D683" s="151" t="n">
        <x:v>2024</x:v>
      </x:c>
      <x:c r="E683" s="151" t="str">
        <x:v>Paraguay</x:v>
      </x:c>
      <x:c r="F683" s="151" t="str">
        <x:v>Country</x:v>
      </x:c>
      <x:c r="G683" s="151" t="str">
        <x:v>Full member (Series A/B)</x:v>
      </x:c>
      <x:c r="H683" s="173" t="n">
        <x:v>3.6</x:v>
      </x:c>
      <x:c r="I683" s="173" t="n">
        <x:v>99.75</x:v>
      </x:c>
      <x:c r="J683" s="151" t="str">
        <x:v>Reported percentage points (rounded)</x:v>
      </x:c>
      <x:c r="K683" s="161" t="n">
        <x:v>0.036000000000000004</x:v>
      </x:c>
      <x:c r="L683" s="161" t="n">
        <x:f>H683/I683</x:f>
        <x:v>0.03609022556390978</x:v>
      </x:c>
      <x:c r="M683" s="157" t="n">
        <x:v>1</x:v>
      </x:c>
      <x:c r="N683" s="157" t="n">
        <x:v>24</x:v>
      </x:c>
      <x:c r="O683" s="161"/>
      <x:c r="P683" s="161" t="n">
        <x:f>M683/N683</x:f>
        <x:v>0.041666666666666664</x:v>
      </x:c>
      <x:c r="Q683" s="151" t="str">
        <x:v>https://www.caf.com/media/4675803/2412-caf-investor-presentation-wp.pdf</x:v>
      </x:c>
      <x:c r="R683" s="151" t="str">
        <x:v>Investor presentation (31 Dec 2024) plus Agreement arts. 24–27</x:v>
      </x:c>
      <x:c r="S683" s="151" t="str">
        <x:v>Official rounded capital; statutory vote reconstruction</x:v>
      </x:c>
      <x:c r="T683" s="151" t="str">
        <x:v>Capital shares are normalized because reported rounded percentages sum to 99.75%. Board seats are reconstructed from statutory classes; Series C seats are attributed to principal directors.</x:v>
      </x:c>
      <x:c r="U683" s="151" t="str">
        <x:v>Board of Directors</x:v>
      </x:c>
      <x:c r="V683" s="157" t="n">
        <x:v>1</x:v>
      </x:c>
      <x:c r="W683" s="157" t="n">
        <x:v>24</x:v>
      </x:c>
      <x:c r="X683" s="161" t="n">
        <x:f>V683/W683</x:f>
        <x:v>0.041666666666666664</x:v>
      </x:c>
      <x:c r="Y683" s="161" t="n">
        <x:f>IF(F683="Country",V683/23,"")</x:f>
        <x:v>0.043478260869565216</x:v>
      </x:c>
      <x:c r="Z683" s="151" t="str">
        <x:v>One director, one vote. Country-normalized share excludes the private-banking seat; principal-country attribution is used for Series C seats.</x:v>
      </x:c>
    </x:row>
    <x:row r="684">
      <x:c r="A684" s="151" t="str">
        <x:v>caf</x:v>
      </x:c>
      <x:c r="B684" s="151" t="str">
        <x:v>Development Bank of Latin America and the Caribbean</x:v>
      </x:c>
      <x:c r="C684" s="171" t="n">
        <x:v>45657</x:v>
      </x:c>
      <x:c r="D684" s="151" t="n">
        <x:v>2024</x:v>
      </x:c>
      <x:c r="E684" s="151" t="str">
        <x:v>Trinidad and Tobago</x:v>
      </x:c>
      <x:c r="F684" s="151" t="str">
        <x:v>Country</x:v>
      </x:c>
      <x:c r="G684" s="151" t="str">
        <x:v>Full member (Series A/B)</x:v>
      </x:c>
      <x:c r="H684" s="173" t="n">
        <x:v>3.4</x:v>
      </x:c>
      <x:c r="I684" s="173" t="n">
        <x:v>99.75</x:v>
      </x:c>
      <x:c r="J684" s="151" t="str">
        <x:v>Reported percentage points (rounded)</x:v>
      </x:c>
      <x:c r="K684" s="161" t="n">
        <x:v>0.034</x:v>
      </x:c>
      <x:c r="L684" s="161" t="n">
        <x:f>H684/I684</x:f>
        <x:v>0.034085213032581455</x:v>
      </x:c>
      <x:c r="M684" s="157" t="n">
        <x:v>1</x:v>
      </x:c>
      <x:c r="N684" s="157" t="n">
        <x:v>24</x:v>
      </x:c>
      <x:c r="O684" s="161"/>
      <x:c r="P684" s="161" t="n">
        <x:f>M684/N684</x:f>
        <x:v>0.041666666666666664</x:v>
      </x:c>
      <x:c r="Q684" s="151" t="str">
        <x:v>https://www.caf.com/media/4675803/2412-caf-investor-presentation-wp.pdf</x:v>
      </x:c>
      <x:c r="R684" s="151" t="str">
        <x:v>Investor presentation (31 Dec 2024) plus Agreement arts. 24–27</x:v>
      </x:c>
      <x:c r="S684" s="151" t="str">
        <x:v>Official rounded capital; statutory vote reconstruction</x:v>
      </x:c>
      <x:c r="T684" s="151" t="str">
        <x:v>Capital shares are normalized because reported rounded percentages sum to 99.75%. Board seats are reconstructed from statutory classes; Series C seats are attributed to principal directors.</x:v>
      </x:c>
      <x:c r="U684" s="151" t="str">
        <x:v>Board of Directors</x:v>
      </x:c>
      <x:c r="V684" s="157" t="n">
        <x:v>1</x:v>
      </x:c>
      <x:c r="W684" s="157" t="n">
        <x:v>24</x:v>
      </x:c>
      <x:c r="X684" s="161" t="n">
        <x:f>V684/W684</x:f>
        <x:v>0.041666666666666664</x:v>
      </x:c>
      <x:c r="Y684" s="161" t="n">
        <x:f>IF(F684="Country",V684/23,"")</x:f>
        <x:v>0.043478260869565216</x:v>
      </x:c>
      <x:c r="Z684" s="151" t="str">
        <x:v>One director, one vote. Country-normalized share excludes the private-banking seat; principal-country attribution is used for Series C seats.</x:v>
      </x:c>
    </x:row>
    <x:row r="685">
      <x:c r="A685" s="151" t="str">
        <x:v>caf</x:v>
      </x:c>
      <x:c r="B685" s="151" t="str">
        <x:v>Development Bank of Latin America and the Caribbean</x:v>
      </x:c>
      <x:c r="C685" s="171" t="n">
        <x:v>45657</x:v>
      </x:c>
      <x:c r="D685" s="151" t="n">
        <x:v>2024</x:v>
      </x:c>
      <x:c r="E685" s="151" t="str">
        <x:v>Venezuela</x:v>
      </x:c>
      <x:c r="F685" s="151" t="str">
        <x:v>Country</x:v>
      </x:c>
      <x:c r="G685" s="151" t="str">
        <x:v>Full member (Series A/B)</x:v>
      </x:c>
      <x:c r="H685" s="173" t="n">
        <x:v>3</x:v>
      </x:c>
      <x:c r="I685" s="173" t="n">
        <x:v>99.75</x:v>
      </x:c>
      <x:c r="J685" s="151" t="str">
        <x:v>Reported percentage points (rounded)</x:v>
      </x:c>
      <x:c r="K685" s="161" t="n">
        <x:v>0.03</x:v>
      </x:c>
      <x:c r="L685" s="161" t="n">
        <x:f>H685/I685</x:f>
        <x:v>0.03007518796992481</x:v>
      </x:c>
      <x:c r="M685" s="157" t="n">
        <x:v>2</x:v>
      </x:c>
      <x:c r="N685" s="157" t="n">
        <x:v>24</x:v>
      </x:c>
      <x:c r="O685" s="161"/>
      <x:c r="P685" s="161" t="n">
        <x:f>M685/N685</x:f>
        <x:v>0.08333333333333333</x:v>
      </x:c>
      <x:c r="Q685" s="151" t="str">
        <x:v>https://www.caf.com/media/4675803/2412-caf-investor-presentation-wp.pdf</x:v>
      </x:c>
      <x:c r="R685" s="151" t="str">
        <x:v>Investor presentation (31 Dec 2024) plus Agreement arts. 24–27</x:v>
      </x:c>
      <x:c r="S685" s="151" t="str">
        <x:v>Official rounded capital; statutory vote reconstruction</x:v>
      </x:c>
      <x:c r="T685" s="151" t="str">
        <x:v>Capital shares are normalized because reported rounded percentages sum to 99.75%. Board seats are reconstructed from statutory classes; Series C seats are attributed to principal directors.</x:v>
      </x:c>
      <x:c r="U685" s="151" t="str">
        <x:v>Board of Directors</x:v>
      </x:c>
      <x:c r="V685" s="157" t="n">
        <x:v>2</x:v>
      </x:c>
      <x:c r="W685" s="157" t="n">
        <x:v>24</x:v>
      </x:c>
      <x:c r="X685" s="161" t="n">
        <x:f>V685/W685</x:f>
        <x:v>0.08333333333333333</x:v>
      </x:c>
      <x:c r="Y685" s="161" t="n">
        <x:f>IF(F685="Country",V685/23,"")</x:f>
        <x:v>0.08695652173913043</x:v>
      </x:c>
      <x:c r="Z685" s="151" t="str">
        <x:v>One director, one vote. Country-normalized share excludes the private-banking seat; principal-country attribution is used for Series C seats.</x:v>
      </x:c>
    </x:row>
    <x:row r="686">
      <x:c r="A686" s="151" t="str">
        <x:v>caf</x:v>
      </x:c>
      <x:c r="B686" s="151" t="str">
        <x:v>Development Bank of Latin America and the Caribbean</x:v>
      </x:c>
      <x:c r="C686" s="171" t="n">
        <x:v>45657</x:v>
      </x:c>
      <x:c r="D686" s="151" t="n">
        <x:v>2024</x:v>
      </x:c>
      <x:c r="E686" s="151" t="str">
        <x:v>Uruguay</x:v>
      </x:c>
      <x:c r="F686" s="151" t="str">
        <x:v>Country</x:v>
      </x:c>
      <x:c r="G686" s="151" t="str">
        <x:v>Full member (Series A/B)</x:v>
      </x:c>
      <x:c r="H686" s="173" t="n">
        <x:v>2.5</x:v>
      </x:c>
      <x:c r="I686" s="173" t="n">
        <x:v>99.75</x:v>
      </x:c>
      <x:c r="J686" s="151" t="str">
        <x:v>Reported percentage points (rounded)</x:v>
      </x:c>
      <x:c r="K686" s="161" t="n">
        <x:v>0.025</x:v>
      </x:c>
      <x:c r="L686" s="161" t="n">
        <x:f>H686/I686</x:f>
        <x:v>0.02506265664160401</x:v>
      </x:c>
      <x:c r="M686" s="157" t="n">
        <x:v>1</x:v>
      </x:c>
      <x:c r="N686" s="157" t="n">
        <x:v>24</x:v>
      </x:c>
      <x:c r="O686" s="161"/>
      <x:c r="P686" s="161" t="n">
        <x:f>M686/N686</x:f>
        <x:v>0.041666666666666664</x:v>
      </x:c>
      <x:c r="Q686" s="151" t="str">
        <x:v>https://www.caf.com/media/4675803/2412-caf-investor-presentation-wp.pdf</x:v>
      </x:c>
      <x:c r="R686" s="151" t="str">
        <x:v>Investor presentation (31 Dec 2024) plus Agreement arts. 24–27</x:v>
      </x:c>
      <x:c r="S686" s="151" t="str">
        <x:v>Official rounded capital; statutory vote reconstruction</x:v>
      </x:c>
      <x:c r="T686" s="151" t="str">
        <x:v>Capital shares are normalized because reported rounded percentages sum to 99.75%. Board seats are reconstructed from statutory classes; Series C seats are attributed to principal directors.</x:v>
      </x:c>
      <x:c r="U686" s="151" t="str">
        <x:v>Board of Directors</x:v>
      </x:c>
      <x:c r="V686" s="157" t="n">
        <x:v>1</x:v>
      </x:c>
      <x:c r="W686" s="157" t="n">
        <x:v>24</x:v>
      </x:c>
      <x:c r="X686" s="161" t="n">
        <x:f>V686/W686</x:f>
        <x:v>0.041666666666666664</x:v>
      </x:c>
      <x:c r="Y686" s="161" t="n">
        <x:f>IF(F686="Country",V686/23,"")</x:f>
        <x:v>0.043478260869565216</x:v>
      </x:c>
      <x:c r="Z686" s="151" t="str">
        <x:v>One director, one vote. Country-normalized share excludes the private-banking seat; principal-country attribution is used for Series C seats.</x:v>
      </x:c>
    </x:row>
    <x:row r="687">
      <x:c r="A687" s="151" t="str">
        <x:v>caf</x:v>
      </x:c>
      <x:c r="B687" s="151" t="str">
        <x:v>Development Bank of Latin America and the Caribbean</x:v>
      </x:c>
      <x:c r="C687" s="171" t="n">
        <x:v>45657</x:v>
      </x:c>
      <x:c r="D687" s="151" t="n">
        <x:v>2024</x:v>
      </x:c>
      <x:c r="E687" s="151" t="str">
        <x:v>Dominican Republic</x:v>
      </x:c>
      <x:c r="F687" s="151" t="str">
        <x:v>Country</x:v>
      </x:c>
      <x:c r="G687" s="151" t="str">
        <x:v>Full member (Series A/B)</x:v>
      </x:c>
      <x:c r="H687" s="173" t="n">
        <x:v>2</x:v>
      </x:c>
      <x:c r="I687" s="173" t="n">
        <x:v>99.75</x:v>
      </x:c>
      <x:c r="J687" s="151" t="str">
        <x:v>Reported percentage points (rounded)</x:v>
      </x:c>
      <x:c r="K687" s="161" t="n">
        <x:v>0.02</x:v>
      </x:c>
      <x:c r="L687" s="161" t="n">
        <x:f>H687/I687</x:f>
        <x:v>0.020050125313283207</x:v>
      </x:c>
      <x:c r="M687" s="157" t="n">
        <x:v>1</x:v>
      </x:c>
      <x:c r="N687" s="157" t="n">
        <x:v>24</x:v>
      </x:c>
      <x:c r="O687" s="161"/>
      <x:c r="P687" s="161" t="n">
        <x:f>M687/N687</x:f>
        <x:v>0.041666666666666664</x:v>
      </x:c>
      <x:c r="Q687" s="151" t="str">
        <x:v>https://www.caf.com/media/4675803/2412-caf-investor-presentation-wp.pdf</x:v>
      </x:c>
      <x:c r="R687" s="151" t="str">
        <x:v>Investor presentation (31 Dec 2024) plus Agreement arts. 24–27</x:v>
      </x:c>
      <x:c r="S687" s="151" t="str">
        <x:v>Official rounded capital; statutory vote reconstruction</x:v>
      </x:c>
      <x:c r="T687" s="151" t="str">
        <x:v>Capital shares are normalized because reported rounded percentages sum to 99.75%. Board seats are reconstructed from statutory classes; Series C seats are attributed to principal directors.</x:v>
      </x:c>
      <x:c r="U687" s="151" t="str">
        <x:v>Board of Directors</x:v>
      </x:c>
      <x:c r="V687" s="157" t="n">
        <x:v>1</x:v>
      </x:c>
      <x:c r="W687" s="157" t="n">
        <x:v>24</x:v>
      </x:c>
      <x:c r="X687" s="161" t="n">
        <x:f>V687/W687</x:f>
        <x:v>0.041666666666666664</x:v>
      </x:c>
      <x:c r="Y687" s="161" t="n">
        <x:f>IF(F687="Country",V687/23,"")</x:f>
        <x:v>0.043478260869565216</x:v>
      </x:c>
      <x:c r="Z687" s="151" t="str">
        <x:v>One director, one vote. Country-normalized share excludes the private-banking seat; principal-country attribution is used for Series C seats.</x:v>
      </x:c>
    </x:row>
    <x:row r="688">
      <x:c r="A688" s="151" t="str">
        <x:v>caf</x:v>
      </x:c>
      <x:c r="B688" s="151" t="str">
        <x:v>Development Bank of Latin America and the Caribbean</x:v>
      </x:c>
      <x:c r="C688" s="171" t="n">
        <x:v>45657</x:v>
      </x:c>
      <x:c r="D688" s="151" t="n">
        <x:v>2024</x:v>
      </x:c>
      <x:c r="E688" s="151" t="str">
        <x:v>Costa Rica</x:v>
      </x:c>
      <x:c r="F688" s="151" t="str">
        <x:v>Country</x:v>
      </x:c>
      <x:c r="G688" s="151" t="str">
        <x:v>Full member (Series A/B)</x:v>
      </x:c>
      <x:c r="H688" s="173" t="n">
        <x:v>2</x:v>
      </x:c>
      <x:c r="I688" s="173" t="n">
        <x:v>99.75</x:v>
      </x:c>
      <x:c r="J688" s="151" t="str">
        <x:v>Reported percentage points (rounded)</x:v>
      </x:c>
      <x:c r="K688" s="161" t="n">
        <x:v>0.02</x:v>
      </x:c>
      <x:c r="L688" s="161" t="n">
        <x:f>H688/I688</x:f>
        <x:v>0.020050125313283207</x:v>
      </x:c>
      <x:c r="M688" s="157" t="n">
        <x:v>1</x:v>
      </x:c>
      <x:c r="N688" s="157" t="n">
        <x:v>24</x:v>
      </x:c>
      <x:c r="O688" s="161"/>
      <x:c r="P688" s="161" t="n">
        <x:f>M688/N688</x:f>
        <x:v>0.041666666666666664</x:v>
      </x:c>
      <x:c r="Q688" s="151" t="str">
        <x:v>https://www.caf.com/media/4675803/2412-caf-investor-presentation-wp.pdf</x:v>
      </x:c>
      <x:c r="R688" s="151" t="str">
        <x:v>Investor presentation (31 Dec 2024) plus Agreement arts. 24–27</x:v>
      </x:c>
      <x:c r="S688" s="151" t="str">
        <x:v>Official rounded capital; statutory vote reconstruction</x:v>
      </x:c>
      <x:c r="T688" s="151" t="str">
        <x:v>Capital shares are normalized because reported rounded percentages sum to 99.75%. Board seats are reconstructed from statutory classes; Series C seats are attributed to principal directors.</x:v>
      </x:c>
      <x:c r="U688" s="151" t="str">
        <x:v>Board of Directors</x:v>
      </x:c>
      <x:c r="V688" s="157" t="n">
        <x:v>1</x:v>
      </x:c>
      <x:c r="W688" s="157" t="n">
        <x:v>24</x:v>
      </x:c>
      <x:c r="X688" s="161" t="n">
        <x:f>V688/W688</x:f>
        <x:v>0.041666666666666664</x:v>
      </x:c>
      <x:c r="Y688" s="161" t="n">
        <x:f>IF(F688="Country",V688/23,"")</x:f>
        <x:v>0.043478260869565216</x:v>
      </x:c>
      <x:c r="Z688" s="151" t="str">
        <x:v>One director, one vote. Country-normalized share excludes the private-banking seat; principal-country attribution is used for Series C seats.</x:v>
      </x:c>
    </x:row>
    <x:row r="689">
      <x:c r="A689" s="151" t="str">
        <x:v>caf</x:v>
      </x:c>
      <x:c r="B689" s="151" t="str">
        <x:v>Development Bank of Latin America and the Caribbean</x:v>
      </x:c>
      <x:c r="C689" s="171" t="n">
        <x:v>45657</x:v>
      </x:c>
      <x:c r="D689" s="151" t="n">
        <x:v>2024</x:v>
      </x:c>
      <x:c r="E689" s="151" t="str">
        <x:v>El Salvador</x:v>
      </x:c>
      <x:c r="F689" s="151" t="str">
        <x:v>Country</x:v>
      </x:c>
      <x:c r="G689" s="151" t="str">
        <x:v>Full member (Series A/B)</x:v>
      </x:c>
      <x:c r="H689" s="173" t="n">
        <x:v>2</x:v>
      </x:c>
      <x:c r="I689" s="173" t="n">
        <x:v>99.75</x:v>
      </x:c>
      <x:c r="J689" s="151" t="str">
        <x:v>Reported percentage points (rounded)</x:v>
      </x:c>
      <x:c r="K689" s="161" t="n">
        <x:v>0.02</x:v>
      </x:c>
      <x:c r="L689" s="161" t="n">
        <x:f>H689/I689</x:f>
        <x:v>0.020050125313283207</x:v>
      </x:c>
      <x:c r="M689" s="157" t="n">
        <x:v>1</x:v>
      </x:c>
      <x:c r="N689" s="157" t="n">
        <x:v>24</x:v>
      </x:c>
      <x:c r="O689" s="161"/>
      <x:c r="P689" s="161" t="n">
        <x:f>M689/N689</x:f>
        <x:v>0.041666666666666664</x:v>
      </x:c>
      <x:c r="Q689" s="151" t="str">
        <x:v>https://www.caf.com/media/4675803/2412-caf-investor-presentation-wp.pdf</x:v>
      </x:c>
      <x:c r="R689" s="151" t="str">
        <x:v>Investor presentation (31 Dec 2024) plus Agreement arts. 24–27</x:v>
      </x:c>
      <x:c r="S689" s="151" t="str">
        <x:v>Official rounded capital; statutory vote reconstruction</x:v>
      </x:c>
      <x:c r="T689" s="151" t="str">
        <x:v>Capital shares are normalized because reported rounded percentages sum to 99.75%. Board seats are reconstructed from statutory classes; Series C seats are attributed to principal directors.</x:v>
      </x:c>
      <x:c r="U689" s="151" t="str">
        <x:v>Board of Directors</x:v>
      </x:c>
      <x:c r="V689" s="157" t="n">
        <x:v>1</x:v>
      </x:c>
      <x:c r="W689" s="157" t="n">
        <x:v>24</x:v>
      </x:c>
      <x:c r="X689" s="161" t="n">
        <x:f>V689/W689</x:f>
        <x:v>0.041666666666666664</x:v>
      </x:c>
      <x:c r="Y689" s="161" t="n">
        <x:f>IF(F689="Country",V689/23,"")</x:f>
        <x:v>0.043478260869565216</x:v>
      </x:c>
      <x:c r="Z689" s="151" t="str">
        <x:v>One director, one vote. Country-normalized share excludes the private-banking seat; principal-country attribution is used for Series C seats.</x:v>
      </x:c>
    </x:row>
    <x:row r="690">
      <x:c r="A690" s="151" t="str">
        <x:v>caf</x:v>
      </x:c>
      <x:c r="B690" s="151" t="str">
        <x:v>Development Bank of Latin America and the Caribbean</x:v>
      </x:c>
      <x:c r="C690" s="171" t="n">
        <x:v>45657</x:v>
      </x:c>
      <x:c r="D690" s="151" t="n">
        <x:v>2024</x:v>
      </x:c>
      <x:c r="E690" s="151" t="str">
        <x:v>Honduras</x:v>
      </x:c>
      <x:c r="F690" s="151" t="str">
        <x:v>Country</x:v>
      </x:c>
      <x:c r="G690" s="151" t="str">
        <x:v>Full member (Series A/B)</x:v>
      </x:c>
      <x:c r="H690" s="173" t="n">
        <x:v>2</x:v>
      </x:c>
      <x:c r="I690" s="173" t="n">
        <x:v>99.75</x:v>
      </x:c>
      <x:c r="J690" s="151" t="str">
        <x:v>Reported percentage points (rounded)</x:v>
      </x:c>
      <x:c r="K690" s="161" t="n">
        <x:v>0.02</x:v>
      </x:c>
      <x:c r="L690" s="161" t="n">
        <x:f>H690/I690</x:f>
        <x:v>0.020050125313283207</x:v>
      </x:c>
      <x:c r="M690" s="157" t="n">
        <x:v>1</x:v>
      </x:c>
      <x:c r="N690" s="157" t="n">
        <x:v>24</x:v>
      </x:c>
      <x:c r="O690" s="161"/>
      <x:c r="P690" s="161" t="n">
        <x:f>M690/N690</x:f>
        <x:v>0.041666666666666664</x:v>
      </x:c>
      <x:c r="Q690" s="151" t="str">
        <x:v>https://www.caf.com/media/4675803/2412-caf-investor-presentation-wp.pdf</x:v>
      </x:c>
      <x:c r="R690" s="151" t="str">
        <x:v>Investor presentation (31 Dec 2024) plus Agreement arts. 24–27</x:v>
      </x:c>
      <x:c r="S690" s="151" t="str">
        <x:v>Official rounded capital; statutory vote reconstruction</x:v>
      </x:c>
      <x:c r="T690" s="151" t="str">
        <x:v>Capital shares are normalized because reported rounded percentages sum to 99.75%. Board seats are reconstructed from statutory classes; Series C seats are attributed to principal directors.</x:v>
      </x:c>
      <x:c r="U690" s="151" t="str">
        <x:v>Board of Directors</x:v>
      </x:c>
      <x:c r="V690" s="157" t="n">
        <x:v>1</x:v>
      </x:c>
      <x:c r="W690" s="157" t="n">
        <x:v>24</x:v>
      </x:c>
      <x:c r="X690" s="161" t="n">
        <x:f>V690/W690</x:f>
        <x:v>0.041666666666666664</x:v>
      </x:c>
      <x:c r="Y690" s="161" t="n">
        <x:f>IF(F690="Country",V690/23,"")</x:f>
        <x:v>0.043478260869565216</x:v>
      </x:c>
      <x:c r="Z690" s="151" t="str">
        <x:v>One director, one vote. Country-normalized share excludes the private-banking seat; principal-country attribution is used for Series C seats.</x:v>
      </x:c>
    </x:row>
    <x:row r="691">
      <x:c r="A691" s="151" t="str">
        <x:v>caf</x:v>
      </x:c>
      <x:c r="B691" s="151" t="str">
        <x:v>Development Bank of Latin America and the Caribbean</x:v>
      </x:c>
      <x:c r="C691" s="171" t="n">
        <x:v>45657</x:v>
      </x:c>
      <x:c r="D691" s="151" t="n">
        <x:v>2024</x:v>
      </x:c>
      <x:c r="E691" s="151" t="str">
        <x:v>Spain</x:v>
      </x:c>
      <x:c r="F691" s="151" t="str">
        <x:v>Country</x:v>
      </x:c>
      <x:c r="G691" s="151" t="str">
        <x:v>Associated shareholder (Series C)</x:v>
      </x:c>
      <x:c r="H691" s="173" t="n">
        <x:v>4.5</x:v>
      </x:c>
      <x:c r="I691" s="173" t="n">
        <x:v>99.75</x:v>
      </x:c>
      <x:c r="J691" s="151" t="str">
        <x:v>Reported percentage points (rounded)</x:v>
      </x:c>
      <x:c r="K691" s="161" t="n">
        <x:v>0.045</x:v>
      </x:c>
      <x:c r="L691" s="161" t="n">
        <x:f>H691/I691</x:f>
        <x:v>0.045112781954887216</x:v>
      </x:c>
      <x:c r="M691" s="157" t="n">
        <x:v>1</x:v>
      </x:c>
      <x:c r="N691" s="157" t="n">
        <x:v>24</x:v>
      </x:c>
      <x:c r="O691" s="161"/>
      <x:c r="P691" s="161" t="n">
        <x:f>M691/N691</x:f>
        <x:v>0.041666666666666664</x:v>
      </x:c>
      <x:c r="Q691" s="151" t="str">
        <x:v>https://www.caf.com/media/4675803/2412-caf-investor-presentation-wp.pdf</x:v>
      </x:c>
      <x:c r="R691" s="151" t="str">
        <x:v>Investor presentation (31 Dec 2024) plus Agreement arts. 24–27</x:v>
      </x:c>
      <x:c r="S691" s="151" t="str">
        <x:v>Official rounded capital; statutory vote reconstruction</x:v>
      </x:c>
      <x:c r="T691" s="151" t="str">
        <x:v>Capital shares are normalized because reported rounded percentages sum to 99.75%. Board seats are reconstructed from statutory classes; Series C seats are attributed to principal directors.</x:v>
      </x:c>
      <x:c r="U691" s="151" t="str">
        <x:v>Board of Directors</x:v>
      </x:c>
      <x:c r="V691" s="157" t="n">
        <x:v>1</x:v>
      </x:c>
      <x:c r="W691" s="157" t="n">
        <x:v>24</x:v>
      </x:c>
      <x:c r="X691" s="161" t="n">
        <x:f>V691/W691</x:f>
        <x:v>0.041666666666666664</x:v>
      </x:c>
      <x:c r="Y691" s="161" t="n">
        <x:f>IF(F691="Country",V691/23,"")</x:f>
        <x:v>0.043478260869565216</x:v>
      </x:c>
      <x:c r="Z691" s="151" t="str">
        <x:v>One director, one vote. Country-normalized share excludes the private-banking seat; principal-country attribution is used for Series C seats.</x:v>
      </x:c>
    </x:row>
    <x:row r="692">
      <x:c r="A692" s="151" t="str">
        <x:v>caf</x:v>
      </x:c>
      <x:c r="B692" s="151" t="str">
        <x:v>Development Bank of Latin America and the Caribbean</x:v>
      </x:c>
      <x:c r="C692" s="171" t="n">
        <x:v>45657</x:v>
      </x:c>
      <x:c r="D692" s="151" t="n">
        <x:v>2024</x:v>
      </x:c>
      <x:c r="E692" s="151" t="str">
        <x:v>Mexico</x:v>
      </x:c>
      <x:c r="F692" s="151" t="str">
        <x:v>Country</x:v>
      </x:c>
      <x:c r="G692" s="151" t="str">
        <x:v>Associated shareholder (Series C)</x:v>
      </x:c>
      <x:c r="H692" s="173" t="n">
        <x:v>0.9</x:v>
      </x:c>
      <x:c r="I692" s="173" t="n">
        <x:v>99.75</x:v>
      </x:c>
      <x:c r="J692" s="151" t="str">
        <x:v>Reported percentage points (rounded)</x:v>
      </x:c>
      <x:c r="K692" s="161" t="n">
        <x:v>0.009000000000000001</x:v>
      </x:c>
      <x:c r="L692" s="161" t="n">
        <x:f>H692/I692</x:f>
        <x:v>0.009022556390977444</x:v>
      </x:c>
      <x:c r="M692" s="157" t="n">
        <x:v>1</x:v>
      </x:c>
      <x:c r="N692" s="157" t="n">
        <x:v>24</x:v>
      </x:c>
      <x:c r="O692" s="161"/>
      <x:c r="P692" s="161" t="n">
        <x:f>M692/N692</x:f>
        <x:v>0.041666666666666664</x:v>
      </x:c>
      <x:c r="Q692" s="151" t="str">
        <x:v>https://www.caf.com/media/4675803/2412-caf-investor-presentation-wp.pdf</x:v>
      </x:c>
      <x:c r="R692" s="151" t="str">
        <x:v>Investor presentation (31 Dec 2024) plus Agreement arts. 24–27</x:v>
      </x:c>
      <x:c r="S692" s="151" t="str">
        <x:v>Official rounded capital; statutory vote reconstruction</x:v>
      </x:c>
      <x:c r="T692" s="151" t="str">
        <x:v>Capital shares are normalized because reported rounded percentages sum to 99.75%. Board seats are reconstructed from statutory classes; Series C seats are attributed to principal directors.</x:v>
      </x:c>
      <x:c r="U692" s="151" t="str">
        <x:v>Board of Directors</x:v>
      </x:c>
      <x:c r="V692" s="157" t="n">
        <x:v>1</x:v>
      </x:c>
      <x:c r="W692" s="157" t="n">
        <x:v>24</x:v>
      </x:c>
      <x:c r="X692" s="161" t="n">
        <x:f>V692/W692</x:f>
        <x:v>0.041666666666666664</x:v>
      </x:c>
      <x:c r="Y692" s="161" t="n">
        <x:f>IF(F692="Country",V692/23,"")</x:f>
        <x:v>0.043478260869565216</x:v>
      </x:c>
      <x:c r="Z692" s="151" t="str">
        <x:v>One director, one vote. Country-normalized share excludes the private-banking seat; principal-country attribution is used for Series C seats.</x:v>
      </x:c>
    </x:row>
    <x:row r="693">
      <x:c r="A693" s="151" t="str">
        <x:v>caf</x:v>
      </x:c>
      <x:c r="B693" s="151" t="str">
        <x:v>Development Bank of Latin America and the Caribbean</x:v>
      </x:c>
      <x:c r="C693" s="171" t="n">
        <x:v>45657</x:v>
      </x:c>
      <x:c r="D693" s="151" t="n">
        <x:v>2024</x:v>
      </x:c>
      <x:c r="E693" s="151" t="str">
        <x:v>Barbados</x:v>
      </x:c>
      <x:c r="F693" s="151" t="str">
        <x:v>Country</x:v>
      </x:c>
      <x:c r="G693" s="151" t="str">
        <x:v>Associated shareholder (Series C)</x:v>
      </x:c>
      <x:c r="H693" s="173" t="n">
        <x:v>0.4</x:v>
      </x:c>
      <x:c r="I693" s="173" t="n">
        <x:v>99.75</x:v>
      </x:c>
      <x:c r="J693" s="151" t="str">
        <x:v>Reported percentage points (rounded)</x:v>
      </x:c>
      <x:c r="K693" s="161" t="n">
        <x:v>0.004</x:v>
      </x:c>
      <x:c r="L693" s="161" t="n">
        <x:f>H693/I693</x:f>
        <x:v>0.0040100250626566416</x:v>
      </x:c>
      <x:c r="M693" s="157" t="n">
        <x:v>0</x:v>
      </x:c>
      <x:c r="N693" s="157" t="n">
        <x:v>24</x:v>
      </x:c>
      <x:c r="O693" s="161"/>
      <x:c r="P693" s="161" t="n">
        <x:f>M693/N693</x:f>
        <x:v>0</x:v>
      </x:c>
      <x:c r="Q693" s="151" t="str">
        <x:v>https://www.caf.com/media/4675803/2412-caf-investor-presentation-wp.pdf</x:v>
      </x:c>
      <x:c r="R693" s="151" t="str">
        <x:v>Investor presentation (31 Dec 2024) plus Agreement arts. 24–27</x:v>
      </x:c>
      <x:c r="S693" s="151" t="str">
        <x:v>Official rounded capital; statutory vote reconstruction</x:v>
      </x:c>
      <x:c r="T693" s="151" t="str">
        <x:v>Capital shares are normalized because reported rounded percentages sum to 99.75%. Board seats are reconstructed from statutory classes; Series C seats are attributed to principal directors.</x:v>
      </x:c>
      <x:c r="U693" s="151" t="str">
        <x:v>Board of Directors</x:v>
      </x:c>
      <x:c r="V693" s="157" t="n">
        <x:v>0</x:v>
      </x:c>
      <x:c r="W693" s="157" t="n">
        <x:v>24</x:v>
      </x:c>
      <x:c r="X693" s="161" t="n">
        <x:f>V693/W693</x:f>
        <x:v>0</x:v>
      </x:c>
      <x:c r="Y693" s="161" t="n">
        <x:f>IF(F693="Country",V693/23,"")</x:f>
        <x:v>0</x:v>
      </x:c>
      <x:c r="Z693" s="151" t="str">
        <x:v>One director, one vote. Country-normalized share excludes the private-banking seat; principal-country attribution is used for Series C seats.</x:v>
      </x:c>
    </x:row>
    <x:row r="694">
      <x:c r="A694" s="151" t="str">
        <x:v>caf</x:v>
      </x:c>
      <x:c r="B694" s="151" t="str">
        <x:v>Development Bank of Latin America and the Caribbean</x:v>
      </x:c>
      <x:c r="C694" s="171" t="n">
        <x:v>45657</x:v>
      </x:c>
      <x:c r="D694" s="151" t="n">
        <x:v>2024</x:v>
      </x:c>
      <x:c r="E694" s="151" t="str">
        <x:v>Bahamas</x:v>
      </x:c>
      <x:c r="F694" s="151" t="str">
        <x:v>Country</x:v>
      </x:c>
      <x:c r="G694" s="151" t="str">
        <x:v>Associated shareholder (Series C)</x:v>
      </x:c>
      <x:c r="H694" s="173" t="n">
        <x:v>0.2</x:v>
      </x:c>
      <x:c r="I694" s="173" t="n">
        <x:v>99.75</x:v>
      </x:c>
      <x:c r="J694" s="151" t="str">
        <x:v>Reported percentage points (rounded)</x:v>
      </x:c>
      <x:c r="K694" s="161" t="n">
        <x:v>0.002</x:v>
      </x:c>
      <x:c r="L694" s="161" t="n">
        <x:f>H694/I694</x:f>
        <x:v>0.0020050125313283208</x:v>
      </x:c>
      <x:c r="M694" s="157" t="n">
        <x:v>0</x:v>
      </x:c>
      <x:c r="N694" s="157" t="n">
        <x:v>24</x:v>
      </x:c>
      <x:c r="O694" s="161"/>
      <x:c r="P694" s="161" t="n">
        <x:f>M694/N694</x:f>
        <x:v>0</x:v>
      </x:c>
      <x:c r="Q694" s="151" t="str">
        <x:v>https://www.caf.com/media/4675803/2412-caf-investor-presentation-wp.pdf</x:v>
      </x:c>
      <x:c r="R694" s="151" t="str">
        <x:v>Investor presentation (31 Dec 2024) plus Agreement arts. 24–27</x:v>
      </x:c>
      <x:c r="S694" s="151" t="str">
        <x:v>Official rounded capital; statutory vote reconstruction</x:v>
      </x:c>
      <x:c r="T694" s="151" t="str">
        <x:v>Capital shares are normalized because reported rounded percentages sum to 99.75%. Board seats are reconstructed from statutory classes; Series C seats are attributed to principal directors.</x:v>
      </x:c>
      <x:c r="U694" s="151" t="str">
        <x:v>Board of Directors</x:v>
      </x:c>
      <x:c r="V694" s="157" t="n">
        <x:v>0</x:v>
      </x:c>
      <x:c r="W694" s="157" t="n">
        <x:v>24</x:v>
      </x:c>
      <x:c r="X694" s="161" t="n">
        <x:f>V694/W694</x:f>
        <x:v>0</x:v>
      </x:c>
      <x:c r="Y694" s="161" t="n">
        <x:f>IF(F694="Country",V694/23,"")</x:f>
        <x:v>0</x:v>
      </x:c>
      <x:c r="Z694" s="151" t="str">
        <x:v>One director, one vote. Country-normalized share excludes the private-banking seat; principal-country attribution is used for Series C seats.</x:v>
      </x:c>
    </x:row>
    <x:row r="695">
      <x:c r="A695" s="151" t="str">
        <x:v>caf</x:v>
      </x:c>
      <x:c r="B695" s="151" t="str">
        <x:v>Development Bank of Latin America and the Caribbean</x:v>
      </x:c>
      <x:c r="C695" s="171" t="n">
        <x:v>45657</x:v>
      </x:c>
      <x:c r="D695" s="151" t="n">
        <x:v>2024</x:v>
      </x:c>
      <x:c r="E695" s="151" t="str">
        <x:v>Portugal</x:v>
      </x:c>
      <x:c r="F695" s="151" t="str">
        <x:v>Country</x:v>
      </x:c>
      <x:c r="G695" s="151" t="str">
        <x:v>Associated shareholder (Series C)</x:v>
      </x:c>
      <x:c r="H695" s="173" t="n">
        <x:v>0.1</x:v>
      </x:c>
      <x:c r="I695" s="173" t="n">
        <x:v>99.75</x:v>
      </x:c>
      <x:c r="J695" s="151" t="str">
        <x:v>Reported percentage points (rounded)</x:v>
      </x:c>
      <x:c r="K695" s="161" t="n">
        <x:v>0.001</x:v>
      </x:c>
      <x:c r="L695" s="161" t="n">
        <x:f>H695/I695</x:f>
        <x:v>0.0010025062656641604</x:v>
      </x:c>
      <x:c r="M695" s="157" t="n">
        <x:v>0</x:v>
      </x:c>
      <x:c r="N695" s="157" t="n">
        <x:v>24</x:v>
      </x:c>
      <x:c r="O695" s="161"/>
      <x:c r="P695" s="161" t="n">
        <x:f>M695/N695</x:f>
        <x:v>0</x:v>
      </x:c>
      <x:c r="Q695" s="151" t="str">
        <x:v>https://www.caf.com/media/4675803/2412-caf-investor-presentation-wp.pdf</x:v>
      </x:c>
      <x:c r="R695" s="151" t="str">
        <x:v>Investor presentation (31 Dec 2024) plus Agreement arts. 24–27</x:v>
      </x:c>
      <x:c r="S695" s="151" t="str">
        <x:v>Official rounded capital; statutory vote reconstruction</x:v>
      </x:c>
      <x:c r="T695" s="151" t="str">
        <x:v>Capital shares are normalized because reported rounded percentages sum to 99.75%. Board seats are reconstructed from statutory classes; Series C seats are attributed to principal directors.</x:v>
      </x:c>
      <x:c r="U695" s="151" t="str">
        <x:v>Board of Directors</x:v>
      </x:c>
      <x:c r="V695" s="157" t="n">
        <x:v>0</x:v>
      </x:c>
      <x:c r="W695" s="157" t="n">
        <x:v>24</x:v>
      </x:c>
      <x:c r="X695" s="161" t="n">
        <x:f>V695/W695</x:f>
        <x:v>0</x:v>
      </x:c>
      <x:c r="Y695" s="161" t="n">
        <x:f>IF(F695="Country",V695/23,"")</x:f>
        <x:v>0</x:v>
      </x:c>
      <x:c r="Z695" s="151" t="str">
        <x:v>One director, one vote. Country-normalized share excludes the private-banking seat; principal-country attribution is used for Series C seats.</x:v>
      </x:c>
    </x:row>
    <x:row r="696">
      <x:c r="A696" s="151" t="str">
        <x:v>caf</x:v>
      </x:c>
      <x:c r="B696" s="151" t="str">
        <x:v>Development Bank of Latin America and the Caribbean</x:v>
      </x:c>
      <x:c r="C696" s="171" t="n">
        <x:v>45657</x:v>
      </x:c>
      <x:c r="D696" s="151" t="n">
        <x:v>2024</x:v>
      </x:c>
      <x:c r="E696" s="151" t="str">
        <x:v>Jamaica</x:v>
      </x:c>
      <x:c r="F696" s="151" t="str">
        <x:v>Country</x:v>
      </x:c>
      <x:c r="G696" s="151" t="str">
        <x:v>Associated shareholder (Series C)</x:v>
      </x:c>
      <x:c r="H696" s="173" t="n">
        <x:v>0.01</x:v>
      </x:c>
      <x:c r="I696" s="173" t="n">
        <x:v>99.75</x:v>
      </x:c>
      <x:c r="J696" s="151" t="str">
        <x:v>Reported percentage points (rounded)</x:v>
      </x:c>
      <x:c r="K696" s="161" t="n">
        <x:v>0.0001</x:v>
      </x:c>
      <x:c r="L696" s="161" t="n">
        <x:f>H696/I696</x:f>
        <x:v>0.00010025062656641604</x:v>
      </x:c>
      <x:c r="M696" s="157" t="n">
        <x:v>0</x:v>
      </x:c>
      <x:c r="N696" s="157" t="n">
        <x:v>24</x:v>
      </x:c>
      <x:c r="O696" s="161"/>
      <x:c r="P696" s="161" t="n">
        <x:f>M696/N696</x:f>
        <x:v>0</x:v>
      </x:c>
      <x:c r="Q696" s="151" t="str">
        <x:v>https://www.caf.com/media/4675803/2412-caf-investor-presentation-wp.pdf</x:v>
      </x:c>
      <x:c r="R696" s="151" t="str">
        <x:v>Investor presentation (31 Dec 2024) plus Agreement arts. 24–27</x:v>
      </x:c>
      <x:c r="S696" s="151" t="str">
        <x:v>Official rounded capital; statutory vote reconstruction</x:v>
      </x:c>
      <x:c r="T696" s="151" t="str">
        <x:v>Capital shares are normalized because reported rounded percentages sum to 99.75%. Board seats are reconstructed from statutory classes; Series C seats are attributed to principal directors.</x:v>
      </x:c>
      <x:c r="U696" s="151" t="str">
        <x:v>Board of Directors</x:v>
      </x:c>
      <x:c r="V696" s="157" t="n">
        <x:v>0</x:v>
      </x:c>
      <x:c r="W696" s="157" t="n">
        <x:v>24</x:v>
      </x:c>
      <x:c r="X696" s="161" t="n">
        <x:f>V696/W696</x:f>
        <x:v>0</x:v>
      </x:c>
      <x:c r="Y696" s="161" t="n">
        <x:f>IF(F696="Country",V696/23,"")</x:f>
        <x:v>0</x:v>
      </x:c>
      <x:c r="Z696" s="151" t="str">
        <x:v>One director, one vote. Country-normalized share excludes the private-banking seat; principal-country attribution is used for Series C seats.</x:v>
      </x:c>
    </x:row>
    <x:row r="697">
      <x:c r="A697" s="151" t="str">
        <x:v>caf</x:v>
      </x:c>
      <x:c r="B697" s="151" t="str">
        <x:v>Development Bank of Latin America and the Caribbean</x:v>
      </x:c>
      <x:c r="C697" s="171" t="n">
        <x:v>45657</x:v>
      </x:c>
      <x:c r="D697" s="151" t="n">
        <x:v>2024</x:v>
      </x:c>
      <x:c r="E697" s="151" t="str">
        <x:v>Private banking shareholders</x:v>
      </x:c>
      <x:c r="F697" s="151" t="str">
        <x:v>Private financial institutions</x:v>
      </x:c>
      <x:c r="G697" s="151" t="str">
        <x:v>Private banking shareholders (Series B)</x:v>
      </x:c>
      <x:c r="H697" s="173" t="n">
        <x:v>0.04</x:v>
      </x:c>
      <x:c r="I697" s="173" t="n">
        <x:v>99.75</x:v>
      </x:c>
      <x:c r="J697" s="151" t="str">
        <x:v>Reported percentage points (rounded)</x:v>
      </x:c>
      <x:c r="K697" s="161" t="n">
        <x:v>0.0004</x:v>
      </x:c>
      <x:c r="L697" s="161" t="n">
        <x:f>H697/I697</x:f>
        <x:v>0.0004010025062656642</x:v>
      </x:c>
      <x:c r="M697" s="157" t="n">
        <x:v>1</x:v>
      </x:c>
      <x:c r="N697" s="157" t="n">
        <x:v>24</x:v>
      </x:c>
      <x:c r="O697" s="161"/>
      <x:c r="P697" s="161" t="n">
        <x:f>M697/N697</x:f>
        <x:v>0.041666666666666664</x:v>
      </x:c>
      <x:c r="Q697" s="151" t="str">
        <x:v>https://www.caf.com/media/4675803/2412-caf-investor-presentation-wp.pdf</x:v>
      </x:c>
      <x:c r="R697" s="151" t="str">
        <x:v>Investor presentation (31 Dec 2024) plus Agreement arts. 24–27</x:v>
      </x:c>
      <x:c r="S697" s="151" t="str">
        <x:v>Official rounded capital; statutory vote reconstruction</x:v>
      </x:c>
      <x:c r="T697" s="151" t="str">
        <x:v>Capital shares are normalized because reported rounded percentages sum to 99.75%. Board seats are reconstructed from statutory classes; Series C seats are attributed to principal directors.</x:v>
      </x:c>
      <x:c r="U697" s="151" t="str">
        <x:v>Board of Directors</x:v>
      </x:c>
      <x:c r="V697" s="157" t="n">
        <x:v>1</x:v>
      </x:c>
      <x:c r="W697" s="157" t="n">
        <x:v>24</x:v>
      </x:c>
      <x:c r="X697" s="161" t="n">
        <x:f>V697/W697</x:f>
        <x:v>0.041666666666666664</x:v>
      </x:c>
      <x:c r="Y697" s="161" t="str">
        <x:f>IF(F697="Country",V697/23,"")</x:f>
      </x:c>
      <x:c r="Z697" s="151" t="str">
        <x:v>One director, one vote. Country-normalized share excludes the private-banking seat; principal-country attribution is used for Series C seats.</x:v>
      </x:c>
    </x:row>
  </x:sheetData>
  <x:mergeCells>
    <x:mergeCell ref="A2:Z2"/>
    <x:mergeCell ref="A3:Z3"/>
  </x:mergeCells>
  <x:conditionalFormatting sqref="U6:Z697">
    <x:cfRule type="expression" dxfId="12" priority="1">
      <x:formula>MOD(ROW(),2)=0</x:formula>
    </x:cfRule>
  </x:conditionalFormatting>
  <x:conditionalFormatting sqref="A660:Z697">
    <x:cfRule type="expression" dxfId="13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591525f5494f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9" customWidth="1"/>
    <x:col min="2" max="2" width="39" customWidth="1"/>
    <x:col min="3" max="4" width="42" customWidth="1"/>
    <x:col min="5" max="6" width="48" customWidth="1"/>
    <x:col min="7" max="7" width="54" customWidth="1"/>
    <x:col min="8" max="8" width="43" customWidth="1"/>
  </x:cols>
  <x:sheetData>
    <x:row r="1" ht="24" customHeight="1">
      <x:c r="A1" s="52" t="s">
        <x:v>607</x:v>
      </x:c>
      <x:c r="B1" s="52"/>
      <x:c r="C1" s="52"/>
      <x:c r="D1" s="52"/>
      <x:c r="E1" s="52"/>
      <x:c r="F1" s="52"/>
      <x:c r="G1" s="52"/>
      <x:c r="H1" s="52"/>
    </x:row>
    <x:row r="2" ht="24" customHeight="1">
      <x:c r="A2" s="52"/>
      <x:c r="B2" s="52"/>
      <x:c r="C2" s="52"/>
      <x:c r="D2" s="52"/>
      <x:c r="E2" s="52"/>
      <x:c r="F2" s="52"/>
      <x:c r="G2" s="52"/>
      <x:c r="H2" s="52"/>
    </x:row>
    <x:row r="3" ht="38" customHeight="1">
      <x:c r="A3" s="53" t="s">
        <x:v>608</x:v>
      </x:c>
      <x:c r="B3" s="53"/>
      <x:c r="C3" s="53"/>
      <x:c r="D3" s="53"/>
      <x:c r="E3" s="53"/>
      <x:c r="F3" s="53"/>
      <x:c r="G3" s="53"/>
      <x:c r="H3" s="53"/>
    </x:row>
    <x:row r="5" ht="16">
      <x:c r="A5" s="1" t="s">
        <x:v>207</x:v>
      </x:c>
      <x:c r="B5" s="1" t="s">
        <x:v>609</x:v>
      </x:c>
      <x:c r="C5" s="1" t="s">
        <x:v>610</x:v>
      </x:c>
      <x:c r="D5" s="1" t="s">
        <x:v>611</x:v>
      </x:c>
      <x:c r="E5" s="1" t="s">
        <x:v>612</x:v>
      </x:c>
      <x:c r="F5" s="1" t="s">
        <x:v>613</x:v>
      </x:c>
      <x:c r="G5" s="1" t="s">
        <x:v>614</x:v>
      </x:c>
      <x:c r="H5" s="1" t="s">
        <x:v>615</x:v>
      </x:c>
    </x:row>
    <x:row r="6" ht="122" customHeight="1">
      <x:c r="A6" s="2" t="s">
        <x:v>281</x:v>
      </x:c>
      <x:c r="B6" s="2" t="s">
        <x:v>616</x:v>
      </x:c>
      <x:c r="C6" s="13" t="s">
        <x:v>284</x:v>
      </x:c>
      <x:c r="D6" s="3" t="s">
        <x:v>290</x:v>
      </x:c>
      <x:c r="E6" s="3" t="s">
        <x:v>617</x:v>
      </x:c>
      <x:c r="F6" s="3" t="s">
        <x:v>618</x:v>
      </x:c>
      <x:c r="G6" s="2" t="s">
        <x:v>619</x:v>
      </x:c>
      <x:c r="H6" s="2" t="s">
        <x:v>620</x:v>
      </x:c>
    </x:row>
    <x:row r="7" ht="122" customHeight="1">
      <x:c r="A7" s="2" t="s">
        <x:v>291</x:v>
      </x:c>
      <x:c r="B7" s="2" t="s">
        <x:v>621</x:v>
      </x:c>
      <x:c r="C7" s="3" t="s">
        <x:v>294</x:v>
      </x:c>
      <x:c r="D7" s="3" t="s">
        <x:v>298</x:v>
      </x:c>
      <x:c r="E7" s="3" t="s">
        <x:v>622</x:v>
      </x:c>
      <x:c r="F7" s="3" t="s">
        <x:v>623</x:v>
      </x:c>
      <x:c r="G7" s="2" t="s">
        <x:v>624</x:v>
      </x:c>
      <x:c r="H7" s="2" t="s">
        <x:v>625</x:v>
      </x:c>
    </x:row>
  </x:sheetData>
  <x:mergeCells>
    <x:mergeCell ref="A1:H2"/>
    <x:mergeCell ref="A3:H3"/>
  </x:mergeCells>
  <x:hyperlinks>
    <x:hyperlink xmlns:r="http://schemas.openxmlformats.org/officeDocument/2006/relationships" ref="C6" r:id="Rcace12aaf9cc4f5e"/>
  </x:hyperlinks>
  <x:pageMargins left="0.7" right="0.7" top="0.75" bottom="0.75" header="0.3" footer="0.3"/>
  <x:tableParts count="1">
    <x:tablePart xmlns:r="http://schemas.openxmlformats.org/officeDocument/2006/relationships" r:id="Rec644d482a1f47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0" hidden="0" customWidth="1"/>
    <x:col min="2" max="2" width="14" hidden="0" customWidth="1"/>
    <x:col min="3" max="3" width="17" hidden="0" customWidth="1"/>
    <x:col min="4" max="5" width="20" customWidth="1"/>
    <x:col min="6" max="6" width="20" hidden="0" customWidth="1"/>
    <x:col min="7" max="7" width="27" hidden="0" customWidth="1"/>
    <x:col min="4" max="4" width="19" hidden="0" customWidth="1"/>
    <x:col min="5" max="5" width="19" hidden="0" customWidth="1"/>
    <x:col min="8" max="8" width="12" hidden="0" customWidth="1"/>
    <x:col min="9" max="9" width="64" hidden="0" customWidth="1"/>
  </x:cols>
  <x:sheetData>
    <x:row r="1" ht="28" customHeight="1">
      <x:c r="A1" s="371" t="str">
        <x:v>Quality-control totals</x:v>
      </x:c>
      <x:c r="B1" s="371"/>
      <x:c r="C1" s="371"/>
      <x:c r="D1" s="371"/>
      <x:c r="E1" s="371"/>
      <x:c r="F1" s="371"/>
      <x:c r="G1" s="371"/>
      <x:c r="H1" s="371"/>
      <x:c r="I1" s="371"/>
    </x:row>
    <x:row r="2" ht="24" customHeight="1">
      <x:c r="A2" s="365"/>
      <x:c r="B2" s="365"/>
      <x:c r="C2" s="365"/>
      <x:c r="D2" s="365"/>
      <x:c r="E2" s="365"/>
      <x:c r="F2" s="365"/>
      <x:c r="G2" s="365"/>
      <x:c r="H2" s="353"/>
      <x:c r="I2" s="353"/>
    </x:row>
    <x:row r="3" ht="38" customHeight="1">
      <x:c r="A3" s="374" t="str">
        <x:v>PASS means every available measure sums to 100% within 0.20 percentage points. Blank means the corresponding measure is unavailable; an explicit zero remains zero.</x:v>
      </x:c>
      <x:c r="B3" s="374"/>
      <x:c r="C3" s="374"/>
      <x:c r="D3" s="374"/>
      <x:c r="E3" s="374"/>
      <x:c r="F3" s="374"/>
      <x:c r="G3" s="374"/>
      <x:c r="H3" s="374"/>
      <x:c r="I3" s="374"/>
    </x:row>
    <x:row r="4">
      <x:c r="A4" s="353"/>
      <x:c r="B4" s="353"/>
      <x:c r="C4" s="353"/>
      <x:c r="D4" s="353"/>
      <x:c r="E4" s="353"/>
      <x:c r="F4" s="353"/>
      <x:c r="G4" s="353"/>
      <x:c r="H4" s="353"/>
      <x:c r="I4" s="353"/>
    </x:row>
    <x:row r="5" ht="48" customHeight="1">
      <x:c r="A5" s="379" t="str">
        <x:v>ID</x:v>
      </x:c>
      <x:c r="B5" s="379" t="str">
        <x:v>As-of date</x:v>
      </x:c>
      <x:c r="C5" s="379" t="str">
        <x:v>Observation rows</x:v>
      </x:c>
      <x:c r="D5" s="379" t="str">
        <x:v>Capital-share total</x:v>
      </x:c>
      <x:c r="E5" s="379" t="str">
        <x:v>Voting-power total</x:v>
      </x:c>
      <x:c r="F5" s="379" t="str">
        <x:v>Formal loan-vote total</x:v>
      </x:c>
      <x:c r="G5" s="379" t="str">
        <x:v>Country-normalized loan-vote total</x:v>
      </x:c>
      <x:c r="H5" s="380" t="str">
        <x:v>Status</x:v>
      </x:c>
      <x:c r="I5" s="380" t="str">
        <x:v>Interpretation</x:v>
      </x:c>
    </x:row>
    <x:row r="6" ht="32" customHeight="1">
      <x:c r="A6" s="350" t="str">
        <x:v>adb</x:v>
      </x:c>
      <x:c r="B6" s="351" t="n">
        <x:v>44196</x:v>
      </x:c>
      <x:c r="C6" s="381" t="n">
        <x:f>COUNTIFS(Country_Shares!$A$6:$A$697,$A6,Country_Shares!$C$6:$C$697,$B6)</x:f>
        <x:v>68</x:v>
      </x:c>
      <x:c r="D6" s="352" t="n">
        <x:f>SUMIFS(Country_Shares!$L$6:$L$697,Country_Shares!$A$6:$A$697,$A6,Country_Shares!$C$6:$C$697,$B6)</x:f>
        <x:v>1.0000699999999993</x:v>
      </x:c>
      <x:c r="E6" s="352" t="n">
        <x:f>SUMIFS(Country_Shares!$P$6:$P$697,Country_Shares!$A$6:$A$697,$A6,Country_Shares!$C$6:$C$697,$B6)</x:f>
        <x:v>1.0000099999999998</x:v>
      </x:c>
      <x:c r="F6" s="352">
        <x:f t="shared" ref="F6:F19" si="0">IF(COUNTIFS(Country_Shares!$A$6:$A$697,$A6,Country_Shares!$C$6:$C$697,$B6,Country_Shares!$X$6:$X$697,"&lt;&gt;")=0,"",SUMIFS(Country_Shares!$X$6:$X$697,Country_Shares!$A$6:$A$697,$A6,Country_Shares!$C$6:$C$697,$B6))</x:f>
      </x:c>
      <x:c r="G6" s="352"/>
      <x:c r="H6" s="353" t="str">
        <x:f>IF(AND(OR(D6="",ABS(D6-1)&lt;=0.002),OR(E6="",ABS(E6-1)&lt;=0.002),OR(F6="",ABS(F6-1)&lt;=0.002),OR(G6="",ABS(G6-1)&lt;=0.002)),"PASS","CHECK")</x:f>
        <x:v>PASS</x:v>
      </x:c>
      <x:c r="I6" s="353" t="str">
        <x:v>Totals include all legal shareholders/members in the corresponding extract.</x:v>
      </x:c>
    </x:row>
    <x:row r="7" ht="32" customHeight="1">
      <x:c r="A7" s="350" t="str">
        <x:v>adb</x:v>
      </x:c>
      <x:c r="B7" s="351" t="n">
        <x:v>44561</x:v>
      </x:c>
      <x:c r="C7" s="381" t="n">
        <x:f>COUNTIFS(Country_Shares!$A$6:$A$697,$A7,Country_Shares!$C$6:$C$697,$B7)</x:f>
        <x:v>68</x:v>
      </x:c>
      <x:c r="D7" s="352" t="n">
        <x:f>SUMIFS(Country_Shares!$L$6:$L$697,Country_Shares!$A$6:$A$697,$A7,Country_Shares!$C$6:$C$697,$B7)</x:f>
        <x:v>1.0000699999999993</x:v>
      </x:c>
      <x:c r="E7" s="352" t="n">
        <x:f>SUMIFS(Country_Shares!$P$6:$P$697,Country_Shares!$A$6:$A$697,$A7,Country_Shares!$C$6:$C$697,$B7)</x:f>
        <x:v>1.0000099999999998</x:v>
      </x:c>
      <x:c r="F7" s="352">
        <x:f t="shared" si="0"/>
      </x:c>
      <x:c r="G7" s="352"/>
      <x:c r="H7" s="353" t="str">
        <x:f>IF(AND(OR(D7="",ABS(D7-1)&lt;=0.002),OR(E7="",ABS(E7-1)&lt;=0.002),OR(F7="",ABS(F7-1)&lt;=0.002),OR(G7="",ABS(G7-1)&lt;=0.002)),"PASS","CHECK")</x:f>
        <x:v>PASS</x:v>
      </x:c>
      <x:c r="I7" s="353" t="str">
        <x:v>Totals include all legal shareholders/members in the corresponding extract.</x:v>
      </x:c>
    </x:row>
    <x:row r="8" ht="32" customHeight="1">
      <x:c r="A8" s="350" t="str">
        <x:v>afdb</x:v>
      </x:c>
      <x:c r="B8" s="351" t="n">
        <x:v>45504</x:v>
      </x:c>
      <x:c r="C8" s="381" t="n">
        <x:f>COUNTIFS(Country_Shares!$A$6:$A$697,$A8,Country_Shares!$C$6:$C$697,$B8)</x:f>
        <x:v>81</x:v>
      </x:c>
      <x:c r="D8" s="352"/>
      <x:c r="E8" s="352" t="n">
        <x:f>SUMIFS(Country_Shares!$P$6:$P$697,Country_Shares!$A$6:$A$697,$A8,Country_Shares!$C$6:$C$697,$B8)</x:f>
        <x:v>1.0000000687122395</x:v>
      </x:c>
      <x:c r="F8" s="352">
        <x:f t="shared" si="0"/>
      </x:c>
      <x:c r="G8" s="352"/>
      <x:c r="H8" s="353" t="str">
        <x:f>IF(AND(OR(D8="",ABS(D8-1)&lt;=0.002),OR(E8="",ABS(E8-1)&lt;=0.002),OR(F8="",ABS(F8-1)&lt;=0.002),OR(G8="",ABS(G8-1)&lt;=0.002)),"PASS","CHECK")</x:f>
        <x:v>PASS</x:v>
      </x:c>
      <x:c r="I8" s="353" t="str">
        <x:v>Voting-power extract only.</x:v>
      </x:c>
    </x:row>
    <x:row r="9" ht="32" customHeight="1">
      <x:c r="A9" s="350" t="str">
        <x:v>aiib</x:v>
      </x:c>
      <x:c r="B9" s="351" t="n">
        <x:v>45473</x:v>
      </x:c>
      <x:c r="C9" s="381" t="n">
        <x:f>COUNTIFS(Country_Shares!$A$6:$A$697,$A9,Country_Shares!$C$6:$C$697,$B9)</x:f>
        <x:v>96</x:v>
      </x:c>
      <x:c r="D9" s="352" t="n">
        <x:f>SUMIFS(Country_Shares!$L$6:$L$697,Country_Shares!$A$6:$A$697,$A9,Country_Shares!$C$6:$C$697,$B9)</x:f>
        <x:v>0.9999999999999999</x:v>
      </x:c>
      <x:c r="E9" s="352"/>
      <x:c r="F9" s="352">
        <x:f t="shared" si="0"/>
      </x:c>
      <x:c r="G9" s="352"/>
      <x:c r="H9" s="353" t="str">
        <x:f>IF(AND(OR(D9="",ABS(D9-1)&lt;=0.002),OR(E9="",ABS(E9-1)&lt;=0.002),OR(F9="",ABS(F9-1)&lt;=0.002),OR(G9="",ABS(G9-1)&lt;=0.002)),"PASS","CHECK")</x:f>
        <x:v>PASS</x:v>
      </x:c>
      <x:c r="I9" s="353" t="str">
        <x:v>Capital extract only.</x:v>
      </x:c>
    </x:row>
    <x:row r="10" ht="32" customHeight="1">
      <x:c r="A10" s="350" t="str">
        <x:v>badea</x:v>
      </x:c>
      <x:c r="B10" s="351" t="n">
        <x:v>45291</x:v>
      </x:c>
      <x:c r="C10" s="381" t="n">
        <x:f>COUNTIFS(Country_Shares!$A$6:$A$697,$A10,Country_Shares!$C$6:$C$697,$B10)</x:f>
        <x:v>18</x:v>
      </x:c>
      <x:c r="D10" s="352" t="n">
        <x:f>SUMIFS(Country_Shares!$L$6:$L$697,Country_Shares!$A$6:$A$697,$A10,Country_Shares!$C$6:$C$697,$B10)</x:f>
        <x:v>1.0000000000000002</x:v>
      </x:c>
      <x:c r="E10" s="352"/>
      <x:c r="F10" s="352">
        <x:f t="shared" si="0"/>
      </x:c>
      <x:c r="G10" s="352"/>
      <x:c r="H10" s="353" t="str">
        <x:f>IF(AND(OR(D10="",ABS(D10-1)&lt;=0.002),OR(E10="",ABS(E10-1)&lt;=0.002),OR(F10="",ABS(F10-1)&lt;=0.002),OR(G10="",ABS(G10-1)&lt;=0.002)),"PASS","CHECK")</x:f>
        <x:v>PASS</x:v>
      </x:c>
      <x:c r="I10" s="353" t="str">
        <x:v>Paid-in member contributions.</x:v>
      </x:c>
    </x:row>
    <x:row r="11" ht="32" customHeight="1">
      <x:c r="A11" s="350" t="str">
        <x:v>badea</x:v>
      </x:c>
      <x:c r="B11" s="351" t="n">
        <x:v>45657</x:v>
      </x:c>
      <x:c r="C11" s="381" t="n">
        <x:f>COUNTIFS(Country_Shares!$A$6:$A$697,$A11,Country_Shares!$C$6:$C$697,$B11)</x:f>
        <x:v>18</x:v>
      </x:c>
      <x:c r="D11" s="352" t="n">
        <x:f>SUMIFS(Country_Shares!$L$6:$L$697,Country_Shares!$A$6:$A$697,$A11,Country_Shares!$C$6:$C$697,$B11)</x:f>
        <x:v>1.0000000000000002</x:v>
      </x:c>
      <x:c r="E11" s="352"/>
      <x:c r="F11" s="352">
        <x:f t="shared" si="0"/>
      </x:c>
      <x:c r="G11" s="352"/>
      <x:c r="H11" s="353" t="str">
        <x:f>IF(AND(OR(D11="",ABS(D11-1)&lt;=0.002),OR(E11="",ABS(E11-1)&lt;=0.002),OR(F11="",ABS(F11-1)&lt;=0.002),OR(G11="",ABS(G11-1)&lt;=0.002)),"PASS","CHECK")</x:f>
        <x:v>PASS</x:v>
      </x:c>
      <x:c r="I11" s="353" t="str">
        <x:v>Paid-in member contributions.</x:v>
      </x:c>
    </x:row>
    <x:row r="12" ht="32" customHeight="1">
      <x:c r="A12" s="350" t="str">
        <x:v>cabei</x:v>
      </x:c>
      <x:c r="B12" s="351" t="n">
        <x:v>45657</x:v>
      </x:c>
      <x:c r="C12" s="381" t="n">
        <x:f>COUNTIFS(Country_Shares!$A$6:$A$697,$A12,Country_Shares!$C$6:$C$697,$B12)</x:f>
        <x:v>15</x:v>
      </x:c>
      <x:c r="D12" s="352" t="n">
        <x:f>SUMIFS(Country_Shares!$L$6:$L$697,Country_Shares!$A$6:$A$697,$A12,Country_Shares!$C$6:$C$697,$B12)</x:f>
        <x:v>1.0000000000000002</x:v>
      </x:c>
      <x:c r="E12" s="352" t="n">
        <x:f>SUMIFS(Country_Shares!$P$6:$P$697,Country_Shares!$A$6:$A$697,$A12,Country_Shares!$C$6:$C$697,$B12)</x:f>
        <x:v>1</x:v>
      </x:c>
      <x:c r="F12" s="352" t="n">
        <x:f t="shared" si="0">SUMIFS(Country_Shares!$X$6:$X$697,Country_Shares!$A$6:$A$697,$A12,Country_Shares!$C$6:$C$697,$B12)</x:f>
        <x:v>1</x:v>
      </x:c>
      <x:c r="G12" s="352" t="n">
        <x:f>SUMIFS(Country_Shares!$Y$6:$Y$697,Country_Shares!$A$6:$A$697,$A12,Country_Shares!$C$6:$C$697,$B12)</x:f>
        <x:v>1</x:v>
      </x:c>
      <x:c r="H12" s="353" t="str">
        <x:f>IF(AND(OR(D12="",ABS(D12-1)&lt;=0.002),OR(E12="",ABS(E12-1)&lt;=0.002),OR(F12="",ABS(F12-1)&lt;=0.002),OR(G12="",ABS(G12-1)&lt;=0.002)),"PASS","CHECK")</x:f>
        <x:v>PASS</x:v>
      </x:c>
      <x:c r="I12" s="353" t="str">
        <x:v>CABEI subscribed capital, published voting power and full-board ordinary loan weights each sum to 100%.</x:v>
      </x:c>
    </x:row>
    <x:row r="13" ht="32" customHeight="1">
      <x:c r="A13" s="350" t="str">
        <x:v>caf</x:v>
      </x:c>
      <x:c r="B13" s="351" t="n">
        <x:v>45657</x:v>
      </x:c>
      <x:c r="C13" s="381" t="n">
        <x:f>COUNTIFS(Country_Shares!$A$6:$A$697,$A13,Country_Shares!$C$6:$C$697,$B13)</x:f>
        <x:v>23</x:v>
      </x:c>
      <x:c r="D13" s="352" t="n">
        <x:f>SUMIFS(Country_Shares!$L$6:$L$697,Country_Shares!$A$6:$A$697,$A13,Country_Shares!$C$6:$C$697,$B13)</x:f>
        <x:v>0.9999999999999998</x:v>
      </x:c>
      <x:c r="E13" s="352" t="n">
        <x:f>SUMIFS(Country_Shares!$P$6:$P$697,Country_Shares!$A$6:$A$697,$A13,Country_Shares!$C$6:$C$697,$B13)</x:f>
        <x:v>0.9999999999999997</x:v>
      </x:c>
      <x:c r="F13" s="352" t="n">
        <x:f t="shared" si="0">SUMIFS(Country_Shares!$X$6:$X$697,Country_Shares!$A$6:$A$697,$A13,Country_Shares!$C$6:$C$697,$B13)</x:f>
        <x:v>0.9999999999999997</x:v>
      </x:c>
      <x:c r="G13" s="352" t="n">
        <x:f>SUMIFS(Country_Shares!$Y$6:$Y$697,Country_Shares!$A$6:$A$697,$A13,Country_Shares!$C$6:$C$697,$B13)</x:f>
        <x:v>0.9999999999999998</x:v>
      </x:c>
      <x:c r="H13" s="353" t="str">
        <x:f>IF(AND(OR(D13="",ABS(D13-1)&lt;=0.002),OR(E13="",ABS(E13-1)&lt;=0.002),OR(F13="",ABS(F13-1)&lt;=0.002),OR(G13="",ABS(G13-1)&lt;=0.002)),"PASS","CHECK")</x:f>
        <x:v>PASS</x:v>
      </x:c>
      <x:c r="I13" s="353" t="str">
        <x:v>Formal Board total includes private banking; country-normalized total excludes it and preserves zero-seat countries as explicit zeros.</x:v>
      </x:c>
    </x:row>
    <x:row r="14" ht="32" customHeight="1">
      <x:c r="A14" s="350" t="str">
        <x:v>cdb</x:v>
      </x:c>
      <x:c r="B14" s="351" t="n">
        <x:v>45291</x:v>
      </x:c>
      <x:c r="C14" s="381" t="n">
        <x:f>COUNTIFS(Country_Shares!$A$6:$A$697,$A14,Country_Shares!$C$6:$C$697,$B14)</x:f>
        <x:v>29</x:v>
      </x:c>
      <x:c r="D14" s="352" t="n">
        <x:f>SUMIFS(Country_Shares!$L$6:$L$697,Country_Shares!$A$6:$A$697,$A14,Country_Shares!$C$6:$C$697,$B14)</x:f>
        <x:v>0.9999999999999996</x:v>
      </x:c>
      <x:c r="E14" s="352" t="n">
        <x:f>SUMIFS(Country_Shares!$P$6:$P$697,Country_Shares!$A$6:$A$697,$A14,Country_Shares!$C$6:$C$697,$B14)</x:f>
        <x:v>1.0000000000000002</x:v>
      </x:c>
      <x:c r="F14" s="352">
        <x:f t="shared" si="0"/>
      </x:c>
      <x:c r="G14" s="352"/>
      <x:c r="H14" s="353" t="str">
        <x:f>IF(AND(OR(D14="",ABS(D14-1)&lt;=0.002),OR(E14="",ABS(E14-1)&lt;=0.002),OR(F14="",ABS(F14-1)&lt;=0.002),OR(G14="",ABS(G14-1)&lt;=0.002)),"PASS","CHECK")</x:f>
        <x:v>PASS</x:v>
      </x:c>
      <x:c r="I14" s="353" t="str">
        <x:v>Totals include all legal shareholders/members in the corresponding extract.</x:v>
      </x:c>
    </x:row>
    <x:row r="15" ht="32" customHeight="1">
      <x:c r="A15" s="350" t="str">
        <x:v>cdb</x:v>
      </x:c>
      <x:c r="B15" s="351" t="n">
        <x:v>45657</x:v>
      </x:c>
      <x:c r="C15" s="381" t="n">
        <x:f>COUNTIFS(Country_Shares!$A$6:$A$697,$A15,Country_Shares!$C$6:$C$697,$B15)</x:f>
        <x:v>29</x:v>
      </x:c>
      <x:c r="D15" s="352" t="n">
        <x:f>SUMIFS(Country_Shares!$L$6:$L$697,Country_Shares!$A$6:$A$697,$A15,Country_Shares!$C$6:$C$697,$B15)</x:f>
        <x:v>0.9999999999999996</x:v>
      </x:c>
      <x:c r="E15" s="352" t="n">
        <x:f>SUMIFS(Country_Shares!$P$6:$P$697,Country_Shares!$A$6:$A$697,$A15,Country_Shares!$C$6:$C$697,$B15)</x:f>
        <x:v>1.0000000000000002</x:v>
      </x:c>
      <x:c r="F15" s="352">
        <x:f t="shared" si="0"/>
      </x:c>
      <x:c r="G15" s="352"/>
      <x:c r="H15" s="353" t="str">
        <x:f>IF(AND(OR(D15="",ABS(D15-1)&lt;=0.002),OR(E15="",ABS(E15-1)&lt;=0.002),OR(F15="",ABS(F15-1)&lt;=0.002),OR(G15="",ABS(G15-1)&lt;=0.002)),"PASS","CHECK")</x:f>
        <x:v>PASS</x:v>
      </x:c>
      <x:c r="I15" s="353" t="str">
        <x:v>Totals include all legal shareholders/members in the corresponding extract.</x:v>
      </x:c>
    </x:row>
    <x:row r="16" ht="32" customHeight="1">
      <x:c r="A16" s="350" t="str">
        <x:v>ebrd</x:v>
      </x:c>
      <x:c r="B16" s="351" t="n">
        <x:v>46252</x:v>
      </x:c>
      <x:c r="C16" s="381" t="n">
        <x:f>COUNTIFS(Country_Shares!$A$6:$A$697,$A16,Country_Shares!$C$6:$C$697,$B16)</x:f>
        <x:v>79</x:v>
      </x:c>
      <x:c r="D16" s="352" t="n">
        <x:f>SUMIFS(Country_Shares!$L$6:$L$697,Country_Shares!$A$6:$A$697,$A16,Country_Shares!$C$6:$C$697,$B16)</x:f>
        <x:v>0.9999999999999999</x:v>
      </x:c>
      <x:c r="E16" s="352"/>
      <x:c r="F16" s="352">
        <x:f t="shared" si="0"/>
      </x:c>
      <x:c r="G16" s="352"/>
      <x:c r="H16" s="353" t="str">
        <x:f>IF(AND(OR(D16="",ABS(D16-1)&lt;=0.002),OR(E16="",ABS(E16-1)&lt;=0.002),OR(F16="",ABS(F16-1)&lt;=0.002),OR(G16="",ABS(G16-1)&lt;=0.002)),"PASS","CHECK")</x:f>
        <x:v>PASS</x:v>
      </x:c>
      <x:c r="I16" s="353" t="str">
        <x:v>Capital extract only; includes EU and EIB.</x:v>
      </x:c>
    </x:row>
    <x:row r="17" ht="32" customHeight="1">
      <x:c r="A17" s="350" t="str">
        <x:v>eib</x:v>
      </x:c>
      <x:c r="B17" s="351" t="n">
        <x:v>45291</x:v>
      </x:c>
      <x:c r="C17" s="381" t="n">
        <x:f>COUNTIFS(Country_Shares!$A$6:$A$697,$A17,Country_Shares!$C$6:$C$697,$B17)</x:f>
        <x:v>27</x:v>
      </x:c>
      <x:c r="D17" s="352" t="n">
        <x:f>SUMIFS(Country_Shares!$L$6:$L$697,Country_Shares!$A$6:$A$697,$A17,Country_Shares!$C$6:$C$697,$B17)</x:f>
        <x:v>1</x:v>
      </x:c>
      <x:c r="E17" s="352"/>
      <x:c r="F17" s="352">
        <x:f t="shared" si="0"/>
      </x:c>
      <x:c r="G17" s="352"/>
      <x:c r="H17" s="353" t="str">
        <x:f>IF(AND(OR(D17="",ABS(D17-1)&lt;=0.002),OR(E17="",ABS(E17-1)&lt;=0.002),OR(F17="",ABS(F17-1)&lt;=0.002),OR(G17="",ABS(G17-1)&lt;=0.002)),"PASS","CHECK")</x:f>
        <x:v>PASS</x:v>
      </x:c>
      <x:c r="I17" s="353" t="str">
        <x:v>Capital extract only.</x:v>
      </x:c>
    </x:row>
    <x:row r="18" ht="32" customHeight="1">
      <x:c r="A18" s="350" t="str">
        <x:v>eib</x:v>
      </x:c>
      <x:c r="B18" s="351" t="n">
        <x:v>45657</x:v>
      </x:c>
      <x:c r="C18" s="381" t="n">
        <x:f>COUNTIFS(Country_Shares!$A$6:$A$697,$A18,Country_Shares!$C$6:$C$697,$B18)</x:f>
        <x:v>27</x:v>
      </x:c>
      <x:c r="D18" s="352" t="n">
        <x:f>SUMIFS(Country_Shares!$L$6:$L$697,Country_Shares!$A$6:$A$697,$A18,Country_Shares!$C$6:$C$697,$B18)</x:f>
        <x:v>1</x:v>
      </x:c>
      <x:c r="E18" s="352"/>
      <x:c r="F18" s="352">
        <x:f t="shared" si="0"/>
      </x:c>
      <x:c r="G18" s="352"/>
      <x:c r="H18" s="353" t="str">
        <x:f>IF(AND(OR(D18="",ABS(D18-1)&lt;=0.002),OR(E18="",ABS(E18-1)&lt;=0.002),OR(F18="",ABS(F18-1)&lt;=0.002),OR(G18="",ABS(G18-1)&lt;=0.002)),"PASS","CHECK")</x:f>
        <x:v>PASS</x:v>
      </x:c>
      <x:c r="I18" s="353" t="str">
        <x:v>Capital extract only.</x:v>
      </x:c>
    </x:row>
    <x:row r="19" ht="32" customHeight="1">
      <x:c r="A19" s="350" t="str">
        <x:v>idb</x:v>
      </x:c>
      <x:c r="B19" s="351" t="n">
        <x:v>45657</x:v>
      </x:c>
      <x:c r="C19" s="381" t="n">
        <x:f>COUNTIFS(Country_Shares!$A$6:$A$697,$A19,Country_Shares!$C$6:$C$697,$B19)</x:f>
        <x:v>48</x:v>
      </x:c>
      <x:c r="D19" s="352" t="n">
        <x:f>SUMIFS(Country_Shares!$L$6:$L$697,Country_Shares!$A$6:$A$697,$A19,Country_Shares!$C$6:$C$697,$B19)</x:f>
        <x:v>0.9999999999999999</x:v>
      </x:c>
      <x:c r="E19" s="352" t="n">
        <x:f>SUMIFS(Country_Shares!$P$6:$P$697,Country_Shares!$A$6:$A$697,$A19,Country_Shares!$C$6:$C$697,$B19)</x:f>
        <x:v>0.9999999999999997</x:v>
      </x:c>
      <x:c r="F19" s="352">
        <x:f t="shared" si="0"/>
      </x:c>
      <x:c r="G19" s="352"/>
      <x:c r="H19" s="353" t="str">
        <x:f>IF(AND(OR(D19="",ABS(D19-1)&lt;=0.002),OR(E19="",ABS(E19-1)&lt;=0.002),OR(F19="",ABS(F19-1)&lt;=0.002),OR(G19="",ABS(G19-1)&lt;=0.002)),"PASS","CHECK")</x:f>
        <x:v>PASS</x:v>
      </x:c>
      <x:c r="I19" s="353" t="str">
        <x:v>Ordinary Capital only.</x:v>
      </x:c>
    </x:row>
    <x:row r="20" ht="32" customHeight="1">
      <x:c r="A20" s="353" t="str">
        <x:v>isdb</x:v>
      </x:c>
      <x:c r="B20" s="354" t="n">
        <x:v>46252</x:v>
      </x:c>
      <x:c r="C20" s="382" t="n">
        <x:f>COUNTIFS(Country_Shares!$A$6:$A$697,$A20,Country_Shares!$C$6:$C$697,$B20)</x:f>
        <x:v>57</x:v>
      </x:c>
      <x:c r="D20" s="355" t="n">
        <x:f>SUMIFS(Country_Shares!$L$6:$L$697,Country_Shares!$A$6:$A$697,$A20,Country_Shares!$C$6:$C$697,$B20)</x:f>
        <x:v>0.9996999999999995</x:v>
      </x:c>
      <x:c r="E20" s="355"/>
      <x:c r="F20" s="355"/>
      <x:c r="G20" s="355"/>
      <x:c r="H20" s="353" t="str">
        <x:f>IF(AND(OR(D20="",ABS(D20-1)&lt;=0.002),OR(E20="",ABS(E20-1)&lt;=0.002),OR(F20="",ABS(F20-1)&lt;=0.002),OR(G20="",ABS(G20-1)&lt;=0.002)),"PASS","CHECK")</x:f>
        <x:v>PASS</x:v>
      </x:c>
      <x:c r="I20" s="353" t="str">
        <x:v>Rounded current capital shares; residual is within tolerance.</x:v>
      </x:c>
    </x:row>
    <x:row r="21" ht="32" customHeight="1">
      <x:c r="A21" s="353" t="str">
        <x:v>ndb</x:v>
      </x:c>
      <x:c r="B21" s="354" t="n">
        <x:v>46022</x:v>
      </x:c>
      <x:c r="C21" s="382" t="n">
        <x:f>COUNTIFS(Country_Shares!$A$6:$A$697,$A21,Country_Shares!$C$6:$C$697,$B21)</x:f>
        <x:v>9</x:v>
      </x:c>
      <x:c r="D21" s="355" t="n">
        <x:f>SUMIFS(Country_Shares!$L$6:$L$697,Country_Shares!$A$6:$A$697,$A21,Country_Shares!$C$6:$C$697,$B21)</x:f>
        <x:v>1</x:v>
      </x:c>
      <x:c r="E21" s="355"/>
      <x:c r="F21" s="355"/>
      <x:c r="G21" s="355"/>
      <x:c r="H21" s="353" t="str">
        <x:f>IF(AND(OR(D21="",ABS(D21-1)&lt;=0.002),OR(E21="",ABS(E21-1)&lt;=0.002),OR(F21="",ABS(F21-1)&lt;=0.002),OR(G21="",ABS(G21-1)&lt;=0.002)),"PASS","CHECK")</x:f>
        <x:v>PASS</x:v>
      </x:c>
      <x:c r="I21" s="353" t="str">
        <x:v>Capital extract only.</x:v>
      </x:c>
    </x:row>
  </x:sheetData>
  <x:mergeCells>
    <x:mergeCell ref="A1:I1"/>
    <x:mergeCell ref="A3:I3"/>
  </x:mergeCells>
  <x:conditionalFormatting sqref="F6:F19">
    <x:cfRule type="expression" dxfId="1" priority="1">
      <x:formula>F6="PASS"</x:formula>
    </x:cfRule>
    <x:cfRule type="expression" dxfId="0" priority="2">
      <x:formula>F6="REVIEW"</x:formula>
    </x:cfRule>
  </x:conditionalFormatting>
  <x:conditionalFormatting sqref="A6:I21">
    <x:cfRule type="expression" dxfId="19" priority="6">
      <x:formula>MOD(ROW(),2)=0</x:formula>
    </x:cfRule>
  </x:conditionalFormatting>
  <x:conditionalFormatting sqref="H6:H21">
    <x:cfRule type="expression" dxfId="20" priority="7">
      <x:formula>H6="PASS"</x:formula>
    </x:cfRule>
    <x:cfRule type="expression" dxfId="21" priority="8">
      <x:formula>H6="CHECK"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fe7aa1bb414e9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3" hidden="0" customWidth="1"/>
    <x:col min="4" max="4" width="22" hidden="0" customWidth="1"/>
    <x:col min="5" max="5" width="24" hidden="0" customWidth="1"/>
    <x:col min="6" max="6" width="28" hidden="0" customWidth="1"/>
    <x:col min="7" max="7" width="16" hidden="0" customWidth="1"/>
    <x:col min="8" max="8" width="16" hidden="0" customWidth="1"/>
    <x:col min="9" max="9" width="15" hidden="0" customWidth="1"/>
    <x:col min="10" max="10" width="19" hidden="0" customWidth="1"/>
    <x:col min="11" max="11" width="19" hidden="0" customWidth="1"/>
    <x:col min="12" max="12" width="21" hidden="0" customWidth="1"/>
    <x:col min="13" max="13" width="18" hidden="0" customWidth="1"/>
    <x:col min="14" max="14" width="18" hidden="0" customWidth="1"/>
    <x:col min="15" max="15" width="17" hidden="0" customWidth="1"/>
    <x:col min="16" max="16" width="18" hidden="0" customWidth="1"/>
    <x:col min="17" max="17" width="44" hidden="0" customWidth="1"/>
    <x:col min="18" max="18" width="34" hidden="0" customWidth="1"/>
    <x:col min="19" max="19" width="48" hidden="0" customWidth="1"/>
  </x:cols>
  <x:sheetData>
    <x:row r="1" ht="26" customHeight="1">
      <x:c r="A1" s="120" t="str">
        <x:v>Share-class and capital-allocation detail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</x:row>
    <x:row r="3" ht="40" customHeight="1">
      <x:c r="A3" s="129" t="str">
        <x:v>CABEI rows preserve A/B and zero-face-value Series C voting shares separately. CAF rows preserve the reported class/governance category; its source reports rounded country-level capital shares rather than a complete exact share-count schedule.</x:v>
      </x:c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</x:row>
    <x:row r="5" ht="48" customHeight="1">
      <x:c r="A5" s="139" t="str">
        <x:v>ID</x:v>
      </x:c>
      <x:c r="B5" s="139" t="str">
        <x:v>Institution</x:v>
      </x:c>
      <x:c r="C5" s="139" t="str">
        <x:v>As-of date</x:v>
      </x:c>
      <x:c r="D5" s="139" t="str">
        <x:v>Member</x:v>
      </x:c>
      <x:c r="E5" s="139" t="str">
        <x:v>Shareholder entity / bloc</x:v>
      </x:c>
      <x:c r="F5" s="139" t="str">
        <x:v>Member group</x:v>
      </x:c>
      <x:c r="G5" s="139" t="str">
        <x:v>Share class</x:v>
      </x:c>
      <x:c r="H5" s="139" t="str">
        <x:v>Share count / units</x:v>
      </x:c>
      <x:c r="I5" s="139" t="str">
        <x:v>Face value / unit</x:v>
      </x:c>
      <x:c r="J5" s="139" t="str">
        <x:v>Subscribed capital (USD)</x:v>
      </x:c>
      <x:c r="K5" s="139" t="str">
        <x:v>Callable capital (USD)</x:v>
      </x:c>
      <x:c r="L5" s="139" t="str">
        <x:v>Paid-in/payable capital (USD)</x:v>
      </x:c>
      <x:c r="M5" s="139" t="str">
        <x:v>Voting shares / board seats</x:v>
      </x:c>
      <x:c r="N5" s="139" t="str">
        <x:v>Carries formal vote?</x:v>
      </x:c>
      <x:c r="O5" s="139" t="str">
        <x:v>Reported capital %</x:v>
      </x:c>
      <x:c r="P5" s="139" t="str">
        <x:v>Normalized capital %</x:v>
      </x:c>
      <x:c r="Q5" s="139" t="str">
        <x:v>Source URL</x:v>
      </x:c>
      <x:c r="R5" s="139" t="str">
        <x:v>Source locator</x:v>
      </x:c>
      <x:c r="S5" s="139" t="str">
        <x:v>Note</x:v>
      </x:c>
    </x:row>
    <x:row r="6">
      <x:c r="A6" s="151" t="str">
        <x:v>cabei</x:v>
      </x:c>
      <x:c r="B6" s="151" t="str">
        <x:v>Central American Bank for Economic Integration</x:v>
      </x:c>
      <x:c r="C6" s="171" t="n">
        <x:v>45657</x:v>
      </x:c>
      <x:c r="D6" s="151" t="str">
        <x:v>Guatemala</x:v>
      </x:c>
      <x:c r="E6" s="151" t="str">
        <x:v>Guatemala</x:v>
      </x:c>
      <x:c r="F6" s="151" t="str">
        <x:v>Founding</x:v>
      </x:c>
      <x:c r="G6" s="151" t="str">
        <x:v>A</x:v>
      </x:c>
      <x:c r="H6" s="173" t="n">
        <x:v>71400</x:v>
      </x:c>
      <x:c r="I6" s="173" t="n">
        <x:v>10000</x:v>
      </x:c>
      <x:c r="J6" s="173" t="n">
        <x:v>714000000</x:v>
      </x:c>
      <x:c r="K6" s="173" t="n">
        <x:v>535500000</x:v>
      </x:c>
      <x:c r="L6" s="173" t="n">
        <x:v>178500000</x:v>
      </x:c>
      <x:c r="M6" s="173" t="n">
        <x:v>71400</x:v>
      </x:c>
      <x:c r="N6" s="151" t="str">
        <x:v>Yes</x:v>
      </x:c>
      <x:c r="O6" s="161" t="n">
        <x:v>0.102</x:v>
      </x:c>
      <x:c r="P6" s="161" t="n">
        <x:f>J6/SUM($J$6:$J$35)</x:f>
        <x:v>0.10313298955670147</x:v>
      </x:c>
      <x:c r="Q6" s="151" t="str">
        <x:v>https://www.bcie.org/api/documents/26127/BCIE%20Presentaci%C3%B3n%20Institucional%20Cifras%20Diciembre%202024.pdf</x:v>
      </x:c>
      <x:c r="R6" s="151" t="str">
        <x:v>Capital structure table, p. 14</x:v>
      </x:c>
      <x:c r="S6" s="151" t="str">
        <x:v>A/B capital share; one vote per share.</x:v>
      </x:c>
    </x:row>
    <x:row r="7">
      <x:c r="A7" s="151" t="str">
        <x:v>cabei</x:v>
      </x:c>
      <x:c r="B7" s="151" t="str">
        <x:v>Central American Bank for Economic Integration</x:v>
      </x:c>
      <x:c r="C7" s="171" t="n">
        <x:v>45657</x:v>
      </x:c>
      <x:c r="D7" s="151" t="str">
        <x:v>Guatemala</x:v>
      </x:c>
      <x:c r="E7" s="151" t="str">
        <x:v>Guatemala</x:v>
      </x:c>
      <x:c r="F7" s="151" t="str">
        <x:v>Founding</x:v>
      </x:c>
      <x:c r="G7" s="151" t="str">
        <x:v>C</x:v>
      </x:c>
      <x:c r="H7" s="173" t="n">
        <x:v>28757</x:v>
      </x:c>
      <x:c r="I7" s="173" t="n">
        <x:v>0</x:v>
      </x:c>
      <x:c r="J7" s="173" t="n">
        <x:v>0</x:v>
      </x:c>
      <x:c r="K7" s="173" t="n">
        <x:v>0</x:v>
      </x:c>
      <x:c r="L7" s="173" t="n">
        <x:v>0</x:v>
      </x:c>
      <x:c r="M7" s="173" t="n">
        <x:v>28757</x:v>
      </x:c>
      <x:c r="N7" s="151" t="str">
        <x:v>Yes</x:v>
      </x:c>
      <x:c r="O7" s="161"/>
      <x:c r="P7" s="161" t="n">
        <x:f>J7/SUM($J$6:$J$35)</x:f>
        <x:v>0</x:v>
      </x:c>
      <x:c r="Q7" s="151" t="str">
        <x:v>https://www.bcie.org/api/documents/26127/BCIE%20Presentaci%C3%B3n%20Institucional%20Cifras%20Diciembre%202024.pdf</x:v>
      </x:c>
      <x:c r="R7" s="151" t="str">
        <x:v>Capital structure table, p. 14</x:v>
      </x:c>
      <x:c r="S7" s="151" t="str">
        <x:v>Series C has zero face value and one vote per share.</x:v>
      </x:c>
    </x:row>
    <x:row r="8">
      <x:c r="A8" s="151" t="str">
        <x:v>cabei</x:v>
      </x:c>
      <x:c r="B8" s="151" t="str">
        <x:v>Central American Bank for Economic Integration</x:v>
      </x:c>
      <x:c r="C8" s="171" t="n">
        <x:v>45657</x:v>
      </x:c>
      <x:c r="D8" s="151" t="str">
        <x:v>El Salvador</x:v>
      </x:c>
      <x:c r="E8" s="151" t="str">
        <x:v>El Salvador</x:v>
      </x:c>
      <x:c r="F8" s="151" t="str">
        <x:v>Founding</x:v>
      </x:c>
      <x:c r="G8" s="151" t="str">
        <x:v>A</x:v>
      </x:c>
      <x:c r="H8" s="173" t="n">
        <x:v>71400</x:v>
      </x:c>
      <x:c r="I8" s="173" t="n">
        <x:v>10000</x:v>
      </x:c>
      <x:c r="J8" s="173" t="n">
        <x:v>714000000</x:v>
      </x:c>
      <x:c r="K8" s="173" t="n">
        <x:v>535500000</x:v>
      </x:c>
      <x:c r="L8" s="173" t="n">
        <x:v>178500000</x:v>
      </x:c>
      <x:c r="M8" s="173" t="n">
        <x:v>71400</x:v>
      </x:c>
      <x:c r="N8" s="151" t="str">
        <x:v>Yes</x:v>
      </x:c>
      <x:c r="O8" s="161" t="n">
        <x:v>0.102</x:v>
      </x:c>
      <x:c r="P8" s="161" t="n">
        <x:f>J8/SUM($J$6:$J$35)</x:f>
        <x:v>0.10313298955670147</x:v>
      </x:c>
      <x:c r="Q8" s="151" t="str">
        <x:v>https://www.bcie.org/api/documents/26127/BCIE%20Presentaci%C3%B3n%20Institucional%20Cifras%20Diciembre%202024.pdf</x:v>
      </x:c>
      <x:c r="R8" s="151" t="str">
        <x:v>Capital structure table, p. 14</x:v>
      </x:c>
      <x:c r="S8" s="151" t="str">
        <x:v>A/B capital share; one vote per share.</x:v>
      </x:c>
    </x:row>
    <x:row r="9">
      <x:c r="A9" s="151" t="str">
        <x:v>cabei</x:v>
      </x:c>
      <x:c r="B9" s="151" t="str">
        <x:v>Central American Bank for Economic Integration</x:v>
      </x:c>
      <x:c r="C9" s="171" t="n">
        <x:v>45657</x:v>
      </x:c>
      <x:c r="D9" s="151" t="str">
        <x:v>El Salvador</x:v>
      </x:c>
      <x:c r="E9" s="151" t="str">
        <x:v>El Salvador</x:v>
      </x:c>
      <x:c r="F9" s="151" t="str">
        <x:v>Founding</x:v>
      </x:c>
      <x:c r="G9" s="151" t="str">
        <x:v>C</x:v>
      </x:c>
      <x:c r="H9" s="173" t="n">
        <x:v>28757</x:v>
      </x:c>
      <x:c r="I9" s="173" t="n">
        <x:v>0</x:v>
      </x:c>
      <x:c r="J9" s="173" t="n">
        <x:v>0</x:v>
      </x:c>
      <x:c r="K9" s="173" t="n">
        <x:v>0</x:v>
      </x:c>
      <x:c r="L9" s="173" t="n">
        <x:v>0</x:v>
      </x:c>
      <x:c r="M9" s="173" t="n">
        <x:v>28757</x:v>
      </x:c>
      <x:c r="N9" s="151" t="str">
        <x:v>Yes</x:v>
      </x:c>
      <x:c r="O9" s="161"/>
      <x:c r="P9" s="161" t="n">
        <x:f>J9/SUM($J$6:$J$35)</x:f>
        <x:v>0</x:v>
      </x:c>
      <x:c r="Q9" s="151" t="str">
        <x:v>https://www.bcie.org/api/documents/26127/BCIE%20Presentaci%C3%B3n%20Institucional%20Cifras%20Diciembre%202024.pdf</x:v>
      </x:c>
      <x:c r="R9" s="151" t="str">
        <x:v>Capital structure table, p. 14</x:v>
      </x:c>
      <x:c r="S9" s="151" t="str">
        <x:v>Series C has zero face value and one vote per share.</x:v>
      </x:c>
    </x:row>
    <x:row r="10">
      <x:c r="A10" s="151" t="str">
        <x:v>cabei</x:v>
      </x:c>
      <x:c r="B10" s="151" t="str">
        <x:v>Central American Bank for Economic Integration</x:v>
      </x:c>
      <x:c r="C10" s="171" t="n">
        <x:v>45657</x:v>
      </x:c>
      <x:c r="D10" s="151" t="str">
        <x:v>Honduras</x:v>
      </x:c>
      <x:c r="E10" s="151" t="str">
        <x:v>Honduras</x:v>
      </x:c>
      <x:c r="F10" s="151" t="str">
        <x:v>Founding</x:v>
      </x:c>
      <x:c r="G10" s="151" t="str">
        <x:v>A</x:v>
      </x:c>
      <x:c r="H10" s="173" t="n">
        <x:v>71400</x:v>
      </x:c>
      <x:c r="I10" s="173" t="n">
        <x:v>10000</x:v>
      </x:c>
      <x:c r="J10" s="173" t="n">
        <x:v>714000000</x:v>
      </x:c>
      <x:c r="K10" s="173" t="n">
        <x:v>535500000</x:v>
      </x:c>
      <x:c r="L10" s="173" t="n">
        <x:v>178500000</x:v>
      </x:c>
      <x:c r="M10" s="173" t="n">
        <x:v>71400</x:v>
      </x:c>
      <x:c r="N10" s="151" t="str">
        <x:v>Yes</x:v>
      </x:c>
      <x:c r="O10" s="161" t="n">
        <x:v>0.102</x:v>
      </x:c>
      <x:c r="P10" s="161" t="n">
        <x:f>J10/SUM($J$6:$J$35)</x:f>
        <x:v>0.10313298955670147</x:v>
      </x:c>
      <x:c r="Q10" s="151" t="str">
        <x:v>https://www.bcie.org/api/documents/26127/BCIE%20Presentaci%C3%B3n%20Institucional%20Cifras%20Diciembre%202024.pdf</x:v>
      </x:c>
      <x:c r="R10" s="151" t="str">
        <x:v>Capital structure table, p. 14</x:v>
      </x:c>
      <x:c r="S10" s="151" t="str">
        <x:v>A/B capital share; one vote per share.</x:v>
      </x:c>
    </x:row>
    <x:row r="11">
      <x:c r="A11" s="151" t="str">
        <x:v>cabei</x:v>
      </x:c>
      <x:c r="B11" s="151" t="str">
        <x:v>Central American Bank for Economic Integration</x:v>
      </x:c>
      <x:c r="C11" s="171" t="n">
        <x:v>45657</x:v>
      </x:c>
      <x:c r="D11" s="151" t="str">
        <x:v>Honduras</x:v>
      </x:c>
      <x:c r="E11" s="151" t="str">
        <x:v>Honduras</x:v>
      </x:c>
      <x:c r="F11" s="151" t="str">
        <x:v>Founding</x:v>
      </x:c>
      <x:c r="G11" s="151" t="str">
        <x:v>C</x:v>
      </x:c>
      <x:c r="H11" s="173" t="n">
        <x:v>28757</x:v>
      </x:c>
      <x:c r="I11" s="173" t="n">
        <x:v>0</x:v>
      </x:c>
      <x:c r="J11" s="173" t="n">
        <x:v>0</x:v>
      </x:c>
      <x:c r="K11" s="173" t="n">
        <x:v>0</x:v>
      </x:c>
      <x:c r="L11" s="173" t="n">
        <x:v>0</x:v>
      </x:c>
      <x:c r="M11" s="173" t="n">
        <x:v>28757</x:v>
      </x:c>
      <x:c r="N11" s="151" t="str">
        <x:v>Yes</x:v>
      </x:c>
      <x:c r="O11" s="161"/>
      <x:c r="P11" s="161" t="n">
        <x:f>J11/SUM($J$6:$J$35)</x:f>
        <x:v>0</x:v>
      </x:c>
      <x:c r="Q11" s="151" t="str">
        <x:v>https://www.bcie.org/api/documents/26127/BCIE%20Presentaci%C3%B3n%20Institucional%20Cifras%20Diciembre%202024.pdf</x:v>
      </x:c>
      <x:c r="R11" s="151" t="str">
        <x:v>Capital structure table, p. 14</x:v>
      </x:c>
      <x:c r="S11" s="151" t="str">
        <x:v>Series C has zero face value and one vote per share.</x:v>
      </x:c>
    </x:row>
    <x:row r="12">
      <x:c r="A12" s="151" t="str">
        <x:v>cabei</x:v>
      </x:c>
      <x:c r="B12" s="151" t="str">
        <x:v>Central American Bank for Economic Integration</x:v>
      </x:c>
      <x:c r="C12" s="171" t="n">
        <x:v>45657</x:v>
      </x:c>
      <x:c r="D12" s="151" t="str">
        <x:v>Nicaragua</x:v>
      </x:c>
      <x:c r="E12" s="151" t="str">
        <x:v>Nicaragua</x:v>
      </x:c>
      <x:c r="F12" s="151" t="str">
        <x:v>Founding</x:v>
      </x:c>
      <x:c r="G12" s="151" t="str">
        <x:v>A</x:v>
      </x:c>
      <x:c r="H12" s="173" t="n">
        <x:v>71400</x:v>
      </x:c>
      <x:c r="I12" s="173" t="n">
        <x:v>10000</x:v>
      </x:c>
      <x:c r="J12" s="173" t="n">
        <x:v>714000000</x:v>
      </x:c>
      <x:c r="K12" s="173" t="n">
        <x:v>535500000</x:v>
      </x:c>
      <x:c r="L12" s="173" t="n">
        <x:v>178500000</x:v>
      </x:c>
      <x:c r="M12" s="173" t="n">
        <x:v>71400</x:v>
      </x:c>
      <x:c r="N12" s="151" t="str">
        <x:v>Yes</x:v>
      </x:c>
      <x:c r="O12" s="161" t="n">
        <x:v>0.102</x:v>
      </x:c>
      <x:c r="P12" s="161" t="n">
        <x:f>J12/SUM($J$6:$J$35)</x:f>
        <x:v>0.10313298955670147</x:v>
      </x:c>
      <x:c r="Q12" s="151" t="str">
        <x:v>https://www.bcie.org/api/documents/26127/BCIE%20Presentaci%C3%B3n%20Institucional%20Cifras%20Diciembre%202024.pdf</x:v>
      </x:c>
      <x:c r="R12" s="151" t="str">
        <x:v>Capital structure table, p. 14</x:v>
      </x:c>
      <x:c r="S12" s="151" t="str">
        <x:v>A/B capital share; one vote per share.</x:v>
      </x:c>
    </x:row>
    <x:row r="13">
      <x:c r="A13" s="151" t="str">
        <x:v>cabei</x:v>
      </x:c>
      <x:c r="B13" s="151" t="str">
        <x:v>Central American Bank for Economic Integration</x:v>
      </x:c>
      <x:c r="C13" s="171" t="n">
        <x:v>45657</x:v>
      </x:c>
      <x:c r="D13" s="151" t="str">
        <x:v>Nicaragua</x:v>
      </x:c>
      <x:c r="E13" s="151" t="str">
        <x:v>Nicaragua</x:v>
      </x:c>
      <x:c r="F13" s="151" t="str">
        <x:v>Founding</x:v>
      </x:c>
      <x:c r="G13" s="151" t="str">
        <x:v>C</x:v>
      </x:c>
      <x:c r="H13" s="173" t="n">
        <x:v>28757</x:v>
      </x:c>
      <x:c r="I13" s="173" t="n">
        <x:v>0</x:v>
      </x:c>
      <x:c r="J13" s="173" t="n">
        <x:v>0</x:v>
      </x:c>
      <x:c r="K13" s="173" t="n">
        <x:v>0</x:v>
      </x:c>
      <x:c r="L13" s="173" t="n">
        <x:v>0</x:v>
      </x:c>
      <x:c r="M13" s="173" t="n">
        <x:v>28757</x:v>
      </x:c>
      <x:c r="N13" s="151" t="str">
        <x:v>Yes</x:v>
      </x:c>
      <x:c r="O13" s="161"/>
      <x:c r="P13" s="161" t="n">
        <x:f>J13/SUM($J$6:$J$35)</x:f>
        <x:v>0</x:v>
      </x:c>
      <x:c r="Q13" s="151" t="str">
        <x:v>https://www.bcie.org/api/documents/26127/BCIE%20Presentaci%C3%B3n%20Institucional%20Cifras%20Diciembre%202024.pdf</x:v>
      </x:c>
      <x:c r="R13" s="151" t="str">
        <x:v>Capital structure table, p. 14</x:v>
      </x:c>
      <x:c r="S13" s="151" t="str">
        <x:v>Series C has zero face value and one vote per share.</x:v>
      </x:c>
    </x:row>
    <x:row r="14">
      <x:c r="A14" s="151" t="str">
        <x:v>cabei</x:v>
      </x:c>
      <x:c r="B14" s="151" t="str">
        <x:v>Central American Bank for Economic Integration</x:v>
      </x:c>
      <x:c r="C14" s="171" t="n">
        <x:v>45657</x:v>
      </x:c>
      <x:c r="D14" s="151" t="str">
        <x:v>Costa Rica</x:v>
      </x:c>
      <x:c r="E14" s="151" t="str">
        <x:v>Costa Rica</x:v>
      </x:c>
      <x:c r="F14" s="151" t="str">
        <x:v>Founding</x:v>
      </x:c>
      <x:c r="G14" s="151" t="str">
        <x:v>A</x:v>
      </x:c>
      <x:c r="H14" s="173" t="n">
        <x:v>71400</x:v>
      </x:c>
      <x:c r="I14" s="173" t="n">
        <x:v>10000</x:v>
      </x:c>
      <x:c r="J14" s="173" t="n">
        <x:v>714000000</x:v>
      </x:c>
      <x:c r="K14" s="173" t="n">
        <x:v>535500000</x:v>
      </x:c>
      <x:c r="L14" s="173" t="n">
        <x:v>178500000</x:v>
      </x:c>
      <x:c r="M14" s="173" t="n">
        <x:v>71400</x:v>
      </x:c>
      <x:c r="N14" s="151" t="str">
        <x:v>Yes</x:v>
      </x:c>
      <x:c r="O14" s="161" t="n">
        <x:v>0.102</x:v>
      </x:c>
      <x:c r="P14" s="161" t="n">
        <x:f>J14/SUM($J$6:$J$35)</x:f>
        <x:v>0.10313298955670147</x:v>
      </x:c>
      <x:c r="Q14" s="151" t="str">
        <x:v>https://www.bcie.org/api/documents/26127/BCIE%20Presentaci%C3%B3n%20Institucional%20Cifras%20Diciembre%202024.pdf</x:v>
      </x:c>
      <x:c r="R14" s="151" t="str">
        <x:v>Capital structure table, p. 14</x:v>
      </x:c>
      <x:c r="S14" s="151" t="str">
        <x:v>A/B capital share; one vote per share.</x:v>
      </x:c>
    </x:row>
    <x:row r="15">
      <x:c r="A15" s="151" t="str">
        <x:v>cabei</x:v>
      </x:c>
      <x:c r="B15" s="151" t="str">
        <x:v>Central American Bank for Economic Integration</x:v>
      </x:c>
      <x:c r="C15" s="171" t="n">
        <x:v>45657</x:v>
      </x:c>
      <x:c r="D15" s="151" t="str">
        <x:v>Costa Rica</x:v>
      </x:c>
      <x:c r="E15" s="151" t="str">
        <x:v>Costa Rica</x:v>
      </x:c>
      <x:c r="F15" s="151" t="str">
        <x:v>Founding</x:v>
      </x:c>
      <x:c r="G15" s="151" t="str">
        <x:v>C</x:v>
      </x:c>
      <x:c r="H15" s="173" t="n">
        <x:v>28757</x:v>
      </x:c>
      <x:c r="I15" s="173" t="n">
        <x:v>0</x:v>
      </x:c>
      <x:c r="J15" s="173" t="n">
        <x:v>0</x:v>
      </x:c>
      <x:c r="K15" s="173" t="n">
        <x:v>0</x:v>
      </x:c>
      <x:c r="L15" s="173" t="n">
        <x:v>0</x:v>
      </x:c>
      <x:c r="M15" s="173" t="n">
        <x:v>28757</x:v>
      </x:c>
      <x:c r="N15" s="151" t="str">
        <x:v>Yes</x:v>
      </x:c>
      <x:c r="O15" s="161"/>
      <x:c r="P15" s="161" t="n">
        <x:f>J15/SUM($J$6:$J$35)</x:f>
        <x:v>0</x:v>
      </x:c>
      <x:c r="Q15" s="151" t="str">
        <x:v>https://www.bcie.org/api/documents/26127/BCIE%20Presentaci%C3%B3n%20Institucional%20Cifras%20Diciembre%202024.pdf</x:v>
      </x:c>
      <x:c r="R15" s="151" t="str">
        <x:v>Capital structure table, p. 14</x:v>
      </x:c>
      <x:c r="S15" s="151" t="str">
        <x:v>Series C has zero face value and one vote per share.</x:v>
      </x:c>
    </x:row>
    <x:row r="16">
      <x:c r="A16" s="151" t="str">
        <x:v>cabei</x:v>
      </x:c>
      <x:c r="B16" s="151" t="str">
        <x:v>Central American Bank for Economic Integration</x:v>
      </x:c>
      <x:c r="C16" s="171" t="n">
        <x:v>45657</x:v>
      </x:c>
      <x:c r="D16" s="151" t="str">
        <x:v>Dominican Republic</x:v>
      </x:c>
      <x:c r="E16" s="151" t="str">
        <x:v>Dominican Republic</x:v>
      </x:c>
      <x:c r="F16" s="151" t="str">
        <x:v>Regional non-founding</x:v>
      </x:c>
      <x:c r="G16" s="151" t="str">
        <x:v>B</x:v>
      </x:c>
      <x:c r="H16" s="173" t="n">
        <x:v>37840</x:v>
      </x:c>
      <x:c r="I16" s="173" t="n">
        <x:v>10000</x:v>
      </x:c>
      <x:c r="J16" s="173" t="n">
        <x:v>378400000</x:v>
      </x:c>
      <x:c r="K16" s="173" t="n">
        <x:v>283800000</x:v>
      </x:c>
      <x:c r="L16" s="173" t="n">
        <x:v>94600000</x:v>
      </x:c>
      <x:c r="M16" s="173" t="n">
        <x:v>37840</x:v>
      </x:c>
      <x:c r="N16" s="151" t="str">
        <x:v>Yes</x:v>
      </x:c>
      <x:c r="O16" s="161" t="n">
        <x:v>0.0541</x:v>
      </x:c>
      <x:c r="P16" s="161" t="n">
        <x:f>J16/SUM($J$6:$J$35)</x:f>
        <x:v>0.054657595585792494</x:v>
      </x:c>
      <x:c r="Q16" s="151" t="str">
        <x:v>https://www.bcie.org/api/documents/26127/BCIE%20Presentaci%C3%B3n%20Institucional%20Cifras%20Diciembre%202024.pdf</x:v>
      </x:c>
      <x:c r="R16" s="151" t="str">
        <x:v>Capital structure table, p. 14</x:v>
      </x:c>
      <x:c r="S16" s="151" t="str">
        <x:v>A/B capital share; one vote per share.</x:v>
      </x:c>
    </x:row>
    <x:row r="17">
      <x:c r="A17" s="151" t="str">
        <x:v>cabei</x:v>
      </x:c>
      <x:c r="B17" s="151" t="str">
        <x:v>Central American Bank for Economic Integration</x:v>
      </x:c>
      <x:c r="C17" s="171" t="n">
        <x:v>45657</x:v>
      </x:c>
      <x:c r="D17" s="151" t="str">
        <x:v>Dominican Republic</x:v>
      </x:c>
      <x:c r="E17" s="151" t="str">
        <x:v>Dominican Republic</x:v>
      </x:c>
      <x:c r="F17" s="151" t="str">
        <x:v>Regional non-founding</x:v>
      </x:c>
      <x:c r="G17" s="151" t="str">
        <x:v>C</x:v>
      </x:c>
      <x:c r="H17" s="173" t="n">
        <x:v>8717</x:v>
      </x:c>
      <x:c r="I17" s="173" t="n">
        <x:v>0</x:v>
      </x:c>
      <x:c r="J17" s="173" t="n">
        <x:v>0</x:v>
      </x:c>
      <x:c r="K17" s="173" t="n">
        <x:v>0</x:v>
      </x:c>
      <x:c r="L17" s="173" t="n">
        <x:v>0</x:v>
      </x:c>
      <x:c r="M17" s="173" t="n">
        <x:v>8717</x:v>
      </x:c>
      <x:c r="N17" s="151" t="str">
        <x:v>Yes</x:v>
      </x:c>
      <x:c r="O17" s="161"/>
      <x:c r="P17" s="161" t="n">
        <x:f>J17/SUM($J$6:$J$35)</x:f>
        <x:v>0</x:v>
      </x:c>
      <x:c r="Q17" s="151" t="str">
        <x:v>https://www.bcie.org/api/documents/26127/BCIE%20Presentaci%C3%B3n%20Institucional%20Cifras%20Diciembre%202024.pdf</x:v>
      </x:c>
      <x:c r="R17" s="151" t="str">
        <x:v>Capital structure table, p. 14</x:v>
      </x:c>
      <x:c r="S17" s="151" t="str">
        <x:v>Series C has zero face value and one vote per share.</x:v>
      </x:c>
    </x:row>
    <x:row r="18">
      <x:c r="A18" s="151" t="str">
        <x:v>cabei</x:v>
      </x:c>
      <x:c r="B18" s="151" t="str">
        <x:v>Central American Bank for Economic Integration</x:v>
      </x:c>
      <x:c r="C18" s="171" t="n">
        <x:v>45657</x:v>
      </x:c>
      <x:c r="D18" s="151" t="str">
        <x:v>Panama</x:v>
      </x:c>
      <x:c r="E18" s="151" t="str">
        <x:v>Panama</x:v>
      </x:c>
      <x:c r="F18" s="151" t="str">
        <x:v>Regional non-founding</x:v>
      </x:c>
      <x:c r="G18" s="151" t="str">
        <x:v>B</x:v>
      </x:c>
      <x:c r="H18" s="173" t="n">
        <x:v>35840</x:v>
      </x:c>
      <x:c r="I18" s="173" t="n">
        <x:v>10000</x:v>
      </x:c>
      <x:c r="J18" s="173" t="n">
        <x:v>358400000</x:v>
      </x:c>
      <x:c r="K18" s="173" t="n">
        <x:v>268800000</x:v>
      </x:c>
      <x:c r="L18" s="173" t="n">
        <x:v>89600000</x:v>
      </x:c>
      <x:c r="M18" s="173" t="n">
        <x:v>35840</x:v>
      </x:c>
      <x:c r="N18" s="151" t="str">
        <x:v>Yes</x:v>
      </x:c>
      <x:c r="O18" s="161" t="n">
        <x:v>0.0512</x:v>
      </x:c>
      <x:c r="P18" s="161" t="n">
        <x:f>J18/SUM($J$6:$J$35)</x:f>
        <x:v>0.05176871632650113</x:v>
      </x:c>
      <x:c r="Q18" s="151" t="str">
        <x:v>https://www.bcie.org/api/documents/26127/BCIE%20Presentaci%C3%B3n%20Institucional%20Cifras%20Diciembre%202024.pdf</x:v>
      </x:c>
      <x:c r="R18" s="151" t="str">
        <x:v>Capital structure table, p. 14</x:v>
      </x:c>
      <x:c r="S18" s="151" t="str">
        <x:v>A/B capital share; one vote per share.</x:v>
      </x:c>
    </x:row>
    <x:row r="19">
      <x:c r="A19" s="151" t="str">
        <x:v>cabei</x:v>
      </x:c>
      <x:c r="B19" s="151" t="str">
        <x:v>Central American Bank for Economic Integration</x:v>
      </x:c>
      <x:c r="C19" s="171" t="n">
        <x:v>45657</x:v>
      </x:c>
      <x:c r="D19" s="151" t="str">
        <x:v>Panama</x:v>
      </x:c>
      <x:c r="E19" s="151" t="str">
        <x:v>Panama</x:v>
      </x:c>
      <x:c r="F19" s="151" t="str">
        <x:v>Regional non-founding</x:v>
      </x:c>
      <x:c r="G19" s="151" t="str">
        <x:v>C</x:v>
      </x:c>
      <x:c r="H19" s="173" t="n">
        <x:v>9067</x:v>
      </x:c>
      <x:c r="I19" s="173" t="n">
        <x:v>0</x:v>
      </x:c>
      <x:c r="J19" s="173" t="n">
        <x:v>0</x:v>
      </x:c>
      <x:c r="K19" s="173" t="n">
        <x:v>0</x:v>
      </x:c>
      <x:c r="L19" s="173" t="n">
        <x:v>0</x:v>
      </x:c>
      <x:c r="M19" s="173" t="n">
        <x:v>9067</x:v>
      </x:c>
      <x:c r="N19" s="151" t="str">
        <x:v>Yes</x:v>
      </x:c>
      <x:c r="O19" s="161"/>
      <x:c r="P19" s="161" t="n">
        <x:f>J19/SUM($J$6:$J$35)</x:f>
        <x:v>0</x:v>
      </x:c>
      <x:c r="Q19" s="151" t="str">
        <x:v>https://www.bcie.org/api/documents/26127/BCIE%20Presentaci%C3%B3n%20Institucional%20Cifras%20Diciembre%202024.pdf</x:v>
      </x:c>
      <x:c r="R19" s="151" t="str">
        <x:v>Capital structure table, p. 14</x:v>
      </x:c>
      <x:c r="S19" s="151" t="str">
        <x:v>Series C has zero face value and one vote per share.</x:v>
      </x:c>
    </x:row>
    <x:row r="20">
      <x:c r="A20" s="151" t="str">
        <x:v>cabei</x:v>
      </x:c>
      <x:c r="B20" s="151" t="str">
        <x:v>Central American Bank for Economic Integration</x:v>
      </x:c>
      <x:c r="C20" s="171" t="n">
        <x:v>45657</x:v>
      </x:c>
      <x:c r="D20" s="151" t="str">
        <x:v>Belize</x:v>
      </x:c>
      <x:c r="E20" s="151" t="str">
        <x:v>Belize</x:v>
      </x:c>
      <x:c r="F20" s="151" t="str">
        <x:v>Regional non-founding</x:v>
      </x:c>
      <x:c r="G20" s="151" t="str">
        <x:v>B</x:v>
      </x:c>
      <x:c r="H20" s="173" t="n">
        <x:v>2500</x:v>
      </x:c>
      <x:c r="I20" s="173" t="n">
        <x:v>10000</x:v>
      </x:c>
      <x:c r="J20" s="173" t="n">
        <x:v>25000000</x:v>
      </x:c>
      <x:c r="K20" s="173" t="n">
        <x:v>18750000</x:v>
      </x:c>
      <x:c r="L20" s="173" t="n">
        <x:v>6250000</x:v>
      </x:c>
      <x:c r="M20" s="173" t="n">
        <x:v>2500</x:v>
      </x:c>
      <x:c r="N20" s="151" t="str">
        <x:v>Yes</x:v>
      </x:c>
      <x:c r="O20" s="161" t="n">
        <x:v>0.0036</x:v>
      </x:c>
      <x:c r="P20" s="161" t="n">
        <x:f>J20/SUM($J$6:$J$35)</x:f>
        <x:v>0.0036110990741141974</x:v>
      </x:c>
      <x:c r="Q20" s="151" t="str">
        <x:v>https://www.bcie.org/api/documents/26127/BCIE%20Presentaci%C3%B3n%20Institucional%20Cifras%20Diciembre%202024.pdf</x:v>
      </x:c>
      <x:c r="R20" s="151" t="str">
        <x:v>Capital structure table, p. 14</x:v>
      </x:c>
      <x:c r="S20" s="151" t="str">
        <x:v>A/B capital share; one vote per share.</x:v>
      </x:c>
    </x:row>
    <x:row r="21">
      <x:c r="A21" s="151" t="str">
        <x:v>cabei</x:v>
      </x:c>
      <x:c r="B21" s="151" t="str">
        <x:v>Central American Bank for Economic Integration</x:v>
      </x:c>
      <x:c r="C21" s="171" t="n">
        <x:v>45657</x:v>
      </x:c>
      <x:c r="D21" s="151" t="str">
        <x:v>Belize</x:v>
      </x:c>
      <x:c r="E21" s="151" t="str">
        <x:v>Belize</x:v>
      </x:c>
      <x:c r="F21" s="151" t="str">
        <x:v>Regional non-founding</x:v>
      </x:c>
      <x:c r="G21" s="151" t="str">
        <x:v>C</x:v>
      </x:c>
      <x:c r="H21" s="173" t="n">
        <x:v>632</x:v>
      </x:c>
      <x:c r="I21" s="173" t="n">
        <x:v>0</x:v>
      </x:c>
      <x:c r="J21" s="173" t="n">
        <x:v>0</x:v>
      </x:c>
      <x:c r="K21" s="173" t="n">
        <x:v>0</x:v>
      </x:c>
      <x:c r="L21" s="173" t="n">
        <x:v>0</x:v>
      </x:c>
      <x:c r="M21" s="173" t="n">
        <x:v>632</x:v>
      </x:c>
      <x:c r="N21" s="151" t="str">
        <x:v>Yes</x:v>
      </x:c>
      <x:c r="O21" s="161"/>
      <x:c r="P21" s="161" t="n">
        <x:f>J21/SUM($J$6:$J$35)</x:f>
        <x:v>0</x:v>
      </x:c>
      <x:c r="Q21" s="151" t="str">
        <x:v>https://www.bcie.org/api/documents/26127/BCIE%20Presentaci%C3%B3n%20Institucional%20Cifras%20Diciembre%202024.pdf</x:v>
      </x:c>
      <x:c r="R21" s="151" t="str">
        <x:v>Capital structure table, p. 14</x:v>
      </x:c>
      <x:c r="S21" s="151" t="str">
        <x:v>Series C has zero face value and one vote per share.</x:v>
      </x:c>
    </x:row>
    <x:row r="22">
      <x:c r="A22" s="151" t="str">
        <x:v>cabei</x:v>
      </x:c>
      <x:c r="B22" s="151" t="str">
        <x:v>Central American Bank for Economic Integration</x:v>
      </x:c>
      <x:c r="C22" s="171" t="n">
        <x:v>45657</x:v>
      </x:c>
      <x:c r="D22" s="151" t="str">
        <x:v>Taiwan</x:v>
      </x:c>
      <x:c r="E22" s="151" t="str">
        <x:v>Taiwan</x:v>
      </x:c>
      <x:c r="F22" s="151" t="str">
        <x:v>Non-regional</x:v>
      </x:c>
      <x:c r="G22" s="151" t="str">
        <x:v>B</x:v>
      </x:c>
      <x:c r="H22" s="173" t="n">
        <x:v>77625</x:v>
      </x:c>
      <x:c r="I22" s="173" t="n">
        <x:v>10000</x:v>
      </x:c>
      <x:c r="J22" s="173" t="n">
        <x:v>776250000</x:v>
      </x:c>
      <x:c r="K22" s="173" t="n">
        <x:v>582187500</x:v>
      </x:c>
      <x:c r="L22" s="173" t="n">
        <x:v>194062500</x:v>
      </x:c>
      <x:c r="M22" s="173" t="n">
        <x:v>77625</x:v>
      </x:c>
      <x:c r="N22" s="151" t="str">
        <x:v>Yes</x:v>
      </x:c>
      <x:c r="O22" s="161" t="n">
        <x:v>0.1109</x:v>
      </x:c>
      <x:c r="P22" s="161" t="n">
        <x:f>J22/SUM($J$6:$J$35)</x:f>
        <x:v>0.11212462625124583</x:v>
      </x:c>
      <x:c r="Q22" s="151" t="str">
        <x:v>https://www.bcie.org/api/documents/26127/BCIE%20Presentaci%C3%B3n%20Institucional%20Cifras%20Diciembre%202024.pdf</x:v>
      </x:c>
      <x:c r="R22" s="151" t="str">
        <x:v>Capital structure table, p. 14</x:v>
      </x:c>
      <x:c r="S22" s="151" t="str">
        <x:v>A/B capital share; one vote per share.</x:v>
      </x:c>
    </x:row>
    <x:row r="23">
      <x:c r="A23" s="151" t="str">
        <x:v>cabei</x:v>
      </x:c>
      <x:c r="B23" s="151" t="str">
        <x:v>Central American Bank for Economic Integration</x:v>
      </x:c>
      <x:c r="C23" s="171" t="n">
        <x:v>45657</x:v>
      </x:c>
      <x:c r="D23" s="151" t="str">
        <x:v>Taiwan</x:v>
      </x:c>
      <x:c r="E23" s="151" t="str">
        <x:v>Taiwan</x:v>
      </x:c>
      <x:c r="F23" s="151" t="str">
        <x:v>Non-regional</x:v>
      </x:c>
      <x:c r="G23" s="151" t="str">
        <x:v>C</x:v>
      </x:c>
      <x:c r="H23" s="173" t="n">
        <x:v>28963</x:v>
      </x:c>
      <x:c r="I23" s="173" t="n">
        <x:v>0</x:v>
      </x:c>
      <x:c r="J23" s="173" t="n">
        <x:v>0</x:v>
      </x:c>
      <x:c r="K23" s="173" t="n">
        <x:v>0</x:v>
      </x:c>
      <x:c r="L23" s="173" t="n">
        <x:v>0</x:v>
      </x:c>
      <x:c r="M23" s="173" t="n">
        <x:v>28963</x:v>
      </x:c>
      <x:c r="N23" s="151" t="str">
        <x:v>Yes</x:v>
      </x:c>
      <x:c r="O23" s="161"/>
      <x:c r="P23" s="161" t="n">
        <x:f>J23/SUM($J$6:$J$35)</x:f>
        <x:v>0</x:v>
      </x:c>
      <x:c r="Q23" s="151" t="str">
        <x:v>https://www.bcie.org/api/documents/26127/BCIE%20Presentaci%C3%B3n%20Institucional%20Cifras%20Diciembre%202024.pdf</x:v>
      </x:c>
      <x:c r="R23" s="151" t="str">
        <x:v>Capital structure table, p. 14</x:v>
      </x:c>
      <x:c r="S23" s="151" t="str">
        <x:v>Series C has zero face value and one vote per share.</x:v>
      </x:c>
    </x:row>
    <x:row r="24">
      <x:c r="A24" s="151" t="str">
        <x:v>cabei</x:v>
      </x:c>
      <x:c r="B24" s="151" t="str">
        <x:v>Central American Bank for Economic Integration</x:v>
      </x:c>
      <x:c r="C24" s="171" t="n">
        <x:v>45657</x:v>
      </x:c>
      <x:c r="D24" s="151" t="str">
        <x:v>Korea, Republic of</x:v>
      </x:c>
      <x:c r="E24" s="151" t="str">
        <x:v>Korea, Republic of</x:v>
      </x:c>
      <x:c r="F24" s="151" t="str">
        <x:v>Non-regional</x:v>
      </x:c>
      <x:c r="G24" s="151" t="str">
        <x:v>B</x:v>
      </x:c>
      <x:c r="H24" s="173" t="n">
        <x:v>63000</x:v>
      </x:c>
      <x:c r="I24" s="173" t="n">
        <x:v>10000</x:v>
      </x:c>
      <x:c r="J24" s="173" t="n">
        <x:v>630000000</x:v>
      </x:c>
      <x:c r="K24" s="173" t="n">
        <x:v>472500000</x:v>
      </x:c>
      <x:c r="L24" s="173" t="n">
        <x:v>157500000</x:v>
      </x:c>
      <x:c r="M24" s="173" t="n">
        <x:v>63000</x:v>
      </x:c>
      <x:c r="N24" s="151" t="str">
        <x:v>Yes</x:v>
      </x:c>
      <x:c r="O24" s="161" t="n">
        <x:v>0.09</x:v>
      </x:c>
      <x:c r="P24" s="161" t="n">
        <x:f>J24/SUM($J$6:$J$35)</x:f>
        <x:v>0.09099969666767778</x:v>
      </x:c>
      <x:c r="Q24" s="151" t="str">
        <x:v>https://www.bcie.org/api/documents/26127/BCIE%20Presentaci%C3%B3n%20Institucional%20Cifras%20Diciembre%202024.pdf</x:v>
      </x:c>
      <x:c r="R24" s="151" t="str">
        <x:v>Capital structure table, p. 14</x:v>
      </x:c>
      <x:c r="S24" s="151" t="str">
        <x:v>A/B capital share; one vote per share.</x:v>
      </x:c>
    </x:row>
    <x:row r="25">
      <x:c r="A25" s="151" t="str">
        <x:v>cabei</x:v>
      </x:c>
      <x:c r="B25" s="151" t="str">
        <x:v>Central American Bank for Economic Integration</x:v>
      </x:c>
      <x:c r="C25" s="171" t="n">
        <x:v>45657</x:v>
      </x:c>
      <x:c r="D25" s="151" t="str">
        <x:v>Korea, Republic of</x:v>
      </x:c>
      <x:c r="E25" s="151" t="str">
        <x:v>Korea, Republic of</x:v>
      </x:c>
      <x:c r="F25" s="151" t="str">
        <x:v>Non-regional</x:v>
      </x:c>
      <x:c r="G25" s="151" t="str">
        <x:v>C</x:v>
      </x:c>
      <x:c r="H25" s="173" t="n">
        <x:v>8177</x:v>
      </x:c>
      <x:c r="I25" s="173" t="n">
        <x:v>0</x:v>
      </x:c>
      <x:c r="J25" s="173" t="n">
        <x:v>0</x:v>
      </x:c>
      <x:c r="K25" s="173" t="n">
        <x:v>0</x:v>
      </x:c>
      <x:c r="L25" s="173" t="n">
        <x:v>0</x:v>
      </x:c>
      <x:c r="M25" s="173" t="n">
        <x:v>8177</x:v>
      </x:c>
      <x:c r="N25" s="151" t="str">
        <x:v>Yes</x:v>
      </x:c>
      <x:c r="O25" s="161"/>
      <x:c r="P25" s="161" t="n">
        <x:f>J25/SUM($J$6:$J$35)</x:f>
        <x:v>0</x:v>
      </x:c>
      <x:c r="Q25" s="151" t="str">
        <x:v>https://www.bcie.org/api/documents/26127/BCIE%20Presentaci%C3%B3n%20Institucional%20Cifras%20Diciembre%202024.pdf</x:v>
      </x:c>
      <x:c r="R25" s="151" t="str">
        <x:v>Capital structure table, p. 14</x:v>
      </x:c>
      <x:c r="S25" s="151" t="str">
        <x:v>Series C has zero face value and one vote per share.</x:v>
      </x:c>
    </x:row>
    <x:row r="26">
      <x:c r="A26" s="151" t="str">
        <x:v>cabei</x:v>
      </x:c>
      <x:c r="B26" s="151" t="str">
        <x:v>Central American Bank for Economic Integration</x:v>
      </x:c>
      <x:c r="C26" s="171" t="n">
        <x:v>45657</x:v>
      </x:c>
      <x:c r="D26" s="151" t="str">
        <x:v>Mexico</x:v>
      </x:c>
      <x:c r="E26" s="151" t="str">
        <x:v>Mexico</x:v>
      </x:c>
      <x:c r="F26" s="151" t="str">
        <x:v>Non-regional</x:v>
      </x:c>
      <x:c r="G26" s="151" t="str">
        <x:v>B</x:v>
      </x:c>
      <x:c r="H26" s="173" t="n">
        <x:v>30625</x:v>
      </x:c>
      <x:c r="I26" s="173" t="n">
        <x:v>10000</x:v>
      </x:c>
      <x:c r="J26" s="173" t="n">
        <x:v>306250000</x:v>
      </x:c>
      <x:c r="K26" s="173" t="n">
        <x:v>229687500</x:v>
      </x:c>
      <x:c r="L26" s="173" t="n">
        <x:v>76562500</x:v>
      </x:c>
      <x:c r="M26" s="173" t="n">
        <x:v>30625</x:v>
      </x:c>
      <x:c r="N26" s="151" t="str">
        <x:v>Yes</x:v>
      </x:c>
      <x:c r="O26" s="161" t="n">
        <x:v>0.0438</x:v>
      </x:c>
      <x:c r="P26" s="161" t="n">
        <x:f>J26/SUM($J$6:$J$35)</x:f>
        <x:v>0.04423596365789892</x:v>
      </x:c>
      <x:c r="Q26" s="151" t="str">
        <x:v>https://www.bcie.org/api/documents/26127/BCIE%20Presentaci%C3%B3n%20Institucional%20Cifras%20Diciembre%202024.pdf</x:v>
      </x:c>
      <x:c r="R26" s="151" t="str">
        <x:v>Capital structure table, p. 14</x:v>
      </x:c>
      <x:c r="S26" s="151" t="str">
        <x:v>A/B capital share; one vote per share.</x:v>
      </x:c>
    </x:row>
    <x:row r="27">
      <x:c r="A27" s="151" t="str">
        <x:v>cabei</x:v>
      </x:c>
      <x:c r="B27" s="151" t="str">
        <x:v>Central American Bank for Economic Integration</x:v>
      </x:c>
      <x:c r="C27" s="171" t="n">
        <x:v>45657</x:v>
      </x:c>
      <x:c r="D27" s="151" t="str">
        <x:v>Mexico</x:v>
      </x:c>
      <x:c r="E27" s="151" t="str">
        <x:v>Mexico</x:v>
      </x:c>
      <x:c r="F27" s="151" t="str">
        <x:v>Non-regional</x:v>
      </x:c>
      <x:c r="G27" s="151" t="str">
        <x:v>C</x:v>
      </x:c>
      <x:c r="H27" s="173" t="n">
        <x:v>16031</x:v>
      </x:c>
      <x:c r="I27" s="173" t="n">
        <x:v>0</x:v>
      </x:c>
      <x:c r="J27" s="173" t="n">
        <x:v>0</x:v>
      </x:c>
      <x:c r="K27" s="173" t="n">
        <x:v>0</x:v>
      </x:c>
      <x:c r="L27" s="173" t="n">
        <x:v>0</x:v>
      </x:c>
      <x:c r="M27" s="173" t="n">
        <x:v>16031</x:v>
      </x:c>
      <x:c r="N27" s="151" t="str">
        <x:v>Yes</x:v>
      </x:c>
      <x:c r="O27" s="161"/>
      <x:c r="P27" s="161" t="n">
        <x:f>J27/SUM($J$6:$J$35)</x:f>
        <x:v>0</x:v>
      </x:c>
      <x:c r="Q27" s="151" t="str">
        <x:v>https://www.bcie.org/api/documents/26127/BCIE%20Presentaci%C3%B3n%20Institucional%20Cifras%20Diciembre%202024.pdf</x:v>
      </x:c>
      <x:c r="R27" s="151" t="str">
        <x:v>Capital structure table, p. 14</x:v>
      </x:c>
      <x:c r="S27" s="151" t="str">
        <x:v>Series C has zero face value and one vote per share.</x:v>
      </x:c>
    </x:row>
    <x:row r="28">
      <x:c r="A28" s="151" t="str">
        <x:v>cabei</x:v>
      </x:c>
      <x:c r="B28" s="151" t="str">
        <x:v>Central American Bank for Economic Integration</x:v>
      </x:c>
      <x:c r="C28" s="171" t="n">
        <x:v>45657</x:v>
      </x:c>
      <x:c r="D28" s="151" t="str">
        <x:v>Argentina</x:v>
      </x:c>
      <x:c r="E28" s="151" t="str">
        <x:v>Argentina</x:v>
      </x:c>
      <x:c r="F28" s="151" t="str">
        <x:v>Non-regional</x:v>
      </x:c>
      <x:c r="G28" s="151" t="str">
        <x:v>B</x:v>
      </x:c>
      <x:c r="H28" s="173" t="n">
        <x:v>34580</x:v>
      </x:c>
      <x:c r="I28" s="173" t="n">
        <x:v>10000</x:v>
      </x:c>
      <x:c r="J28" s="173" t="n">
        <x:v>345800000</x:v>
      </x:c>
      <x:c r="K28" s="173" t="n">
        <x:v>259350000</x:v>
      </x:c>
      <x:c r="L28" s="173" t="n">
        <x:v>86450000</x:v>
      </x:c>
      <x:c r="M28" s="173" t="n">
        <x:v>34580</x:v>
      </x:c>
      <x:c r="N28" s="151" t="str">
        <x:v>Yes</x:v>
      </x:c>
      <x:c r="O28" s="161" t="n">
        <x:v>0.0494</x:v>
      </x:c>
      <x:c r="P28" s="161" t="n">
        <x:f>J28/SUM($J$6:$J$35)</x:f>
        <x:v>0.04994872239314758</x:v>
      </x:c>
      <x:c r="Q28" s="151" t="str">
        <x:v>https://www.bcie.org/api/documents/26127/BCIE%20Presentaci%C3%B3n%20Institucional%20Cifras%20Diciembre%202024.pdf</x:v>
      </x:c>
      <x:c r="R28" s="151" t="str">
        <x:v>Capital structure table, p. 14</x:v>
      </x:c>
      <x:c r="S28" s="151" t="str">
        <x:v>A/B capital share; one vote per share.</x:v>
      </x:c>
    </x:row>
    <x:row r="29">
      <x:c r="A29" s="151" t="str">
        <x:v>cabei</x:v>
      </x:c>
      <x:c r="B29" s="151" t="str">
        <x:v>Central American Bank for Economic Integration</x:v>
      </x:c>
      <x:c r="C29" s="171" t="n">
        <x:v>45657</x:v>
      </x:c>
      <x:c r="D29" s="151" t="str">
        <x:v>Argentina</x:v>
      </x:c>
      <x:c r="E29" s="151" t="str">
        <x:v>Argentina</x:v>
      </x:c>
      <x:c r="F29" s="151" t="str">
        <x:v>Non-regional</x:v>
      </x:c>
      <x:c r="G29" s="151" t="str">
        <x:v>C</x:v>
      </x:c>
      <x:c r="H29" s="173" t="n">
        <x:v>9292</x:v>
      </x:c>
      <x:c r="I29" s="173" t="n">
        <x:v>0</x:v>
      </x:c>
      <x:c r="J29" s="173" t="n">
        <x:v>0</x:v>
      </x:c>
      <x:c r="K29" s="173" t="n">
        <x:v>0</x:v>
      </x:c>
      <x:c r="L29" s="173" t="n">
        <x:v>0</x:v>
      </x:c>
      <x:c r="M29" s="173" t="n">
        <x:v>9292</x:v>
      </x:c>
      <x:c r="N29" s="151" t="str">
        <x:v>Yes</x:v>
      </x:c>
      <x:c r="O29" s="161"/>
      <x:c r="P29" s="161" t="n">
        <x:f>J29/SUM($J$6:$J$35)</x:f>
        <x:v>0</x:v>
      </x:c>
      <x:c r="Q29" s="151" t="str">
        <x:v>https://www.bcie.org/api/documents/26127/BCIE%20Presentaci%C3%B3n%20Institucional%20Cifras%20Diciembre%202024.pdf</x:v>
      </x:c>
      <x:c r="R29" s="151" t="str">
        <x:v>Capital structure table, p. 14</x:v>
      </x:c>
      <x:c r="S29" s="151" t="str">
        <x:v>Series C has zero face value and one vote per share.</x:v>
      </x:c>
    </x:row>
    <x:row r="30">
      <x:c r="A30" s="151" t="str">
        <x:v>cabei</x:v>
      </x:c>
      <x:c r="B30" s="151" t="str">
        <x:v>Central American Bank for Economic Integration</x:v>
      </x:c>
      <x:c r="C30" s="171" t="n">
        <x:v>45657</x:v>
      </x:c>
      <x:c r="D30" s="151" t="str">
        <x:v>Spain</x:v>
      </x:c>
      <x:c r="E30" s="151" t="str">
        <x:v>Spain</x:v>
      </x:c>
      <x:c r="F30" s="151" t="str">
        <x:v>Non-regional</x:v>
      </x:c>
      <x:c r="G30" s="151" t="str">
        <x:v>B</x:v>
      </x:c>
      <x:c r="H30" s="173" t="n">
        <x:v>28000</x:v>
      </x:c>
      <x:c r="I30" s="173" t="n">
        <x:v>10000</x:v>
      </x:c>
      <x:c r="J30" s="173" t="n">
        <x:v>280000000</x:v>
      </x:c>
      <x:c r="K30" s="173" t="n">
        <x:v>210000000</x:v>
      </x:c>
      <x:c r="L30" s="173" t="n">
        <x:v>70000000</x:v>
      </x:c>
      <x:c r="M30" s="173" t="n">
        <x:v>28000</x:v>
      </x:c>
      <x:c r="N30" s="151" t="str">
        <x:v>Yes</x:v>
      </x:c>
      <x:c r="O30" s="161" t="n">
        <x:v>0.04</x:v>
      </x:c>
      <x:c r="P30" s="161" t="n">
        <x:f>J30/SUM($J$6:$J$35)</x:f>
        <x:v>0.04044430963007901</x:v>
      </x:c>
      <x:c r="Q30" s="151" t="str">
        <x:v>https://www.bcie.org/api/documents/26127/BCIE%20Presentaci%C3%B3n%20Institucional%20Cifras%20Diciembre%202024.pdf</x:v>
      </x:c>
      <x:c r="R30" s="151" t="str">
        <x:v>Capital structure table, p. 14</x:v>
      </x:c>
      <x:c r="S30" s="151" t="str">
        <x:v>A/B capital share; one vote per share.</x:v>
      </x:c>
    </x:row>
    <x:row r="31">
      <x:c r="A31" s="151" t="str">
        <x:v>cabei</x:v>
      </x:c>
      <x:c r="B31" s="151" t="str">
        <x:v>Central American Bank for Economic Integration</x:v>
      </x:c>
      <x:c r="C31" s="171" t="n">
        <x:v>45657</x:v>
      </x:c>
      <x:c r="D31" s="151" t="str">
        <x:v>Spain</x:v>
      </x:c>
      <x:c r="E31" s="151" t="str">
        <x:v>Spain</x:v>
      </x:c>
      <x:c r="F31" s="151" t="str">
        <x:v>Non-regional</x:v>
      </x:c>
      <x:c r="G31" s="151" t="str">
        <x:v>C</x:v>
      </x:c>
      <x:c r="H31" s="173" t="n">
        <x:v>11277</x:v>
      </x:c>
      <x:c r="I31" s="173" t="n">
        <x:v>0</x:v>
      </x:c>
      <x:c r="J31" s="173" t="n">
        <x:v>0</x:v>
      </x:c>
      <x:c r="K31" s="173" t="n">
        <x:v>0</x:v>
      </x:c>
      <x:c r="L31" s="173" t="n">
        <x:v>0</x:v>
      </x:c>
      <x:c r="M31" s="173" t="n">
        <x:v>11277</x:v>
      </x:c>
      <x:c r="N31" s="151" t="str">
        <x:v>Yes</x:v>
      </x:c>
      <x:c r="O31" s="161"/>
      <x:c r="P31" s="161" t="n">
        <x:f>J31/SUM($J$6:$J$35)</x:f>
        <x:v>0</x:v>
      </x:c>
      <x:c r="Q31" s="151" t="str">
        <x:v>https://www.bcie.org/api/documents/26127/BCIE%20Presentaci%C3%B3n%20Institucional%20Cifras%20Diciembre%202024.pdf</x:v>
      </x:c>
      <x:c r="R31" s="151" t="str">
        <x:v>Capital structure table, p. 14</x:v>
      </x:c>
      <x:c r="S31" s="151" t="str">
        <x:v>Series C has zero face value and one vote per share.</x:v>
      </x:c>
    </x:row>
    <x:row r="32">
      <x:c r="A32" s="151" t="str">
        <x:v>cabei</x:v>
      </x:c>
      <x:c r="B32" s="151" t="str">
        <x:v>Central American Bank for Economic Integration</x:v>
      </x:c>
      <x:c r="C32" s="171" t="n">
        <x:v>45657</x:v>
      </x:c>
      <x:c r="D32" s="151" t="str">
        <x:v>Colombia</x:v>
      </x:c>
      <x:c r="E32" s="151" t="str">
        <x:v>Colombia</x:v>
      </x:c>
      <x:c r="F32" s="151" t="str">
        <x:v>Non-regional</x:v>
      </x:c>
      <x:c r="G32" s="151" t="str">
        <x:v>B</x:v>
      </x:c>
      <x:c r="H32" s="173" t="n">
        <x:v>20300</x:v>
      </x:c>
      <x:c r="I32" s="173" t="n">
        <x:v>10000</x:v>
      </x:c>
      <x:c r="J32" s="173" t="n">
        <x:v>203000000</x:v>
      </x:c>
      <x:c r="K32" s="173" t="n">
        <x:v>152250000</x:v>
      </x:c>
      <x:c r="L32" s="173" t="n">
        <x:v>50750000</x:v>
      </x:c>
      <x:c r="M32" s="173" t="n">
        <x:v>20300</x:v>
      </x:c>
      <x:c r="N32" s="151" t="str">
        <x:v>Yes</x:v>
      </x:c>
      <x:c r="O32" s="161" t="n">
        <x:v>0.029</x:v>
      </x:c>
      <x:c r="P32" s="161" t="n">
        <x:f>J32/SUM($J$6:$J$35)</x:f>
        <x:v>0.029322124481807283</x:v>
      </x:c>
      <x:c r="Q32" s="151" t="str">
        <x:v>https://www.bcie.org/api/documents/26127/BCIE%20Presentaci%C3%B3n%20Institucional%20Cifras%20Diciembre%202024.pdf</x:v>
      </x:c>
      <x:c r="R32" s="151" t="str">
        <x:v>Capital structure table, p. 14</x:v>
      </x:c>
      <x:c r="S32" s="151" t="str">
        <x:v>A/B capital share; one vote per share.</x:v>
      </x:c>
    </x:row>
    <x:row r="33">
      <x:c r="A33" s="151" t="str">
        <x:v>cabei</x:v>
      </x:c>
      <x:c r="B33" s="151" t="str">
        <x:v>Central American Bank for Economic Integration</x:v>
      </x:c>
      <x:c r="C33" s="171" t="n">
        <x:v>45657</x:v>
      </x:c>
      <x:c r="D33" s="151" t="str">
        <x:v>Colombia</x:v>
      </x:c>
      <x:c r="E33" s="151" t="str">
        <x:v>Colombia</x:v>
      </x:c>
      <x:c r="F33" s="151" t="str">
        <x:v>Non-regional</x:v>
      </x:c>
      <x:c r="G33" s="151" t="str">
        <x:v>C</x:v>
      </x:c>
      <x:c r="H33" s="173" t="n">
        <x:v>8149</x:v>
      </x:c>
      <x:c r="I33" s="173" t="n">
        <x:v>0</x:v>
      </x:c>
      <x:c r="J33" s="173" t="n">
        <x:v>0</x:v>
      </x:c>
      <x:c r="K33" s="173" t="n">
        <x:v>0</x:v>
      </x:c>
      <x:c r="L33" s="173" t="n">
        <x:v>0</x:v>
      </x:c>
      <x:c r="M33" s="173" t="n">
        <x:v>8149</x:v>
      </x:c>
      <x:c r="N33" s="151" t="str">
        <x:v>Yes</x:v>
      </x:c>
      <x:c r="O33" s="161"/>
      <x:c r="P33" s="161" t="n">
        <x:f>J33/SUM($J$6:$J$35)</x:f>
        <x:v>0</x:v>
      </x:c>
      <x:c r="Q33" s="151" t="str">
        <x:v>https://www.bcie.org/api/documents/26127/BCIE%20Presentaci%C3%B3n%20Institucional%20Cifras%20Diciembre%202024.pdf</x:v>
      </x:c>
      <x:c r="R33" s="151" t="str">
        <x:v>Capital structure table, p. 14</x:v>
      </x:c>
      <x:c r="S33" s="151" t="str">
        <x:v>Series C has zero face value and one vote per share.</x:v>
      </x:c>
    </x:row>
    <x:row r="34">
      <x:c r="A34" s="151" t="str">
        <x:v>cabei</x:v>
      </x:c>
      <x:c r="B34" s="151" t="str">
        <x:v>Central American Bank for Economic Integration</x:v>
      </x:c>
      <x:c r="C34" s="171" t="n">
        <x:v>45657</x:v>
      </x:c>
      <x:c r="D34" s="151" t="str">
        <x:v>Cuba</x:v>
      </x:c>
      <x:c r="E34" s="151" t="str">
        <x:v>Cuba</x:v>
      </x:c>
      <x:c r="F34" s="151" t="str">
        <x:v>Non-regional</x:v>
      </x:c>
      <x:c r="G34" s="151" t="str">
        <x:v>B</x:v>
      </x:c>
      <x:c r="H34" s="173" t="n">
        <x:v>5000</x:v>
      </x:c>
      <x:c r="I34" s="173" t="n">
        <x:v>10000</x:v>
      </x:c>
      <x:c r="J34" s="173" t="n">
        <x:v>50000000</x:v>
      </x:c>
      <x:c r="K34" s="173" t="n">
        <x:v>37500000</x:v>
      </x:c>
      <x:c r="L34" s="173" t="n">
        <x:v>12500000</x:v>
      </x:c>
      <x:c r="M34" s="173" t="n">
        <x:v>5000</x:v>
      </x:c>
      <x:c r="N34" s="151" t="str">
        <x:v>Yes</x:v>
      </x:c>
      <x:c r="O34" s="161" t="n">
        <x:v>0.0071</x:v>
      </x:c>
      <x:c r="P34" s="161" t="n">
        <x:f>J34/SUM($J$6:$J$35)</x:f>
        <x:v>0.007222198148228395</x:v>
      </x:c>
      <x:c r="Q34" s="151" t="str">
        <x:v>https://www.bcie.org/api/documents/26127/BCIE%20Presentaci%C3%B3n%20Institucional%20Cifras%20Diciembre%202024.pdf</x:v>
      </x:c>
      <x:c r="R34" s="151" t="str">
        <x:v>Capital structure table, p. 14</x:v>
      </x:c>
      <x:c r="S34" s="151" t="str">
        <x:v>A/B capital share; one vote per share.</x:v>
      </x:c>
    </x:row>
    <x:row r="35">
      <x:c r="A35" s="151" t="str">
        <x:v>cabei</x:v>
      </x:c>
      <x:c r="B35" s="151" t="str">
        <x:v>Central American Bank for Economic Integration</x:v>
      </x:c>
      <x:c r="C35" s="171" t="n">
        <x:v>45657</x:v>
      </x:c>
      <x:c r="D35" s="151" t="str">
        <x:v>Cuba</x:v>
      </x:c>
      <x:c r="E35" s="151" t="str">
        <x:v>Cuba</x:v>
      </x:c>
      <x:c r="F35" s="151" t="str">
        <x:v>Non-regional</x:v>
      </x:c>
      <x:c r="G35" s="151" t="str">
        <x:v>C</x:v>
      </x:c>
      <x:c r="H35" s="173" t="n">
        <x:v>1011</x:v>
      </x:c>
      <x:c r="I35" s="173" t="n">
        <x:v>0</x:v>
      </x:c>
      <x:c r="J35" s="173" t="n">
        <x:v>0</x:v>
      </x:c>
      <x:c r="K35" s="173" t="n">
        <x:v>0</x:v>
      </x:c>
      <x:c r="L35" s="173" t="n">
        <x:v>0</x:v>
      </x:c>
      <x:c r="M35" s="173" t="n">
        <x:v>1011</x:v>
      </x:c>
      <x:c r="N35" s="151" t="str">
        <x:v>Yes</x:v>
      </x:c>
      <x:c r="O35" s="161"/>
      <x:c r="P35" s="161" t="n">
        <x:f>J35/SUM($J$6:$J$35)</x:f>
        <x:v>0</x:v>
      </x:c>
      <x:c r="Q35" s="151" t="str">
        <x:v>https://www.bcie.org/api/documents/26127/BCIE%20Presentaci%C3%B3n%20Institucional%20Cifras%20Diciembre%202024.pdf</x:v>
      </x:c>
      <x:c r="R35" s="151" t="str">
        <x:v>Capital structure table, p. 14</x:v>
      </x:c>
      <x:c r="S35" s="151" t="str">
        <x:v>Series C has zero face value and one vote per share.</x:v>
      </x:c>
    </x:row>
    <x:row r="36">
      <x:c r="A36" s="151" t="str">
        <x:v>caf</x:v>
      </x:c>
      <x:c r="B36" s="151" t="str">
        <x:v>Development Bank of Latin America and the Caribbean</x:v>
      </x:c>
      <x:c r="C36" s="171" t="n">
        <x:v>45657</x:v>
      </x:c>
      <x:c r="D36" s="151" t="str">
        <x:v>Peru</x:v>
      </x:c>
      <x:c r="E36" s="151" t="str">
        <x:v>Peru</x:v>
      </x:c>
      <x:c r="F36" s="151" t="str">
        <x:v>Full member (Series A/B)</x:v>
      </x:c>
      <x:c r="G36" s="151" t="str">
        <x:v>A/B aggregate</x:v>
      </x:c>
      <x:c r="H36" s="173"/>
      <x:c r="I36" s="173"/>
      <x:c r="J36" s="173"/>
      <x:c r="K36" s="173"/>
      <x:c r="L36" s="173"/>
      <x:c r="M36" s="173" t="n">
        <x:v>2</x:v>
      </x:c>
      <x:c r="N36" s="151" t="str">
        <x:v>Yes</x:v>
      </x:c>
      <x:c r="O36" s="161" t="n">
        <x:v>0.16699999999999998</x:v>
      </x:c>
      <x:c r="P36" s="161" t="n">
        <x:f>O36/SUM($O$36:$O$58)</x:f>
        <x:v>0.16741854636591472</x:v>
      </x:c>
      <x:c r="Q36" s="151" t="str">
        <x:v>https://www.caf.com/media/4675803/2412-caf-investor-presentation-wp.pdf</x:v>
      </x:c>
      <x:c r="R36" s="151" t="str">
        <x:v>Investor presentation, figures as of 31 Dec 2024</x:v>
      </x:c>
      <x:c r="S36" s="151" t="str">
        <x:v>Rounded capital percentage; normalized in column P. Board allocation: one Series A seat plus one Series C seat in the year-end 2024 reconstruction.</x:v>
      </x:c>
    </x:row>
    <x:row r="37">
      <x:c r="A37" s="151" t="str">
        <x:v>caf</x:v>
      </x:c>
      <x:c r="B37" s="151" t="str">
        <x:v>Development Bank of Latin America and the Caribbean</x:v>
      </x:c>
      <x:c r="C37" s="171" t="n">
        <x:v>45657</x:v>
      </x:c>
      <x:c r="D37" s="151" t="str">
        <x:v>Colombia</x:v>
      </x:c>
      <x:c r="E37" s="151" t="str">
        <x:v>Colombia</x:v>
      </x:c>
      <x:c r="F37" s="151" t="str">
        <x:v>Full member (Series A/B)</x:v>
      </x:c>
      <x:c r="G37" s="151" t="str">
        <x:v>A/B aggregate</x:v>
      </x:c>
      <x:c r="H37" s="173"/>
      <x:c r="I37" s="173"/>
      <x:c r="J37" s="173"/>
      <x:c r="K37" s="173"/>
      <x:c r="L37" s="173"/>
      <x:c r="M37" s="173" t="n">
        <x:v>2</x:v>
      </x:c>
      <x:c r="N37" s="151" t="str">
        <x:v>Yes</x:v>
      </x:c>
      <x:c r="O37" s="161" t="n">
        <x:v>0.16699999999999998</x:v>
      </x:c>
      <x:c r="P37" s="161" t="n">
        <x:f>O37/SUM($O$36:$O$58)</x:f>
        <x:v>0.16741854636591472</x:v>
      </x:c>
      <x:c r="Q37" s="151" t="str">
        <x:v>https://www.caf.com/media/4675803/2412-caf-investor-presentation-wp.pdf</x:v>
      </x:c>
      <x:c r="R37" s="151" t="str">
        <x:v>Investor presentation, figures as of 31 Dec 2024</x:v>
      </x:c>
      <x:c r="S37" s="151" t="str">
        <x:v>Rounded capital percentage; normalized in column P. Board allocation: one Series A seat plus one Series C seat in the year-end 2024 reconstruction.</x:v>
      </x:c>
    </x:row>
    <x:row r="38">
      <x:c r="A38" s="151" t="str">
        <x:v>caf</x:v>
      </x:c>
      <x:c r="B38" s="151" t="str">
        <x:v>Development Bank of Latin America and the Caribbean</x:v>
      </x:c>
      <x:c r="C38" s="171" t="n">
        <x:v>45657</x:v>
      </x:c>
      <x:c r="D38" s="151" t="str">
        <x:v>Argentina</x:v>
      </x:c>
      <x:c r="E38" s="151" t="str">
        <x:v>Argentina</x:v>
      </x:c>
      <x:c r="F38" s="151" t="str">
        <x:v>Full member (Series A/B)</x:v>
      </x:c>
      <x:c r="G38" s="151" t="str">
        <x:v>A/B aggregate</x:v>
      </x:c>
      <x:c r="H38" s="173"/>
      <x:c r="I38" s="173"/>
      <x:c r="J38" s="173"/>
      <x:c r="K38" s="173"/>
      <x:c r="L38" s="173"/>
      <x:c r="M38" s="173" t="n">
        <x:v>1</x:v>
      </x:c>
      <x:c r="N38" s="151" t="str">
        <x:v>Yes</x:v>
      </x:c>
      <x:c r="O38" s="161" t="n">
        <x:v>0.115</x:v>
      </x:c>
      <x:c r="P38" s="161" t="n">
        <x:f>O38/SUM($O$36:$O$58)</x:f>
        <x:v>0.11528822055137843</x:v>
      </x:c>
      <x:c r="Q38" s="151" t="str">
        <x:v>https://www.caf.com/media/4675803/2412-caf-investor-presentation-wp.pdf</x:v>
      </x:c>
      <x:c r="R38" s="151" t="str">
        <x:v>Investor presentation, figures as of 31 Dec 2024</x:v>
      </x:c>
      <x:c r="S38" s="151" t="str">
        <x:v>Rounded capital percentage; normalized in column P. Board allocation: one Series A seat in the year-end 2024 reconstruction.</x:v>
      </x:c>
    </x:row>
    <x:row r="39">
      <x:c r="A39" s="151" t="str">
        <x:v>caf</x:v>
      </x:c>
      <x:c r="B39" s="151" t="str">
        <x:v>Development Bank of Latin America and the Caribbean</x:v>
      </x:c>
      <x:c r="C39" s="171" t="n">
        <x:v>45657</x:v>
      </x:c>
      <x:c r="D39" s="151" t="str">
        <x:v>Brazil</x:v>
      </x:c>
      <x:c r="E39" s="151" t="str">
        <x:v>Brazil</x:v>
      </x:c>
      <x:c r="F39" s="151" t="str">
        <x:v>Full member (Series A/B)</x:v>
      </x:c>
      <x:c r="G39" s="151" t="str">
        <x:v>A/B aggregate</x:v>
      </x:c>
      <x:c r="H39" s="173"/>
      <x:c r="I39" s="173"/>
      <x:c r="J39" s="173"/>
      <x:c r="K39" s="173"/>
      <x:c r="L39" s="173"/>
      <x:c r="M39" s="173" t="n">
        <x:v>1</x:v>
      </x:c>
      <x:c r="N39" s="151" t="str">
        <x:v>Yes</x:v>
      </x:c>
      <x:c r="O39" s="161" t="n">
        <x:v>0.078</x:v>
      </x:c>
      <x:c r="P39" s="161" t="n">
        <x:f>O39/SUM($O$36:$O$58)</x:f>
        <x:v>0.07819548872180448</x:v>
      </x:c>
      <x:c r="Q39" s="151" t="str">
        <x:v>https://www.caf.com/media/4675803/2412-caf-investor-presentation-wp.pdf</x:v>
      </x:c>
      <x:c r="R39" s="151" t="str">
        <x:v>Investor presentation, figures as of 31 Dec 2024</x:v>
      </x:c>
      <x:c r="S39" s="151" t="str">
        <x:v>Rounded capital percentage; normalized in column P. Board allocation: one Series A seat in the year-end 2024 reconstruction.</x:v>
      </x:c>
    </x:row>
    <x:row r="40">
      <x:c r="A40" s="151" t="str">
        <x:v>caf</x:v>
      </x:c>
      <x:c r="B40" s="151" t="str">
        <x:v>Development Bank of Latin America and the Caribbean</x:v>
      </x:c>
      <x:c r="C40" s="171" t="n">
        <x:v>45657</x:v>
      </x:c>
      <x:c r="D40" s="151" t="str">
        <x:v>Chile</x:v>
      </x:c>
      <x:c r="E40" s="151" t="str">
        <x:v>Chile</x:v>
      </x:c>
      <x:c r="F40" s="151" t="str">
        <x:v>Full member (Series A/B)</x:v>
      </x:c>
      <x:c r="G40" s="151" t="str">
        <x:v>A/B aggregate</x:v>
      </x:c>
      <x:c r="H40" s="173"/>
      <x:c r="I40" s="173"/>
      <x:c r="J40" s="173"/>
      <x:c r="K40" s="173"/>
      <x:c r="L40" s="173"/>
      <x:c r="M40" s="173" t="n">
        <x:v>1</x:v>
      </x:c>
      <x:c r="N40" s="151" t="str">
        <x:v>Yes</x:v>
      </x:c>
      <x:c r="O40" s="161" t="n">
        <x:v>0.066</x:v>
      </x:c>
      <x:c r="P40" s="161" t="n">
        <x:f>O40/SUM($O$36:$O$58)</x:f>
        <x:v>0.06616541353383457</x:v>
      </x:c>
      <x:c r="Q40" s="151" t="str">
        <x:v>https://www.caf.com/media/4675803/2412-caf-investor-presentation-wp.pdf</x:v>
      </x:c>
      <x:c r="R40" s="151" t="str">
        <x:v>Investor presentation, figures as of 31 Dec 2024</x:v>
      </x:c>
      <x:c r="S40" s="151" t="str">
        <x:v>Rounded capital percentage; normalized in column P. Board allocation: one Series A seat in the year-end 2024 reconstruction.</x:v>
      </x:c>
    </x:row>
    <x:row r="41">
      <x:c r="A41" s="151" t="str">
        <x:v>caf</x:v>
      </x:c>
      <x:c r="B41" s="151" t="str">
        <x:v>Development Bank of Latin America and the Caribbean</x:v>
      </x:c>
      <x:c r="C41" s="171" t="n">
        <x:v>45657</x:v>
      </x:c>
      <x:c r="D41" s="151" t="str">
        <x:v>Ecuador</x:v>
      </x:c>
      <x:c r="E41" s="151" t="str">
        <x:v>Ecuador</x:v>
      </x:c>
      <x:c r="F41" s="151" t="str">
        <x:v>Full member (Series A/B)</x:v>
      </x:c>
      <x:c r="G41" s="151" t="str">
        <x:v>A/B aggregate</x:v>
      </x:c>
      <x:c r="H41" s="173"/>
      <x:c r="I41" s="173"/>
      <x:c r="J41" s="173"/>
      <x:c r="K41" s="173"/>
      <x:c r="L41" s="173"/>
      <x:c r="M41" s="173" t="n">
        <x:v>2</x:v>
      </x:c>
      <x:c r="N41" s="151" t="str">
        <x:v>Yes</x:v>
      </x:c>
      <x:c r="O41" s="161" t="n">
        <x:v>0.051</x:v>
      </x:c>
      <x:c r="P41" s="161" t="n">
        <x:f>O41/SUM($O$36:$O$58)</x:f>
        <x:v>0.05112781954887216</x:v>
      </x:c>
      <x:c r="Q41" s="151" t="str">
        <x:v>https://www.caf.com/media/4675803/2412-caf-investor-presentation-wp.pdf</x:v>
      </x:c>
      <x:c r="R41" s="151" t="str">
        <x:v>Investor presentation, figures as of 31 Dec 2024</x:v>
      </x:c>
      <x:c r="S41" s="151" t="str">
        <x:v>Rounded capital percentage; normalized in column P. Board allocation: one Series A seat plus one Series B seat in the year-end 2024 reconstruction.</x:v>
      </x:c>
    </x:row>
    <x:row r="42">
      <x:c r="A42" s="151" t="str">
        <x:v>caf</x:v>
      </x:c>
      <x:c r="B42" s="151" t="str">
        <x:v>Development Bank of Latin America and the Caribbean</x:v>
      </x:c>
      <x:c r="C42" s="171" t="n">
        <x:v>45657</x:v>
      </x:c>
      <x:c r="D42" s="151" t="str">
        <x:v>Bolivia</x:v>
      </x:c>
      <x:c r="E42" s="151" t="str">
        <x:v>Bolivia</x:v>
      </x:c>
      <x:c r="F42" s="151" t="str">
        <x:v>Full member (Series A/B)</x:v>
      </x:c>
      <x:c r="G42" s="151" t="str">
        <x:v>A/B aggregate</x:v>
      </x:c>
      <x:c r="H42" s="173"/>
      <x:c r="I42" s="173"/>
      <x:c r="J42" s="173"/>
      <x:c r="K42" s="173"/>
      <x:c r="L42" s="173"/>
      <x:c r="M42" s="173" t="n">
        <x:v>2</x:v>
      </x:c>
      <x:c r="N42" s="151" t="str">
        <x:v>Yes</x:v>
      </x:c>
      <x:c r="O42" s="161" t="n">
        <x:v>0.051</x:v>
      </x:c>
      <x:c r="P42" s="161" t="n">
        <x:f>O42/SUM($O$36:$O$58)</x:f>
        <x:v>0.05112781954887216</x:v>
      </x:c>
      <x:c r="Q42" s="151" t="str">
        <x:v>https://www.caf.com/media/4675803/2412-caf-investor-presentation-wp.pdf</x:v>
      </x:c>
      <x:c r="R42" s="151" t="str">
        <x:v>Investor presentation, figures as of 31 Dec 2024</x:v>
      </x:c>
      <x:c r="S42" s="151" t="str">
        <x:v>Rounded capital percentage; normalized in column P. Board allocation: one Series A seat plus one Series B seat in the year-end 2024 reconstruction.</x:v>
      </x:c>
    </x:row>
    <x:row r="43">
      <x:c r="A43" s="151" t="str">
        <x:v>caf</x:v>
      </x:c>
      <x:c r="B43" s="151" t="str">
        <x:v>Development Bank of Latin America and the Caribbean</x:v>
      </x:c>
      <x:c r="C43" s="171" t="n">
        <x:v>45657</x:v>
      </x:c>
      <x:c r="D43" s="151" t="str">
        <x:v>Panama</x:v>
      </x:c>
      <x:c r="E43" s="151" t="str">
        <x:v>Panama</x:v>
      </x:c>
      <x:c r="F43" s="151" t="str">
        <x:v>Full member (Series A/B)</x:v>
      </x:c>
      <x:c r="G43" s="151" t="str">
        <x:v>A/B aggregate</x:v>
      </x:c>
      <x:c r="H43" s="173"/>
      <x:c r="I43" s="173"/>
      <x:c r="J43" s="173"/>
      <x:c r="K43" s="173"/>
      <x:c r="L43" s="173"/>
      <x:c r="M43" s="173" t="n">
        <x:v>1</x:v>
      </x:c>
      <x:c r="N43" s="151" t="str">
        <x:v>Yes</x:v>
      </x:c>
      <x:c r="O43" s="161" t="n">
        <x:v>0.036000000000000004</x:v>
      </x:c>
      <x:c r="P43" s="161" t="n">
        <x:f>O43/SUM($O$36:$O$58)</x:f>
        <x:v>0.03609022556390977</x:v>
      </x:c>
      <x:c r="Q43" s="151" t="str">
        <x:v>https://www.caf.com/media/4675803/2412-caf-investor-presentation-wp.pdf</x:v>
      </x:c>
      <x:c r="R43" s="151" t="str">
        <x:v>Investor presentation, figures as of 31 Dec 2024</x:v>
      </x:c>
      <x:c r="S43" s="151" t="str">
        <x:v>Rounded capital percentage; normalized in column P. Board allocation: one Series A seat in the year-end 2024 reconstruction.</x:v>
      </x:c>
    </x:row>
    <x:row r="44">
      <x:c r="A44" s="151" t="str">
        <x:v>caf</x:v>
      </x:c>
      <x:c r="B44" s="151" t="str">
        <x:v>Development Bank of Latin America and the Caribbean</x:v>
      </x:c>
      <x:c r="C44" s="171" t="n">
        <x:v>45657</x:v>
      </x:c>
      <x:c r="D44" s="151" t="str">
        <x:v>Paraguay</x:v>
      </x:c>
      <x:c r="E44" s="151" t="str">
        <x:v>Paraguay</x:v>
      </x:c>
      <x:c r="F44" s="151" t="str">
        <x:v>Full member (Series A/B)</x:v>
      </x:c>
      <x:c r="G44" s="151" t="str">
        <x:v>A/B aggregate</x:v>
      </x:c>
      <x:c r="H44" s="173"/>
      <x:c r="I44" s="173"/>
      <x:c r="J44" s="173"/>
      <x:c r="K44" s="173"/>
      <x:c r="L44" s="173"/>
      <x:c r="M44" s="173" t="n">
        <x:v>1</x:v>
      </x:c>
      <x:c r="N44" s="151" t="str">
        <x:v>Yes</x:v>
      </x:c>
      <x:c r="O44" s="161" t="n">
        <x:v>0.036000000000000004</x:v>
      </x:c>
      <x:c r="P44" s="161" t="n">
        <x:f>O44/SUM($O$36:$O$58)</x:f>
        <x:v>0.03609022556390977</x:v>
      </x:c>
      <x:c r="Q44" s="151" t="str">
        <x:v>https://www.caf.com/media/4675803/2412-caf-investor-presentation-wp.pdf</x:v>
      </x:c>
      <x:c r="R44" s="151" t="str">
        <x:v>Investor presentation, figures as of 31 Dec 2024</x:v>
      </x:c>
      <x:c r="S44" s="151" t="str">
        <x:v>Rounded capital percentage; normalized in column P. Board allocation: one Series A seat in the year-end 2024 reconstruction.</x:v>
      </x:c>
    </x:row>
    <x:row r="45">
      <x:c r="A45" s="151" t="str">
        <x:v>caf</x:v>
      </x:c>
      <x:c r="B45" s="151" t="str">
        <x:v>Development Bank of Latin America and the Caribbean</x:v>
      </x:c>
      <x:c r="C45" s="171" t="n">
        <x:v>45657</x:v>
      </x:c>
      <x:c r="D45" s="151" t="str">
        <x:v>Trinidad and Tobago</x:v>
      </x:c>
      <x:c r="E45" s="151" t="str">
        <x:v>Trinidad and Tobago</x:v>
      </x:c>
      <x:c r="F45" s="151" t="str">
        <x:v>Full member (Series A/B)</x:v>
      </x:c>
      <x:c r="G45" s="151" t="str">
        <x:v>A/B aggregate</x:v>
      </x:c>
      <x:c r="H45" s="173"/>
      <x:c r="I45" s="173"/>
      <x:c r="J45" s="173"/>
      <x:c r="K45" s="173"/>
      <x:c r="L45" s="173"/>
      <x:c r="M45" s="173" t="n">
        <x:v>1</x:v>
      </x:c>
      <x:c r="N45" s="151" t="str">
        <x:v>Yes</x:v>
      </x:c>
      <x:c r="O45" s="161" t="n">
        <x:v>0.034</x:v>
      </x:c>
      <x:c r="P45" s="161" t="n">
        <x:f>O45/SUM($O$36:$O$58)</x:f>
        <x:v>0.03408521303258145</x:v>
      </x:c>
      <x:c r="Q45" s="151" t="str">
        <x:v>https://www.caf.com/media/4675803/2412-caf-investor-presentation-wp.pdf</x:v>
      </x:c>
      <x:c r="R45" s="151" t="str">
        <x:v>Investor presentation, figures as of 31 Dec 2024</x:v>
      </x:c>
      <x:c r="S45" s="151" t="str">
        <x:v>Rounded capital percentage; normalized in column P. Board allocation: one Series A seat in the year-end 2024 reconstruction.</x:v>
      </x:c>
    </x:row>
    <x:row r="46">
      <x:c r="A46" s="151" t="str">
        <x:v>caf</x:v>
      </x:c>
      <x:c r="B46" s="151" t="str">
        <x:v>Development Bank of Latin America and the Caribbean</x:v>
      </x:c>
      <x:c r="C46" s="171" t="n">
        <x:v>45657</x:v>
      </x:c>
      <x:c r="D46" s="151" t="str">
        <x:v>Venezuela</x:v>
      </x:c>
      <x:c r="E46" s="151" t="str">
        <x:v>Venezuela</x:v>
      </x:c>
      <x:c r="F46" s="151" t="str">
        <x:v>Full member (Series A/B)</x:v>
      </x:c>
      <x:c r="G46" s="151" t="str">
        <x:v>A/B aggregate</x:v>
      </x:c>
      <x:c r="H46" s="173"/>
      <x:c r="I46" s="173"/>
      <x:c r="J46" s="173"/>
      <x:c r="K46" s="173"/>
      <x:c r="L46" s="173"/>
      <x:c r="M46" s="173" t="n">
        <x:v>2</x:v>
      </x:c>
      <x:c r="N46" s="151" t="str">
        <x:v>Yes</x:v>
      </x:c>
      <x:c r="O46" s="161" t="n">
        <x:v>0.03</x:v>
      </x:c>
      <x:c r="P46" s="161" t="n">
        <x:f>O46/SUM($O$36:$O$58)</x:f>
        <x:v>0.030075187969924803</x:v>
      </x:c>
      <x:c r="Q46" s="151" t="str">
        <x:v>https://www.caf.com/media/4675803/2412-caf-investor-presentation-wp.pdf</x:v>
      </x:c>
      <x:c r="R46" s="151" t="str">
        <x:v>Investor presentation, figures as of 31 Dec 2024</x:v>
      </x:c>
      <x:c r="S46" s="151" t="str">
        <x:v>Rounded capital percentage; normalized in column P. Board allocation: one Series A seat plus one Series B seat in the year-end 2024 reconstruction.</x:v>
      </x:c>
    </x:row>
    <x:row r="47">
      <x:c r="A47" s="151" t="str">
        <x:v>caf</x:v>
      </x:c>
      <x:c r="B47" s="151" t="str">
        <x:v>Development Bank of Latin America and the Caribbean</x:v>
      </x:c>
      <x:c r="C47" s="171" t="n">
        <x:v>45657</x:v>
      </x:c>
      <x:c r="D47" s="151" t="str">
        <x:v>Uruguay</x:v>
      </x:c>
      <x:c r="E47" s="151" t="str">
        <x:v>Uruguay</x:v>
      </x:c>
      <x:c r="F47" s="151" t="str">
        <x:v>Full member (Series A/B)</x:v>
      </x:c>
      <x:c r="G47" s="151" t="str">
        <x:v>A/B aggregate</x:v>
      </x:c>
      <x:c r="H47" s="173"/>
      <x:c r="I47" s="173"/>
      <x:c r="J47" s="173"/>
      <x:c r="K47" s="173"/>
      <x:c r="L47" s="173"/>
      <x:c r="M47" s="173" t="n">
        <x:v>1</x:v>
      </x:c>
      <x:c r="N47" s="151" t="str">
        <x:v>Yes</x:v>
      </x:c>
      <x:c r="O47" s="161" t="n">
        <x:v>0.025</x:v>
      </x:c>
      <x:c r="P47" s="161" t="n">
        <x:f>O47/SUM($O$36:$O$58)</x:f>
        <x:v>0.025062656641604005</x:v>
      </x:c>
      <x:c r="Q47" s="151" t="str">
        <x:v>https://www.caf.com/media/4675803/2412-caf-investor-presentation-wp.pdf</x:v>
      </x:c>
      <x:c r="R47" s="151" t="str">
        <x:v>Investor presentation, figures as of 31 Dec 2024</x:v>
      </x:c>
      <x:c r="S47" s="151" t="str">
        <x:v>Rounded capital percentage; normalized in column P. Board allocation: one Series A seat in the year-end 2024 reconstruction.</x:v>
      </x:c>
    </x:row>
    <x:row r="48">
      <x:c r="A48" s="151" t="str">
        <x:v>caf</x:v>
      </x:c>
      <x:c r="B48" s="151" t="str">
        <x:v>Development Bank of Latin America and the Caribbean</x:v>
      </x:c>
      <x:c r="C48" s="171" t="n">
        <x:v>45657</x:v>
      </x:c>
      <x:c r="D48" s="151" t="str">
        <x:v>Dominican Republic</x:v>
      </x:c>
      <x:c r="E48" s="151" t="str">
        <x:v>Dominican Republic</x:v>
      </x:c>
      <x:c r="F48" s="151" t="str">
        <x:v>Full member (Series A/B)</x:v>
      </x:c>
      <x:c r="G48" s="151" t="str">
        <x:v>A/B aggregate</x:v>
      </x:c>
      <x:c r="H48" s="173"/>
      <x:c r="I48" s="173"/>
      <x:c r="J48" s="173"/>
      <x:c r="K48" s="173"/>
      <x:c r="L48" s="173"/>
      <x:c r="M48" s="173" t="n">
        <x:v>1</x:v>
      </x:c>
      <x:c r="N48" s="151" t="str">
        <x:v>Yes</x:v>
      </x:c>
      <x:c r="O48" s="161" t="n">
        <x:v>0.02</x:v>
      </x:c>
      <x:c r="P48" s="161" t="n">
        <x:f>O48/SUM($O$36:$O$58)</x:f>
        <x:v>0.020050125313283203</x:v>
      </x:c>
      <x:c r="Q48" s="151" t="str">
        <x:v>https://www.caf.com/media/4675803/2412-caf-investor-presentation-wp.pdf</x:v>
      </x:c>
      <x:c r="R48" s="151" t="str">
        <x:v>Investor presentation, figures as of 31 Dec 2024</x:v>
      </x:c>
      <x:c r="S48" s="151" t="str">
        <x:v>Rounded capital percentage; normalized in column P. Board allocation: one Series A seat in the year-end 2024 reconstruction.</x:v>
      </x:c>
    </x:row>
    <x:row r="49">
      <x:c r="A49" s="151" t="str">
        <x:v>caf</x:v>
      </x:c>
      <x:c r="B49" s="151" t="str">
        <x:v>Development Bank of Latin America and the Caribbean</x:v>
      </x:c>
      <x:c r="C49" s="171" t="n">
        <x:v>45657</x:v>
      </x:c>
      <x:c r="D49" s="151" t="str">
        <x:v>Costa Rica</x:v>
      </x:c>
      <x:c r="E49" s="151" t="str">
        <x:v>Costa Rica</x:v>
      </x:c>
      <x:c r="F49" s="151" t="str">
        <x:v>Full member (Series A/B)</x:v>
      </x:c>
      <x:c r="G49" s="151" t="str">
        <x:v>A/B aggregate</x:v>
      </x:c>
      <x:c r="H49" s="173"/>
      <x:c r="I49" s="173"/>
      <x:c r="J49" s="173"/>
      <x:c r="K49" s="173"/>
      <x:c r="L49" s="173"/>
      <x:c r="M49" s="173" t="n">
        <x:v>1</x:v>
      </x:c>
      <x:c r="N49" s="151" t="str">
        <x:v>Yes</x:v>
      </x:c>
      <x:c r="O49" s="161" t="n">
        <x:v>0.02</x:v>
      </x:c>
      <x:c r="P49" s="161" t="n">
        <x:f>O49/SUM($O$36:$O$58)</x:f>
        <x:v>0.020050125313283203</x:v>
      </x:c>
      <x:c r="Q49" s="151" t="str">
        <x:v>https://www.caf.com/media/4675803/2412-caf-investor-presentation-wp.pdf</x:v>
      </x:c>
      <x:c r="R49" s="151" t="str">
        <x:v>Investor presentation, figures as of 31 Dec 2024</x:v>
      </x:c>
      <x:c r="S49" s="151" t="str">
        <x:v>Rounded capital percentage; normalized in column P. Board allocation: one Series A seat in the year-end 2024 reconstruction.</x:v>
      </x:c>
    </x:row>
    <x:row r="50">
      <x:c r="A50" s="151" t="str">
        <x:v>caf</x:v>
      </x:c>
      <x:c r="B50" s="151" t="str">
        <x:v>Development Bank of Latin America and the Caribbean</x:v>
      </x:c>
      <x:c r="C50" s="171" t="n">
        <x:v>45657</x:v>
      </x:c>
      <x:c r="D50" s="151" t="str">
        <x:v>El Salvador</x:v>
      </x:c>
      <x:c r="E50" s="151" t="str">
        <x:v>El Salvador</x:v>
      </x:c>
      <x:c r="F50" s="151" t="str">
        <x:v>Full member (Series A/B)</x:v>
      </x:c>
      <x:c r="G50" s="151" t="str">
        <x:v>A/B aggregate</x:v>
      </x:c>
      <x:c r="H50" s="173"/>
      <x:c r="I50" s="173"/>
      <x:c r="J50" s="173"/>
      <x:c r="K50" s="173"/>
      <x:c r="L50" s="173"/>
      <x:c r="M50" s="173" t="n">
        <x:v>1</x:v>
      </x:c>
      <x:c r="N50" s="151" t="str">
        <x:v>Yes</x:v>
      </x:c>
      <x:c r="O50" s="161" t="n">
        <x:v>0.02</x:v>
      </x:c>
      <x:c r="P50" s="161" t="n">
        <x:f>O50/SUM($O$36:$O$58)</x:f>
        <x:v>0.020050125313283203</x:v>
      </x:c>
      <x:c r="Q50" s="151" t="str">
        <x:v>https://www.caf.com/media/4675803/2412-caf-investor-presentation-wp.pdf</x:v>
      </x:c>
      <x:c r="R50" s="151" t="str">
        <x:v>Investor presentation, figures as of 31 Dec 2024</x:v>
      </x:c>
      <x:c r="S50" s="151" t="str">
        <x:v>Rounded capital percentage; normalized in column P. Board allocation: one Series A seat in the year-end 2024 reconstruction.</x:v>
      </x:c>
    </x:row>
    <x:row r="51">
      <x:c r="A51" s="151" t="str">
        <x:v>caf</x:v>
      </x:c>
      <x:c r="B51" s="151" t="str">
        <x:v>Development Bank of Latin America and the Caribbean</x:v>
      </x:c>
      <x:c r="C51" s="171" t="n">
        <x:v>45657</x:v>
      </x:c>
      <x:c r="D51" s="151" t="str">
        <x:v>Honduras</x:v>
      </x:c>
      <x:c r="E51" s="151" t="str">
        <x:v>Honduras</x:v>
      </x:c>
      <x:c r="F51" s="151" t="str">
        <x:v>Full member (Series A/B)</x:v>
      </x:c>
      <x:c r="G51" s="151" t="str">
        <x:v>A/B aggregate</x:v>
      </x:c>
      <x:c r="H51" s="173"/>
      <x:c r="I51" s="173"/>
      <x:c r="J51" s="173"/>
      <x:c r="K51" s="173"/>
      <x:c r="L51" s="173"/>
      <x:c r="M51" s="173" t="n">
        <x:v>1</x:v>
      </x:c>
      <x:c r="N51" s="151" t="str">
        <x:v>Yes</x:v>
      </x:c>
      <x:c r="O51" s="161" t="n">
        <x:v>0.02</x:v>
      </x:c>
      <x:c r="P51" s="161" t="n">
        <x:f>O51/SUM($O$36:$O$58)</x:f>
        <x:v>0.020050125313283203</x:v>
      </x:c>
      <x:c r="Q51" s="151" t="str">
        <x:v>https://www.caf.com/media/4675803/2412-caf-investor-presentation-wp.pdf</x:v>
      </x:c>
      <x:c r="R51" s="151" t="str">
        <x:v>Investor presentation, figures as of 31 Dec 2024</x:v>
      </x:c>
      <x:c r="S51" s="151" t="str">
        <x:v>Rounded capital percentage; normalized in column P. Board allocation: one Series A seat in the year-end 2024 reconstruction.</x:v>
      </x:c>
    </x:row>
    <x:row r="52">
      <x:c r="A52" s="151" t="str">
        <x:v>caf</x:v>
      </x:c>
      <x:c r="B52" s="151" t="str">
        <x:v>Development Bank of Latin America and the Caribbean</x:v>
      </x:c>
      <x:c r="C52" s="171" t="n">
        <x:v>45657</x:v>
      </x:c>
      <x:c r="D52" s="151" t="str">
        <x:v>Spain</x:v>
      </x:c>
      <x:c r="E52" s="151" t="str">
        <x:v>Spain</x:v>
      </x:c>
      <x:c r="F52" s="151" t="str">
        <x:v>Associated shareholder (Series C)</x:v>
      </x:c>
      <x:c r="G52" s="151" t="str">
        <x:v>C</x:v>
      </x:c>
      <x:c r="H52" s="173"/>
      <x:c r="I52" s="173"/>
      <x:c r="J52" s="173"/>
      <x:c r="K52" s="173"/>
      <x:c r="L52" s="173"/>
      <x:c r="M52" s="173" t="n">
        <x:v>1</x:v>
      </x:c>
      <x:c r="N52" s="151" t="str">
        <x:v>Yes</x:v>
      </x:c>
      <x:c r="O52" s="161" t="n">
        <x:v>0.045</x:v>
      </x:c>
      <x:c r="P52" s="161" t="n">
        <x:f>O52/SUM($O$36:$O$58)</x:f>
        <x:v>0.0451127819548872</x:v>
      </x:c>
      <x:c r="Q52" s="151" t="str">
        <x:v>https://www.caf.com/media/4675803/2412-caf-investor-presentation-wp.pdf</x:v>
      </x:c>
      <x:c r="R52" s="151" t="str">
        <x:v>Investor presentation, figures as of 31 Dec 2024</x:v>
      </x:c>
      <x:c r="S52" s="151" t="str">
        <x:v>Rounded capital percentage; normalized in column P. Board allocation: one principal Series C seat in the year-end 2024 reconstruction.</x:v>
      </x:c>
    </x:row>
    <x:row r="53">
      <x:c r="A53" s="151" t="str">
        <x:v>caf</x:v>
      </x:c>
      <x:c r="B53" s="151" t="str">
        <x:v>Development Bank of Latin America and the Caribbean</x:v>
      </x:c>
      <x:c r="C53" s="171" t="n">
        <x:v>45657</x:v>
      </x:c>
      <x:c r="D53" s="151" t="str">
        <x:v>Mexico</x:v>
      </x:c>
      <x:c r="E53" s="151" t="str">
        <x:v>Mexico</x:v>
      </x:c>
      <x:c r="F53" s="151" t="str">
        <x:v>Associated shareholder (Series C)</x:v>
      </x:c>
      <x:c r="G53" s="151" t="str">
        <x:v>C</x:v>
      </x:c>
      <x:c r="H53" s="173"/>
      <x:c r="I53" s="173"/>
      <x:c r="J53" s="173"/>
      <x:c r="K53" s="173"/>
      <x:c r="L53" s="173"/>
      <x:c r="M53" s="173" t="n">
        <x:v>1</x:v>
      </x:c>
      <x:c r="N53" s="151" t="str">
        <x:v>Yes</x:v>
      </x:c>
      <x:c r="O53" s="161" t="n">
        <x:v>0.009000000000000001</x:v>
      </x:c>
      <x:c r="P53" s="161" t="n">
        <x:f>O53/SUM($O$36:$O$58)</x:f>
        <x:v>0.009022556390977442</x:v>
      </x:c>
      <x:c r="Q53" s="151" t="str">
        <x:v>https://www.caf.com/media/4675803/2412-caf-investor-presentation-wp.pdf</x:v>
      </x:c>
      <x:c r="R53" s="151" t="str">
        <x:v>Investor presentation, figures as of 31 Dec 2024</x:v>
      </x:c>
      <x:c r="S53" s="151" t="str">
        <x:v>Rounded capital percentage; normalized in column P. Board allocation: one principal Series C seat in the year-end 2024 reconstruction.</x:v>
      </x:c>
    </x:row>
    <x:row r="54">
      <x:c r="A54" s="151" t="str">
        <x:v>caf</x:v>
      </x:c>
      <x:c r="B54" s="151" t="str">
        <x:v>Development Bank of Latin America and the Caribbean</x:v>
      </x:c>
      <x:c r="C54" s="171" t="n">
        <x:v>45657</x:v>
      </x:c>
      <x:c r="D54" s="151" t="str">
        <x:v>Barbados</x:v>
      </x:c>
      <x:c r="E54" s="151" t="str">
        <x:v>Barbados</x:v>
      </x:c>
      <x:c r="F54" s="151" t="str">
        <x:v>Associated shareholder (Series C)</x:v>
      </x:c>
      <x:c r="G54" s="151" t="str">
        <x:v>C</x:v>
      </x:c>
      <x:c r="H54" s="173"/>
      <x:c r="I54" s="173"/>
      <x:c r="J54" s="173"/>
      <x:c r="K54" s="173"/>
      <x:c r="L54" s="173"/>
      <x:c r="M54" s="173" t="n">
        <x:v>0</x:v>
      </x:c>
      <x:c r="N54" s="151" t="str">
        <x:v>Indirect / no principal seat</x:v>
      </x:c>
      <x:c r="O54" s="161" t="n">
        <x:v>0.004</x:v>
      </x:c>
      <x:c r="P54" s="161" t="n">
        <x:f>O54/SUM($O$36:$O$58)</x:f>
        <x:v>0.004010025062656641</x:v>
      </x:c>
      <x:c r="Q54" s="151" t="str">
        <x:v>https://www.caf.com/media/4675803/2412-caf-investor-presentation-wp.pdf</x:v>
      </x:c>
      <x:c r="R54" s="151" t="str">
        <x:v>Investor presentation, figures as of 31 Dec 2024</x:v>
      </x:c>
      <x:c r="S54" s="151" t="str">
        <x:v>Rounded capital percentage; normalized in column P. Country-attributed ordinary loan vote is explicitly 0.00% in this snapshot because the country has no principal Board seat; alternate/constituency representation is not treated as an independent vote.</x:v>
      </x:c>
    </x:row>
    <x:row r="55">
      <x:c r="A55" s="151" t="str">
        <x:v>caf</x:v>
      </x:c>
      <x:c r="B55" s="151" t="str">
        <x:v>Development Bank of Latin America and the Caribbean</x:v>
      </x:c>
      <x:c r="C55" s="171" t="n">
        <x:v>45657</x:v>
      </x:c>
      <x:c r="D55" s="151" t="str">
        <x:v>Bahamas</x:v>
      </x:c>
      <x:c r="E55" s="151" t="str">
        <x:v>Bahamas</x:v>
      </x:c>
      <x:c r="F55" s="151" t="str">
        <x:v>Associated shareholder (Series C)</x:v>
      </x:c>
      <x:c r="G55" s="151" t="str">
        <x:v>C</x:v>
      </x:c>
      <x:c r="H55" s="173"/>
      <x:c r="I55" s="173"/>
      <x:c r="J55" s="173"/>
      <x:c r="K55" s="173"/>
      <x:c r="L55" s="173"/>
      <x:c r="M55" s="173" t="n">
        <x:v>0</x:v>
      </x:c>
      <x:c r="N55" s="151" t="str">
        <x:v>Indirect / no principal seat</x:v>
      </x:c>
      <x:c r="O55" s="161" t="n">
        <x:v>0.002</x:v>
      </x:c>
      <x:c r="P55" s="161" t="n">
        <x:f>O55/SUM($O$36:$O$58)</x:f>
        <x:v>0.0020050125313283203</x:v>
      </x:c>
      <x:c r="Q55" s="151" t="str">
        <x:v>https://www.caf.com/media/4675803/2412-caf-investor-presentation-wp.pdf</x:v>
      </x:c>
      <x:c r="R55" s="151" t="str">
        <x:v>Investor presentation, figures as of 31 Dec 2024</x:v>
      </x:c>
      <x:c r="S55" s="151" t="str">
        <x:v>Rounded capital percentage; normalized in column P. Country-attributed ordinary loan vote is explicitly 0.00% in this snapshot because the country has no principal Board seat; alternate/constituency representation is not treated as an independent vote.</x:v>
      </x:c>
    </x:row>
    <x:row r="56">
      <x:c r="A56" s="151" t="str">
        <x:v>caf</x:v>
      </x:c>
      <x:c r="B56" s="151" t="str">
        <x:v>Development Bank of Latin America and the Caribbean</x:v>
      </x:c>
      <x:c r="C56" s="171" t="n">
        <x:v>45657</x:v>
      </x:c>
      <x:c r="D56" s="151" t="str">
        <x:v>Portugal</x:v>
      </x:c>
      <x:c r="E56" s="151" t="str">
        <x:v>Portugal</x:v>
      </x:c>
      <x:c r="F56" s="151" t="str">
        <x:v>Associated shareholder (Series C)</x:v>
      </x:c>
      <x:c r="G56" s="151" t="str">
        <x:v>C</x:v>
      </x:c>
      <x:c r="H56" s="173"/>
      <x:c r="I56" s="173"/>
      <x:c r="J56" s="173"/>
      <x:c r="K56" s="173"/>
      <x:c r="L56" s="173"/>
      <x:c r="M56" s="173" t="n">
        <x:v>0</x:v>
      </x:c>
      <x:c r="N56" s="151" t="str">
        <x:v>Indirect / no principal seat</x:v>
      </x:c>
      <x:c r="O56" s="161" t="n">
        <x:v>0.001</x:v>
      </x:c>
      <x:c r="P56" s="161" t="n">
        <x:f>O56/SUM($O$36:$O$58)</x:f>
        <x:v>0.0010025062656641602</x:v>
      </x:c>
      <x:c r="Q56" s="151" t="str">
        <x:v>https://www.caf.com/media/4675803/2412-caf-investor-presentation-wp.pdf</x:v>
      </x:c>
      <x:c r="R56" s="151" t="str">
        <x:v>Investor presentation, figures as of 31 Dec 2024</x:v>
      </x:c>
      <x:c r="S56" s="151" t="str">
        <x:v>Rounded capital percentage; normalized in column P. Country-attributed ordinary loan vote is explicitly 0.00% in this snapshot because the country has no principal Board seat; alternate/constituency representation is not treated as an independent vote.</x:v>
      </x:c>
    </x:row>
    <x:row r="57">
      <x:c r="A57" s="151" t="str">
        <x:v>caf</x:v>
      </x:c>
      <x:c r="B57" s="151" t="str">
        <x:v>Development Bank of Latin America and the Caribbean</x:v>
      </x:c>
      <x:c r="C57" s="171" t="n">
        <x:v>45657</x:v>
      </x:c>
      <x:c r="D57" s="151" t="str">
        <x:v>Jamaica</x:v>
      </x:c>
      <x:c r="E57" s="151" t="str">
        <x:v>Jamaica</x:v>
      </x:c>
      <x:c r="F57" s="151" t="str">
        <x:v>Associated shareholder (Series C)</x:v>
      </x:c>
      <x:c r="G57" s="151" t="str">
        <x:v>C</x:v>
      </x:c>
      <x:c r="H57" s="173"/>
      <x:c r="I57" s="173"/>
      <x:c r="J57" s="173"/>
      <x:c r="K57" s="173"/>
      <x:c r="L57" s="173"/>
      <x:c r="M57" s="173" t="n">
        <x:v>0</x:v>
      </x:c>
      <x:c r="N57" s="151" t="str">
        <x:v>Indirect / no principal seat</x:v>
      </x:c>
      <x:c r="O57" s="161" t="n">
        <x:v>0.0001</x:v>
      </x:c>
      <x:c r="P57" s="161" t="n">
        <x:f>O57/SUM($O$36:$O$58)</x:f>
        <x:v>0.00010025062656641602</x:v>
      </x:c>
      <x:c r="Q57" s="151" t="str">
        <x:v>https://www.caf.com/media/4675803/2412-caf-investor-presentation-wp.pdf</x:v>
      </x:c>
      <x:c r="R57" s="151" t="str">
        <x:v>Investor presentation, figures as of 31 Dec 2024</x:v>
      </x:c>
      <x:c r="S57" s="151" t="str">
        <x:v>Rounded capital percentage; normalized in column P. Country-attributed ordinary loan vote is explicitly 0.00% in this snapshot because the country has no principal Board seat; alternate/constituency representation is not treated as an independent vote.</x:v>
      </x:c>
    </x:row>
    <x:row r="58">
      <x:c r="A58" s="151" t="str">
        <x:v>caf</x:v>
      </x:c>
      <x:c r="B58" s="151" t="str">
        <x:v>Development Bank of Latin America and the Caribbean</x:v>
      </x:c>
      <x:c r="C58" s="171" t="n">
        <x:v>45657</x:v>
      </x:c>
      <x:c r="D58" s="151" t="str">
        <x:v>Private banking shareholders</x:v>
      </x:c>
      <x:c r="E58" s="151" t="str">
        <x:v>Private banking shareholders</x:v>
      </x:c>
      <x:c r="F58" s="151" t="str">
        <x:v>Private banking shareholders (Series B)</x:v>
      </x:c>
      <x:c r="G58" s="151" t="str">
        <x:v>B aggregate</x:v>
      </x:c>
      <x:c r="H58" s="173"/>
      <x:c r="I58" s="173"/>
      <x:c r="J58" s="173"/>
      <x:c r="K58" s="173"/>
      <x:c r="L58" s="173"/>
      <x:c r="M58" s="173" t="n">
        <x:v>1</x:v>
      </x:c>
      <x:c r="N58" s="151" t="str">
        <x:v>Yes</x:v>
      </x:c>
      <x:c r="O58" s="161" t="n">
        <x:v>0.0004</x:v>
      </x:c>
      <x:c r="P58" s="161" t="n">
        <x:f>O58/SUM($O$36:$O$58)</x:f>
        <x:v>0.00040100250626566407</x:v>
      </x:c>
      <x:c r="Q58" s="151" t="str">
        <x:v>https://www.caf.com/media/4675803/2412-caf-investor-presentation-wp.pdf</x:v>
      </x:c>
      <x:c r="R58" s="151" t="str">
        <x:v>Investor presentation, figures as of 31 Dec 2024</x:v>
      </x:c>
      <x:c r="S58" s="151" t="str">
        <x:v>Rounded capital percentage; normalized in column P. One non-country Series C Board seat is retained in the formal denominator and excluded from the country-only denominator.</x:v>
      </x:c>
    </x:row>
  </x:sheetData>
  <x:mergeCells>
    <x:mergeCell ref="A1:S1"/>
    <x:mergeCell ref="A3:S3"/>
  </x:mergeCells>
  <x:conditionalFormatting sqref="A6:S58">
    <x:cfRule type="expression" dxfId="9" priority="1">
      <x:formula>MOD(ROW(),2)=0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23" hidden="0" customWidth="1"/>
    <x:col min="5" max="5" width="24" hidden="0" customWidth="1"/>
    <x:col min="6" max="6" width="18" hidden="0" customWidth="1"/>
    <x:col min="7" max="7" width="35" hidden="0" customWidth="1"/>
    <x:col min="8" max="8" width="38" hidden="0" customWidth="1"/>
    <x:col min="9" max="9" width="35" hidden="0" customWidth="1"/>
    <x:col min="10" max="10" width="18" hidden="0" customWidth="1"/>
    <x:col min="11" max="11" width="18" hidden="0" customWidth="1"/>
    <x:col min="12" max="12" width="48" hidden="0" customWidth="1"/>
    <x:col min="13" max="13" width="45" hidden="0" customWidth="1"/>
    <x:col min="14" max="14" width="38" hidden="0" customWidth="1"/>
    <x:col min="15" max="15" width="46" hidden="0" customWidth="1"/>
  </x:cols>
  <x:sheetData>
    <x:row r="1" ht="26" customHeight="1">
      <x:c r="A1" s="120" t="str">
        <x:v>Decision-making rules relevant to ownership and ordinary loan approvals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</x:row>
    <x:row r="3" ht="40" customHeight="1">
      <x:c r="A3" s="129" t="str">
        <x:v>The loan-vote measure uses the organ that normally approves credit operations. Shareholder-assembly rules are retained for institutional context but are not substituted for ordinary loan-approval votes.</x:v>
      </x:c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</x:row>
    <x:row r="5" ht="52" customHeight="1">
      <x:c r="A5" s="139" t="str">
        <x:v>ID</x:v>
      </x:c>
      <x:c r="B5" s="139" t="str">
        <x:v>Institution</x:v>
      </x:c>
      <x:c r="C5" s="139" t="str">
        <x:v>Effective / as-of</x:v>
      </x:c>
      <x:c r="D5" s="139" t="str">
        <x:v>Organ</x:v>
      </x:c>
      <x:c r="E5" s="139" t="str">
        <x:v>Decision type</x:v>
      </x:c>
      <x:c r="F5" s="139" t="str">
        <x:v>Used for loan-vote measure?</x:v>
      </x:c>
      <x:c r="G5" s="139" t="str">
        <x:v>Vote basis</x:v>
      </x:c>
      <x:c r="H5" s="139" t="str">
        <x:v>Quorum</x:v>
      </x:c>
      <x:c r="I5" s="139" t="str">
        <x:v>Ordinary approval rule</x:v>
      </x:c>
      <x:c r="J5" s="139" t="str">
        <x:v>Full-board analysis denominator</x:v>
      </x:c>
      <x:c r="K5" s="139" t="str">
        <x:v>Country-analysis denominator</x:v>
      </x:c>
      <x:c r="L5" s="139" t="str">
        <x:v>Modeling treatment</x:v>
      </x:c>
      <x:c r="M5" s="139" t="str">
        <x:v>Source URL</x:v>
      </x:c>
      <x:c r="N5" s="139" t="str">
        <x:v>Source locator</x:v>
      </x:c>
      <x:c r="O5" s="139" t="str">
        <x:v>Caveat</x:v>
      </x:c>
    </x:row>
    <x:row r="6">
      <x:c r="A6" s="151" t="str">
        <x:v>cabei</x:v>
      </x:c>
      <x:c r="B6" s="151" t="str">
        <x:v>Central American Bank for Economic Integration</x:v>
      </x:c>
      <x:c r="C6" s="171" t="n">
        <x:v>45657</x:v>
      </x:c>
      <x:c r="D6" s="151" t="str">
        <x:v>Board of Directors</x:v>
      </x:c>
      <x:c r="E6" s="151" t="str">
        <x:v>Ordinary active/credit operation</x:v>
      </x:c>
      <x:c r="F6" s="151" t="str">
        <x:v>Yes</x:v>
      </x:c>
      <x:c r="G6" s="151" t="str">
        <x:v>Each director casts all voting shares represented by the member(s) that appointed/elected the director.</x:v>
      </x:c>
      <x:c r="H6" s="151" t="str">
        <x:v>Majority of voting directors; at least three founding-country directors and two other directors.</x:v>
      </x:c>
      <x:c r="I6" s="151" t="str">
        <x:v>Majority of votes represented by directors present.</x:v>
      </x:c>
      <x:c r="J6" s="151" t="n">
        <x:v>937411</x:v>
      </x:c>
      <x:c r="K6" s="151" t="n">
        <x:v>937411</x:v>
      </x:c>
      <x:c r="L6" s="151" t="str">
        <x:v>Allocate each member’s A/B + C voting shares over all outstanding voting shares. This produces country/member weights summing to 100%, but members represented by a common director do not cast separate ballots.</x:v>
      </x:c>
      <x:c r="M6" s="151" t="str">
        <x:v>https://www.bcie.org/api/documents/17913/RIDDA.Integrado.ENERO%202025.pdf</x:v>
      </x:c>
      <x:c r="N6" s="151" t="str">
        <x:v>RIDDA arts. 1-15 and 1-20; ROA arts. 2-01 and 2-08</x:v>
      </x:c>
      <x:c r="O6" s="151" t="str">
        <x:v>Ex ante member-weight measure. Constituency directors cast represented votes as a bloc; attendance, abstention and delegation can change the effective denominator.</x:v>
      </x:c>
    </x:row>
    <x:row r="7">
      <x:c r="A7" s="151" t="str">
        <x:v>cabei</x:v>
      </x:c>
      <x:c r="B7" s="151" t="str">
        <x:v>Central American Bank for Economic Integration</x:v>
      </x:c>
      <x:c r="C7" s="171" t="n">
        <x:v>45657</x:v>
      </x:c>
      <x:c r="D7" s="151" t="str">
        <x:v>Board of Governors</x:v>
      </x:c>
      <x:c r="E7" s="151" t="str">
        <x:v>Ordinary institutional decision</x:v>
      </x:c>
      <x:c r="F7" s="151" t="str">
        <x:v>No</x:v>
      </x:c>
      <x:c r="G7" s="151" t="str">
        <x:v>Votes follow subscribed voting shares represented by governors.</x:v>
      </x:c>
      <x:c r="H7" s="151" t="str">
        <x:v>Institution-specific quorum including founding-member participation and required voting power.</x:v>
      </x:c>
      <x:c r="I7" s="151" t="str">
        <x:v>Majority unless the Constitutive Agreement or regulations require a qualified majority.</x:v>
      </x:c>
      <x:c r="J7" s="151" t="n">
        <x:v>937411</x:v>
      </x:c>
      <x:c r="K7" s="151" t="n">
        <x:v>937411</x:v>
      </x:c>
      <x:c r="L7" s="151" t="str">
        <x:v>Retained for governance context only; ordinary loan approvals are modeled at Board level.</x:v>
      </x:c>
      <x:c r="M7" s="151" t="str">
        <x:v>https://www.bcie.org/api/documents/12/Convenio%20Constitutivo%20Modif.%20AG-6.2020%20vigente%20desde%205.02.2021.pdf</x:v>
      </x:c>
      <x:c r="N7" s="151" t="str">
        <x:v>Constitutive Agreement and ROA, Board of Governors provisions</x:v>
      </x:c>
      <x:c r="O7" s="151" t="str">
        <x:v>Not the normal organ used in the loan-decision variable.</x:v>
      </x:c>
    </x:row>
    <x:row r="8">
      <x:c r="A8" s="151" t="str">
        <x:v>caf</x:v>
      </x:c>
      <x:c r="B8" s="151" t="str">
        <x:v>Development Bank of Latin America and the Caribbean</x:v>
      </x:c>
      <x:c r="C8" s="171" t="n">
        <x:v>45657</x:v>
      </x:c>
      <x:c r="D8" s="151" t="str">
        <x:v>Board of Directors</x:v>
      </x:c>
      <x:c r="E8" s="151" t="str">
        <x:v>Ordinary credit/loan operation</x:v>
      </x:c>
      <x:c r="F8" s="151" t="str">
        <x:v>Yes</x:v>
      </x:c>
      <x:c r="G8" s="151" t="str">
        <x:v>One vote per director, independent of the capital represented by that director.</x:v>
      </x:c>
      <x:c r="H8" s="151" t="str">
        <x:v>No fewer than half plus one of directors.</x:v>
      </x:c>
      <x:c r="I8" s="151" t="str">
        <x:v>Majority, no fewer than half plus one of directors present.</x:v>
      </x:c>
      <x:c r="J8" s="151" t="n">
        <x:v>24</x:v>
      </x:c>
      <x:c r="K8" s="151" t="n">
        <x:v>23</x:v>
      </x:c>
      <x:c r="L8" s="151" t="str">
        <x:v>Formal measure uses 24 Board seats. Country-normalized measure excludes the private-banking seat and attributes principal country seats to 23 sovereign country votes; zero-seat shareholder countries remain explicit zeros.</x:v>
      </x:c>
      <x:c r="M8" s="151" t="str">
        <x:v>https://www.caf.com/media/4680568/convenio-constitutivo-ingles.pdf</x:v>
      </x:c>
      <x:c r="N8" s="151" t="str">
        <x:v>Agreement arts. 24–27 plus official Board composition covering year-end 2024</x:v>
      </x:c>
      <x:c r="O8" s="151" t="str">
        <x:v>Some approvals are delegated. The seat allocation is a year-end governance snapshot and should be updated when Board composition changes.</x:v>
      </x:c>
    </x:row>
    <x:row r="9">
      <x:c r="A9" s="151" t="str">
        <x:v>caf</x:v>
      </x:c>
      <x:c r="B9" s="151" t="str">
        <x:v>Development Bank of Latin America and the Caribbean</x:v>
      </x:c>
      <x:c r="C9" s="171" t="n">
        <x:v>45657</x:v>
      </x:c>
      <x:c r="D9" s="151" t="str">
        <x:v>Shareholders’ Meeting</x:v>
      </x:c>
      <x:c r="E9" s="151" t="str">
        <x:v>Ordinary shareholder decision</x:v>
      </x:c>
      <x:c r="F9" s="151" t="str">
        <x:v>No</x:v>
      </x:c>
      <x:c r="G9" s="151" t="str">
        <x:v>Dual pool: Series A shares and other represented shares.</x:v>
      </x:c>
      <x:c r="H9" s="151" t="str">
        <x:v>Meeting-specific statutory quorum.</x:v>
      </x:c>
      <x:c r="I9" s="151" t="str">
        <x:v>At least 60% of Series A shares plus an absolute majority of the other shares represented.</x:v>
      </x:c>
      <x:c r="J9" s="151"/>
      <x:c r="K9" s="151"/>
      <x:c r="L9" s="151" t="str">
        <x:v>Do not use this dual-majority rule as the loan-approval voting variable; it governs ordinary shareholder decisions.</x:v>
      </x:c>
      <x:c r="M9" s="151" t="str">
        <x:v>https://www.caf.com/media/4680568/convenio-constitutivo-ingles.pdf</x:v>
      </x:c>
      <x:c r="N9" s="151" t="str">
        <x:v>Agreement Establishing CAF, arts. 15–18</x:v>
      </x:c>
      <x:c r="O9" s="151" t="str">
        <x:v>Capital percentages are not a one-dimensional proxy for this dual-pool rule.</x:v>
      </x:c>
    </x:row>
  </x:sheetData>
  <x:mergeCells>
    <x:mergeCell ref="A1:O1"/>
    <x:mergeCell ref="A3:O3"/>
  </x:mergeCells>
  <x:conditionalFormatting sqref="A6:O9">
    <x:cfRule type="expression" dxfId="10" priority="1">
      <x:formula>MOD(ROW(),2)=0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3" hidden="0" customWidth="1"/>
    <x:col min="4" max="4" width="20" hidden="0" customWidth="1"/>
    <x:col min="5" max="5" width="38" hidden="0" customWidth="1"/>
    <x:col min="6" max="6" width="23" hidden="0" customWidth="1"/>
    <x:col min="7" max="7" width="19" hidden="0" customWidth="1"/>
    <x:col min="8" max="8" width="22" hidden="0" customWidth="1"/>
    <x:col min="9" max="9" width="15" hidden="0" customWidth="1"/>
    <x:col min="10" max="10" width="16" hidden="0" customWidth="1"/>
    <x:col min="11" max="11" width="17" hidden="0" customWidth="1"/>
    <x:col min="12" max="12" width="18" hidden="0" customWidth="1"/>
    <x:col min="13" max="13" width="20" hidden="0" customWidth="1"/>
    <x:col min="14" max="14" width="18" hidden="0" customWidth="1"/>
    <x:col min="15" max="15" width="38" hidden="0" customWidth="1"/>
    <x:col min="16" max="16" width="44" hidden="0" customWidth="1"/>
    <x:col min="17" max="17" width="34" hidden="0" customWidth="1"/>
    <x:col min="18" max="18" width="44" hidden="0" customWidth="1"/>
    <x:col min="20" max="20" width="10" hidden="0" customWidth="1"/>
    <x:col min="21" max="21" width="16" hidden="0" customWidth="1"/>
    <x:col min="22" max="22" width="20" hidden="0" customWidth="1"/>
    <x:col min="23" max="23" width="12" hidden="0" customWidth="1"/>
  </x:cols>
  <x:sheetData>
    <x:row r="1" ht="26" customHeight="1">
      <x:c r="A1" s="120" t="str">
        <x:v>Ordinary loan-decision voting power — auditable seat/share ledger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</x:row>
    <x:row r="3" ht="42" customHeight="1">
      <x:c r="A3" s="129" t="str">
        <x:v>Formal shares sum to 100% within each institution. Country-normalized shares also sum to 100% after excluding CAF’s non-country private-banking seat. Measures assume a fully constituted board; actual meeting votes may differ with attendance, abstention or delegated approval.</x:v>
      </x:c>
      <x:c r="B3" s="129"/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</x:row>
    <x:row r="5" ht="52" customHeight="1">
      <x:c r="A5" s="139" t="str">
        <x:v>ID</x:v>
      </x:c>
      <x:c r="B5" s="139" t="str">
        <x:v>Institution</x:v>
      </x:c>
      <x:c r="C5" s="139" t="str">
        <x:v>As-of date</x:v>
      </x:c>
      <x:c r="D5" s="139" t="str">
        <x:v>Decision organ</x:v>
      </x:c>
      <x:c r="E5" s="139" t="str">
        <x:v>Underlying member / Board seat</x:v>
      </x:c>
      <x:c r="F5" s="139" t="str">
        <x:v>Country / attribution</x:v>
      </x:c>
      <x:c r="G5" s="139" t="str">
        <x:v>Member type</x:v>
      </x:c>
      <x:c r="H5" s="139" t="str">
        <x:v>Seat/share class</x:v>
      </x:c>
      <x:c r="I5" s="139" t="str">
        <x:v>Raw formal votes</x:v>
      </x:c>
      <x:c r="J5" s="139" t="str">
        <x:v>Formal denominator</x:v>
      </x:c>
      <x:c r="K5" s="139" t="str">
        <x:v>Formal vote share %</x:v>
      </x:c>
      <x:c r="L5" s="139" t="str">
        <x:v>Country-only denominator</x:v>
      </x:c>
      <x:c r="M5" s="139" t="str">
        <x:v>Country-normalized vote share %</x:v>
      </x:c>
      <x:c r="N5" s="139" t="str">
        <x:v>Included in country analysis?</x:v>
      </x:c>
      <x:c r="O5" s="139" t="str">
        <x:v>Ordinary approval rule</x:v>
      </x:c>
      <x:c r="P5" s="139" t="str">
        <x:v>Source URL</x:v>
      </x:c>
      <x:c r="Q5" s="139" t="str">
        <x:v>Source locator</x:v>
      </x:c>
      <x:c r="R5" s="139" t="str">
        <x:v>Caveat</x:v>
      </x:c>
      <x:c r="T5" s="139" t="str">
        <x:v>ID</x:v>
      </x:c>
      <x:c r="U5" s="139" t="str">
        <x:v>Formal total</x:v>
      </x:c>
      <x:c r="V5" s="139" t="str">
        <x:v>Country-normalized total</x:v>
      </x:c>
      <x:c r="W5" s="139" t="str">
        <x:v>Check</x:v>
      </x:c>
    </x:row>
    <x:row r="6">
      <x:c r="A6" s="151" t="str">
        <x:v>cabei</x:v>
      </x:c>
      <x:c r="B6" s="151" t="str">
        <x:v>Central American Bank for Economic Integration</x:v>
      </x:c>
      <x:c r="C6" s="336" t="n">
        <x:v>45657</x:v>
      </x:c>
      <x:c r="D6" s="151" t="str">
        <x:v>Board of Directors</x:v>
      </x:c>
      <x:c r="E6" s="151" t="str">
        <x:v>Guatemala</x:v>
      </x:c>
      <x:c r="F6" s="151" t="str">
        <x:v>Guatemala</x:v>
      </x:c>
      <x:c r="G6" s="151" t="str">
        <x:v>Country</x:v>
      </x:c>
      <x:c r="H6" s="151" t="str">
        <x:v>A+C</x:v>
      </x:c>
      <x:c r="I6" s="334" t="n">
        <x:v>100157</x:v>
      </x:c>
      <x:c r="J6" s="334" t="n">
        <x:v>937411</x:v>
      </x:c>
      <x:c r="K6" s="335" t="n">
        <x:f>I6/J6</x:f>
        <x:v>0.10684427641664115</x:v>
      </x:c>
      <x:c r="L6" s="334" t="n">
        <x:v>937411</x:v>
      </x:c>
      <x:c r="M6" s="335" t="n">
        <x:f>IF(N6="Yes",I6/L6,"")</x:f>
        <x:v>0.10684427641664115</x:v>
      </x:c>
      <x:c r="N6" s="151" t="str">
        <x:v>Yes</x:v>
      </x:c>
      <x:c r="O6" s="151" t="str">
        <x:v>Majority of votes represented by directors present.</x:v>
      </x:c>
      <x:c r="P6" s="151" t="str">
        <x:v>https://www.bcie.org/api/documents/17913/RIDDA.Integrado.ENERO%202025.pdf</x:v>
      </x:c>
      <x:c r="Q6" s="151" t="str">
        <x:v>RIDDA art. 1-20; capital table p. 14</x:v>
      </x:c>
      <x:c r="R6" s="151" t="str">
        <x:v>Underlying member-weight allocation. Some CABEI directors represent more than one member and cast the votes represented by that constituency as a bloc; attendance can also change the meeting denominator.</x:v>
      </x:c>
      <x:c r="T6" s="154" t="str">
        <x:v>cabei</x:v>
      </x:c>
      <x:c r="U6" s="162" t="n">
        <x:f>SUMIFS($K$6:$K$44,$A$6:$A$44,T6)</x:f>
        <x:v>1</x:v>
      </x:c>
      <x:c r="V6" s="162" t="n">
        <x:f>SUMIFS($M$6:$M$44,$A$6:$A$44,T6)</x:f>
        <x:v>1</x:v>
      </x:c>
      <x:c r="W6" s="154" t="str">
        <x:f>IF(AND(ABS(U6-1)&lt;0.000001,ABS(V6-1)&lt;0.000001),"PASS","CHECK")</x:f>
        <x:v>PASS</x:v>
      </x:c>
    </x:row>
    <x:row r="7">
      <x:c r="A7" s="151" t="str">
        <x:v>cabei</x:v>
      </x:c>
      <x:c r="B7" s="151" t="str">
        <x:v>Central American Bank for Economic Integration</x:v>
      </x:c>
      <x:c r="C7" s="336" t="n">
        <x:v>45657</x:v>
      </x:c>
      <x:c r="D7" s="151" t="str">
        <x:v>Board of Directors</x:v>
      </x:c>
      <x:c r="E7" s="151" t="str">
        <x:v>El Salvador</x:v>
      </x:c>
      <x:c r="F7" s="151" t="str">
        <x:v>El Salvador</x:v>
      </x:c>
      <x:c r="G7" s="151" t="str">
        <x:v>Country</x:v>
      </x:c>
      <x:c r="H7" s="151" t="str">
        <x:v>A+C</x:v>
      </x:c>
      <x:c r="I7" s="334" t="n">
        <x:v>100157</x:v>
      </x:c>
      <x:c r="J7" s="334" t="n">
        <x:v>937411</x:v>
      </x:c>
      <x:c r="K7" s="335" t="n">
        <x:f>I7/J7</x:f>
        <x:v>0.10684427641664115</x:v>
      </x:c>
      <x:c r="L7" s="334" t="n">
        <x:v>937411</x:v>
      </x:c>
      <x:c r="M7" s="335" t="n">
        <x:f>IF(N7="Yes",I7/L7,"")</x:f>
        <x:v>0.10684427641664115</x:v>
      </x:c>
      <x:c r="N7" s="151" t="str">
        <x:v>Yes</x:v>
      </x:c>
      <x:c r="O7" s="151" t="str">
        <x:v>Majority of votes represented by directors present.</x:v>
      </x:c>
      <x:c r="P7" s="151" t="str">
        <x:v>https://www.bcie.org/api/documents/17913/RIDDA.Integrado.ENERO%202025.pdf</x:v>
      </x:c>
      <x:c r="Q7" s="151" t="str">
        <x:v>RIDDA art. 1-20; capital table p. 14</x:v>
      </x:c>
      <x:c r="R7" s="151" t="str">
        <x:v>Underlying member-weight allocation. Some CABEI directors represent more than one member and cast the votes represented by that constituency as a bloc; attendance can also change the meeting denominator.</x:v>
      </x:c>
      <x:c r="T7" s="154" t="str">
        <x:v>caf</x:v>
      </x:c>
      <x:c r="U7" s="162" t="n">
        <x:f>SUMIFS($K$6:$K$44,$A$6:$A$44,T7)</x:f>
        <x:v>0.9999999999999996</x:v>
      </x:c>
      <x:c r="V7" s="162" t="n">
        <x:f>SUMIFS($M$6:$M$44,$A$6:$A$44,T7)</x:f>
        <x:v>0.9999999999999996</x:v>
      </x:c>
      <x:c r="W7" s="154" t="str">
        <x:f>IF(AND(ABS(U7-1)&lt;0.000001,ABS(V7-1)&lt;0.000001),"PASS","CHECK")</x:f>
        <x:v>PASS</x:v>
      </x:c>
    </x:row>
    <x:row r="8">
      <x:c r="A8" s="151" t="str">
        <x:v>cabei</x:v>
      </x:c>
      <x:c r="B8" s="151" t="str">
        <x:v>Central American Bank for Economic Integration</x:v>
      </x:c>
      <x:c r="C8" s="336" t="n">
        <x:v>45657</x:v>
      </x:c>
      <x:c r="D8" s="151" t="str">
        <x:v>Board of Directors</x:v>
      </x:c>
      <x:c r="E8" s="151" t="str">
        <x:v>Honduras</x:v>
      </x:c>
      <x:c r="F8" s="151" t="str">
        <x:v>Honduras</x:v>
      </x:c>
      <x:c r="G8" s="151" t="str">
        <x:v>Country</x:v>
      </x:c>
      <x:c r="H8" s="151" t="str">
        <x:v>A+C</x:v>
      </x:c>
      <x:c r="I8" s="334" t="n">
        <x:v>100157</x:v>
      </x:c>
      <x:c r="J8" s="334" t="n">
        <x:v>937411</x:v>
      </x:c>
      <x:c r="K8" s="335" t="n">
        <x:f>I8/J8</x:f>
        <x:v>0.10684427641664115</x:v>
      </x:c>
      <x:c r="L8" s="334" t="n">
        <x:v>937411</x:v>
      </x:c>
      <x:c r="M8" s="335" t="n">
        <x:f>IF(N8="Yes",I8/L8,"")</x:f>
        <x:v>0.10684427641664115</x:v>
      </x:c>
      <x:c r="N8" s="151" t="str">
        <x:v>Yes</x:v>
      </x:c>
      <x:c r="O8" s="151" t="str">
        <x:v>Majority of votes represented by directors present.</x:v>
      </x:c>
      <x:c r="P8" s="151" t="str">
        <x:v>https://www.bcie.org/api/documents/17913/RIDDA.Integrado.ENERO%202025.pdf</x:v>
      </x:c>
      <x:c r="Q8" s="151" t="str">
        <x:v>RIDDA art. 1-20; capital table p. 14</x:v>
      </x:c>
      <x:c r="R8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9">
      <x:c r="A9" s="151" t="str">
        <x:v>cabei</x:v>
      </x:c>
      <x:c r="B9" s="151" t="str">
        <x:v>Central American Bank for Economic Integration</x:v>
      </x:c>
      <x:c r="C9" s="336" t="n">
        <x:v>45657</x:v>
      </x:c>
      <x:c r="D9" s="151" t="str">
        <x:v>Board of Directors</x:v>
      </x:c>
      <x:c r="E9" s="151" t="str">
        <x:v>Nicaragua</x:v>
      </x:c>
      <x:c r="F9" s="151" t="str">
        <x:v>Nicaragua</x:v>
      </x:c>
      <x:c r="G9" s="151" t="str">
        <x:v>Country</x:v>
      </x:c>
      <x:c r="H9" s="151" t="str">
        <x:v>A+C</x:v>
      </x:c>
      <x:c r="I9" s="334" t="n">
        <x:v>100157</x:v>
      </x:c>
      <x:c r="J9" s="334" t="n">
        <x:v>937411</x:v>
      </x:c>
      <x:c r="K9" s="335" t="n">
        <x:f>I9/J9</x:f>
        <x:v>0.10684427641664115</x:v>
      </x:c>
      <x:c r="L9" s="334" t="n">
        <x:v>937411</x:v>
      </x:c>
      <x:c r="M9" s="335" t="n">
        <x:f>IF(N9="Yes",I9/L9,"")</x:f>
        <x:v>0.10684427641664115</x:v>
      </x:c>
      <x:c r="N9" s="151" t="str">
        <x:v>Yes</x:v>
      </x:c>
      <x:c r="O9" s="151" t="str">
        <x:v>Majority of votes represented by directors present.</x:v>
      </x:c>
      <x:c r="P9" s="151" t="str">
        <x:v>https://www.bcie.org/api/documents/17913/RIDDA.Integrado.ENERO%202025.pdf</x:v>
      </x:c>
      <x:c r="Q9" s="151" t="str">
        <x:v>RIDDA art. 1-20; capital table p. 14</x:v>
      </x:c>
      <x:c r="R9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0">
      <x:c r="A10" s="151" t="str">
        <x:v>cabei</x:v>
      </x:c>
      <x:c r="B10" s="151" t="str">
        <x:v>Central American Bank for Economic Integration</x:v>
      </x:c>
      <x:c r="C10" s="336" t="n">
        <x:v>45657</x:v>
      </x:c>
      <x:c r="D10" s="151" t="str">
        <x:v>Board of Directors</x:v>
      </x:c>
      <x:c r="E10" s="151" t="str">
        <x:v>Costa Rica</x:v>
      </x:c>
      <x:c r="F10" s="151" t="str">
        <x:v>Costa Rica</x:v>
      </x:c>
      <x:c r="G10" s="151" t="str">
        <x:v>Country</x:v>
      </x:c>
      <x:c r="H10" s="151" t="str">
        <x:v>A+C</x:v>
      </x:c>
      <x:c r="I10" s="334" t="n">
        <x:v>100157</x:v>
      </x:c>
      <x:c r="J10" s="334" t="n">
        <x:v>937411</x:v>
      </x:c>
      <x:c r="K10" s="335" t="n">
        <x:f>I10/J10</x:f>
        <x:v>0.10684427641664115</x:v>
      </x:c>
      <x:c r="L10" s="334" t="n">
        <x:v>937411</x:v>
      </x:c>
      <x:c r="M10" s="335" t="n">
        <x:f>IF(N10="Yes",I10/L10,"")</x:f>
        <x:v>0.10684427641664115</x:v>
      </x:c>
      <x:c r="N10" s="151" t="str">
        <x:v>Yes</x:v>
      </x:c>
      <x:c r="O10" s="151" t="str">
        <x:v>Majority of votes represented by directors present.</x:v>
      </x:c>
      <x:c r="P10" s="151" t="str">
        <x:v>https://www.bcie.org/api/documents/17913/RIDDA.Integrado.ENERO%202025.pdf</x:v>
      </x:c>
      <x:c r="Q10" s="151" t="str">
        <x:v>RIDDA art. 1-20; capital table p. 14</x:v>
      </x:c>
      <x:c r="R10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1">
      <x:c r="A11" s="151" t="str">
        <x:v>cabei</x:v>
      </x:c>
      <x:c r="B11" s="151" t="str">
        <x:v>Central American Bank for Economic Integration</x:v>
      </x:c>
      <x:c r="C11" s="336" t="n">
        <x:v>45657</x:v>
      </x:c>
      <x:c r="D11" s="151" t="str">
        <x:v>Board of Directors</x:v>
      </x:c>
      <x:c r="E11" s="151" t="str">
        <x:v>Dominican Republic</x:v>
      </x:c>
      <x:c r="F11" s="151" t="str">
        <x:v>Dominican Republic</x:v>
      </x:c>
      <x:c r="G11" s="151" t="str">
        <x:v>Country</x:v>
      </x:c>
      <x:c r="H11" s="151" t="str">
        <x:v>B+C</x:v>
      </x:c>
      <x:c r="I11" s="334" t="n">
        <x:v>46557</x:v>
      </x:c>
      <x:c r="J11" s="334" t="n">
        <x:v>937411</x:v>
      </x:c>
      <x:c r="K11" s="335" t="n">
        <x:f>I11/J11</x:f>
        <x:v>0.049665514912882396</x:v>
      </x:c>
      <x:c r="L11" s="334" t="n">
        <x:v>937411</x:v>
      </x:c>
      <x:c r="M11" s="335" t="n">
        <x:f>IF(N11="Yes",I11/L11,"")</x:f>
        <x:v>0.049665514912882396</x:v>
      </x:c>
      <x:c r="N11" s="151" t="str">
        <x:v>Yes</x:v>
      </x:c>
      <x:c r="O11" s="151" t="str">
        <x:v>Majority of votes represented by directors present.</x:v>
      </x:c>
      <x:c r="P11" s="151" t="str">
        <x:v>https://www.bcie.org/api/documents/17913/RIDDA.Integrado.ENERO%202025.pdf</x:v>
      </x:c>
      <x:c r="Q11" s="151" t="str">
        <x:v>RIDDA art. 1-20; capital table p. 14</x:v>
      </x:c>
      <x:c r="R11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2">
      <x:c r="A12" s="151" t="str">
        <x:v>cabei</x:v>
      </x:c>
      <x:c r="B12" s="151" t="str">
        <x:v>Central American Bank for Economic Integration</x:v>
      </x:c>
      <x:c r="C12" s="336" t="n">
        <x:v>45657</x:v>
      </x:c>
      <x:c r="D12" s="151" t="str">
        <x:v>Board of Directors</x:v>
      </x:c>
      <x:c r="E12" s="151" t="str">
        <x:v>Panama</x:v>
      </x:c>
      <x:c r="F12" s="151" t="str">
        <x:v>Panama</x:v>
      </x:c>
      <x:c r="G12" s="151" t="str">
        <x:v>Country</x:v>
      </x:c>
      <x:c r="H12" s="151" t="str">
        <x:v>B+C</x:v>
      </x:c>
      <x:c r="I12" s="334" t="n">
        <x:v>44907</x:v>
      </x:c>
      <x:c r="J12" s="334" t="n">
        <x:v>937411</x:v>
      </x:c>
      <x:c r="K12" s="335" t="n">
        <x:f>I12/J12</x:f>
        <x:v>0.04790534781435251</x:v>
      </x:c>
      <x:c r="L12" s="334" t="n">
        <x:v>937411</x:v>
      </x:c>
      <x:c r="M12" s="335" t="n">
        <x:f>IF(N12="Yes",I12/L12,"")</x:f>
        <x:v>0.04790534781435251</x:v>
      </x:c>
      <x:c r="N12" s="151" t="str">
        <x:v>Yes</x:v>
      </x:c>
      <x:c r="O12" s="151" t="str">
        <x:v>Majority of votes represented by directors present.</x:v>
      </x:c>
      <x:c r="P12" s="151" t="str">
        <x:v>https://www.bcie.org/api/documents/17913/RIDDA.Integrado.ENERO%202025.pdf</x:v>
      </x:c>
      <x:c r="Q12" s="151" t="str">
        <x:v>RIDDA art. 1-20; capital table p. 14</x:v>
      </x:c>
      <x:c r="R12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3">
      <x:c r="A13" s="151" t="str">
        <x:v>cabei</x:v>
      </x:c>
      <x:c r="B13" s="151" t="str">
        <x:v>Central American Bank for Economic Integration</x:v>
      </x:c>
      <x:c r="C13" s="336" t="n">
        <x:v>45657</x:v>
      </x:c>
      <x:c r="D13" s="151" t="str">
        <x:v>Board of Directors</x:v>
      </x:c>
      <x:c r="E13" s="151" t="str">
        <x:v>Belize</x:v>
      </x:c>
      <x:c r="F13" s="151" t="str">
        <x:v>Belize</x:v>
      </x:c>
      <x:c r="G13" s="151" t="str">
        <x:v>Country</x:v>
      </x:c>
      <x:c r="H13" s="151" t="str">
        <x:v>B+C</x:v>
      </x:c>
      <x:c r="I13" s="334" t="n">
        <x:v>3132</x:v>
      </x:c>
      <x:c r="J13" s="334" t="n">
        <x:v>937411</x:v>
      </x:c>
      <x:c r="K13" s="335" t="n">
        <x:f>I13/J13</x:f>
        <x:v>0.0033411171833912768</x:v>
      </x:c>
      <x:c r="L13" s="334" t="n">
        <x:v>937411</x:v>
      </x:c>
      <x:c r="M13" s="335" t="n">
        <x:f>IF(N13="Yes",I13/L13,"")</x:f>
        <x:v>0.0033411171833912768</x:v>
      </x:c>
      <x:c r="N13" s="151" t="str">
        <x:v>Yes</x:v>
      </x:c>
      <x:c r="O13" s="151" t="str">
        <x:v>Majority of votes represented by directors present.</x:v>
      </x:c>
      <x:c r="P13" s="151" t="str">
        <x:v>https://www.bcie.org/api/documents/17913/RIDDA.Integrado.ENERO%202025.pdf</x:v>
      </x:c>
      <x:c r="Q13" s="151" t="str">
        <x:v>RIDDA art. 1-20; capital table p. 14</x:v>
      </x:c>
      <x:c r="R13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4">
      <x:c r="A14" s="151" t="str">
        <x:v>cabei</x:v>
      </x:c>
      <x:c r="B14" s="151" t="str">
        <x:v>Central American Bank for Economic Integration</x:v>
      </x:c>
      <x:c r="C14" s="336" t="n">
        <x:v>45657</x:v>
      </x:c>
      <x:c r="D14" s="151" t="str">
        <x:v>Board of Directors</x:v>
      </x:c>
      <x:c r="E14" s="151" t="str">
        <x:v>Taiwan</x:v>
      </x:c>
      <x:c r="F14" s="151" t="str">
        <x:v>Taiwan</x:v>
      </x:c>
      <x:c r="G14" s="151" t="str">
        <x:v>Country</x:v>
      </x:c>
      <x:c r="H14" s="151" t="str">
        <x:v>B+C</x:v>
      </x:c>
      <x:c r="I14" s="334" t="n">
        <x:v>106588</x:v>
      </x:c>
      <x:c r="J14" s="334" t="n">
        <x:v>937411</x:v>
      </x:c>
      <x:c r="K14" s="335" t="n">
        <x:f>I14/J14</x:f>
        <x:v>0.1137046610291537</x:v>
      </x:c>
      <x:c r="L14" s="334" t="n">
        <x:v>937411</x:v>
      </x:c>
      <x:c r="M14" s="335" t="n">
        <x:f>IF(N14="Yes",I14/L14,"")</x:f>
        <x:v>0.1137046610291537</x:v>
      </x:c>
      <x:c r="N14" s="151" t="str">
        <x:v>Yes</x:v>
      </x:c>
      <x:c r="O14" s="151" t="str">
        <x:v>Majority of votes represented by directors present.</x:v>
      </x:c>
      <x:c r="P14" s="151" t="str">
        <x:v>https://www.bcie.org/api/documents/17913/RIDDA.Integrado.ENERO%202025.pdf</x:v>
      </x:c>
      <x:c r="Q14" s="151" t="str">
        <x:v>RIDDA art. 1-20; capital table p. 14</x:v>
      </x:c>
      <x:c r="R14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5">
      <x:c r="A15" s="151" t="str">
        <x:v>cabei</x:v>
      </x:c>
      <x:c r="B15" s="151" t="str">
        <x:v>Central American Bank for Economic Integration</x:v>
      </x:c>
      <x:c r="C15" s="336" t="n">
        <x:v>45657</x:v>
      </x:c>
      <x:c r="D15" s="151" t="str">
        <x:v>Board of Directors</x:v>
      </x:c>
      <x:c r="E15" s="151" t="str">
        <x:v>Korea, Republic of</x:v>
      </x:c>
      <x:c r="F15" s="151" t="str">
        <x:v>Korea, Republic of</x:v>
      </x:c>
      <x:c r="G15" s="151" t="str">
        <x:v>Country</x:v>
      </x:c>
      <x:c r="H15" s="151" t="str">
        <x:v>B+C</x:v>
      </x:c>
      <x:c r="I15" s="334" t="n">
        <x:v>71177</x:v>
      </x:c>
      <x:c r="J15" s="334" t="n">
        <x:v>937411</x:v>
      </x:c>
      <x:c r="K15" s="335" t="n">
        <x:f>I15/J15</x:f>
        <x:v>0.07592934155882532</x:v>
      </x:c>
      <x:c r="L15" s="334" t="n">
        <x:v>937411</x:v>
      </x:c>
      <x:c r="M15" s="335" t="n">
        <x:f>IF(N15="Yes",I15/L15,"")</x:f>
        <x:v>0.07592934155882532</x:v>
      </x:c>
      <x:c r="N15" s="151" t="str">
        <x:v>Yes</x:v>
      </x:c>
      <x:c r="O15" s="151" t="str">
        <x:v>Majority of votes represented by directors present.</x:v>
      </x:c>
      <x:c r="P15" s="151" t="str">
        <x:v>https://www.bcie.org/api/documents/17913/RIDDA.Integrado.ENERO%202025.pdf</x:v>
      </x:c>
      <x:c r="Q15" s="151" t="str">
        <x:v>RIDDA art. 1-20; capital table p. 14</x:v>
      </x:c>
      <x:c r="R15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6">
      <x:c r="A16" s="151" t="str">
        <x:v>cabei</x:v>
      </x:c>
      <x:c r="B16" s="151" t="str">
        <x:v>Central American Bank for Economic Integration</x:v>
      </x:c>
      <x:c r="C16" s="336" t="n">
        <x:v>45657</x:v>
      </x:c>
      <x:c r="D16" s="151" t="str">
        <x:v>Board of Directors</x:v>
      </x:c>
      <x:c r="E16" s="151" t="str">
        <x:v>Mexico</x:v>
      </x:c>
      <x:c r="F16" s="151" t="str">
        <x:v>Mexico</x:v>
      </x:c>
      <x:c r="G16" s="151" t="str">
        <x:v>Country</x:v>
      </x:c>
      <x:c r="H16" s="151" t="str">
        <x:v>B+C</x:v>
      </x:c>
      <x:c r="I16" s="334" t="n">
        <x:v>46656</x:v>
      </x:c>
      <x:c r="J16" s="334" t="n">
        <x:v>937411</x:v>
      </x:c>
      <x:c r="K16" s="335" t="n">
        <x:f>I16/J16</x:f>
        <x:v>0.04977112493879419</x:v>
      </x:c>
      <x:c r="L16" s="334" t="n">
        <x:v>937411</x:v>
      </x:c>
      <x:c r="M16" s="335" t="n">
        <x:f>IF(N16="Yes",I16/L16,"")</x:f>
        <x:v>0.04977112493879419</x:v>
      </x:c>
      <x:c r="N16" s="151" t="str">
        <x:v>Yes</x:v>
      </x:c>
      <x:c r="O16" s="151" t="str">
        <x:v>Majority of votes represented by directors present.</x:v>
      </x:c>
      <x:c r="P16" s="151" t="str">
        <x:v>https://www.bcie.org/api/documents/17913/RIDDA.Integrado.ENERO%202025.pdf</x:v>
      </x:c>
      <x:c r="Q16" s="151" t="str">
        <x:v>RIDDA art. 1-20; capital table p. 14</x:v>
      </x:c>
      <x:c r="R16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7">
      <x:c r="A17" s="151" t="str">
        <x:v>cabei</x:v>
      </x:c>
      <x:c r="B17" s="151" t="str">
        <x:v>Central American Bank for Economic Integration</x:v>
      </x:c>
      <x:c r="C17" s="336" t="n">
        <x:v>45657</x:v>
      </x:c>
      <x:c r="D17" s="151" t="str">
        <x:v>Board of Directors</x:v>
      </x:c>
      <x:c r="E17" s="151" t="str">
        <x:v>Argentina</x:v>
      </x:c>
      <x:c r="F17" s="151" t="str">
        <x:v>Argentina</x:v>
      </x:c>
      <x:c r="G17" s="151" t="str">
        <x:v>Country</x:v>
      </x:c>
      <x:c r="H17" s="151" t="str">
        <x:v>B+C</x:v>
      </x:c>
      <x:c r="I17" s="334" t="n">
        <x:v>43872</x:v>
      </x:c>
      <x:c r="J17" s="334" t="n">
        <x:v>937411</x:v>
      </x:c>
      <x:c r="K17" s="335" t="n">
        <x:f>I17/J17</x:f>
        <x:v>0.046801242998001945</x:v>
      </x:c>
      <x:c r="L17" s="334" t="n">
        <x:v>937411</x:v>
      </x:c>
      <x:c r="M17" s="335" t="n">
        <x:f>IF(N17="Yes",I17/L17,"")</x:f>
        <x:v>0.046801242998001945</x:v>
      </x:c>
      <x:c r="N17" s="151" t="str">
        <x:v>Yes</x:v>
      </x:c>
      <x:c r="O17" s="151" t="str">
        <x:v>Majority of votes represented by directors present.</x:v>
      </x:c>
      <x:c r="P17" s="151" t="str">
        <x:v>https://www.bcie.org/api/documents/17913/RIDDA.Integrado.ENERO%202025.pdf</x:v>
      </x:c>
      <x:c r="Q17" s="151" t="str">
        <x:v>RIDDA art. 1-20; capital table p. 14</x:v>
      </x:c>
      <x:c r="R17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8">
      <x:c r="A18" s="151" t="str">
        <x:v>cabei</x:v>
      </x:c>
      <x:c r="B18" s="151" t="str">
        <x:v>Central American Bank for Economic Integration</x:v>
      </x:c>
      <x:c r="C18" s="336" t="n">
        <x:v>45657</x:v>
      </x:c>
      <x:c r="D18" s="151" t="str">
        <x:v>Board of Directors</x:v>
      </x:c>
      <x:c r="E18" s="151" t="str">
        <x:v>Spain</x:v>
      </x:c>
      <x:c r="F18" s="151" t="str">
        <x:v>Spain</x:v>
      </x:c>
      <x:c r="G18" s="151" t="str">
        <x:v>Country</x:v>
      </x:c>
      <x:c r="H18" s="151" t="str">
        <x:v>B+C</x:v>
      </x:c>
      <x:c r="I18" s="334" t="n">
        <x:v>39277</x:v>
      </x:c>
      <x:c r="J18" s="334" t="n">
        <x:v>937411</x:v>
      </x:c>
      <x:c r="K18" s="335" t="n">
        <x:f>I18/J18</x:f>
        <x:v>0.041899444320580834</x:v>
      </x:c>
      <x:c r="L18" s="334" t="n">
        <x:v>937411</x:v>
      </x:c>
      <x:c r="M18" s="335" t="n">
        <x:f>IF(N18="Yes",I18/L18,"")</x:f>
        <x:v>0.041899444320580834</x:v>
      </x:c>
      <x:c r="N18" s="151" t="str">
        <x:v>Yes</x:v>
      </x:c>
      <x:c r="O18" s="151" t="str">
        <x:v>Majority of votes represented by directors present.</x:v>
      </x:c>
      <x:c r="P18" s="151" t="str">
        <x:v>https://www.bcie.org/api/documents/17913/RIDDA.Integrado.ENERO%202025.pdf</x:v>
      </x:c>
      <x:c r="Q18" s="151" t="str">
        <x:v>RIDDA art. 1-20; capital table p. 14</x:v>
      </x:c>
      <x:c r="R18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19">
      <x:c r="A19" s="151" t="str">
        <x:v>cabei</x:v>
      </x:c>
      <x:c r="B19" s="151" t="str">
        <x:v>Central American Bank for Economic Integration</x:v>
      </x:c>
      <x:c r="C19" s="336" t="n">
        <x:v>45657</x:v>
      </x:c>
      <x:c r="D19" s="151" t="str">
        <x:v>Board of Directors</x:v>
      </x:c>
      <x:c r="E19" s="151" t="str">
        <x:v>Colombia</x:v>
      </x:c>
      <x:c r="F19" s="151" t="str">
        <x:v>Colombia</x:v>
      </x:c>
      <x:c r="G19" s="151" t="str">
        <x:v>Country</x:v>
      </x:c>
      <x:c r="H19" s="151" t="str">
        <x:v>B+C</x:v>
      </x:c>
      <x:c r="I19" s="334" t="n">
        <x:v>28449</x:v>
      </x:c>
      <x:c r="J19" s="334" t="n">
        <x:v>937411</x:v>
      </x:c>
      <x:c r="K19" s="335" t="n">
        <x:f>I19/J19</x:f>
        <x:v>0.030348481082470763</x:v>
      </x:c>
      <x:c r="L19" s="334" t="n">
        <x:v>937411</x:v>
      </x:c>
      <x:c r="M19" s="335" t="n">
        <x:f>IF(N19="Yes",I19/L19,"")</x:f>
        <x:v>0.030348481082470763</x:v>
      </x:c>
      <x:c r="N19" s="151" t="str">
        <x:v>Yes</x:v>
      </x:c>
      <x:c r="O19" s="151" t="str">
        <x:v>Majority of votes represented by directors present.</x:v>
      </x:c>
      <x:c r="P19" s="151" t="str">
        <x:v>https://www.bcie.org/api/documents/17913/RIDDA.Integrado.ENERO%202025.pdf</x:v>
      </x:c>
      <x:c r="Q19" s="151" t="str">
        <x:v>RIDDA art. 1-20; capital table p. 14</x:v>
      </x:c>
      <x:c r="R19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20">
      <x:c r="A20" s="151" t="str">
        <x:v>cabei</x:v>
      </x:c>
      <x:c r="B20" s="151" t="str">
        <x:v>Central American Bank for Economic Integration</x:v>
      </x:c>
      <x:c r="C20" s="336" t="n">
        <x:v>45657</x:v>
      </x:c>
      <x:c r="D20" s="151" t="str">
        <x:v>Board of Directors</x:v>
      </x:c>
      <x:c r="E20" s="151" t="str">
        <x:v>Cuba</x:v>
      </x:c>
      <x:c r="F20" s="151" t="str">
        <x:v>Cuba</x:v>
      </x:c>
      <x:c r="G20" s="151" t="str">
        <x:v>Country</x:v>
      </x:c>
      <x:c r="H20" s="151" t="str">
        <x:v>B+C</x:v>
      </x:c>
      <x:c r="I20" s="334" t="n">
        <x:v>6011</x:v>
      </x:c>
      <x:c r="J20" s="334" t="n">
        <x:v>937411</x:v>
      </x:c>
      <x:c r="K20" s="335" t="n">
        <x:f>I20/J20</x:f>
        <x:v>0.006412342078341304</x:v>
      </x:c>
      <x:c r="L20" s="334" t="n">
        <x:v>937411</x:v>
      </x:c>
      <x:c r="M20" s="335" t="n">
        <x:f>IF(N20="Yes",I20/L20,"")</x:f>
        <x:v>0.006412342078341304</x:v>
      </x:c>
      <x:c r="N20" s="151" t="str">
        <x:v>Yes</x:v>
      </x:c>
      <x:c r="O20" s="151" t="str">
        <x:v>Majority of votes represented by directors present.</x:v>
      </x:c>
      <x:c r="P20" s="151" t="str">
        <x:v>https://www.bcie.org/api/documents/17913/RIDDA.Integrado.ENERO%202025.pdf</x:v>
      </x:c>
      <x:c r="Q20" s="151" t="str">
        <x:v>RIDDA art. 1-20; capital table p. 14</x:v>
      </x:c>
      <x:c r="R20" s="151" t="str">
        <x:v>Underlying member-weight allocation. Some CABEI directors represent more than one member and cast the votes represented by that constituency as a bloc; attendance can also change the meeting denominator.</x:v>
      </x:c>
    </x:row>
    <x:row r="21">
      <x:c r="A21" s="151" t="str">
        <x:v>caf</x:v>
      </x:c>
      <x:c r="B21" s="151" t="str">
        <x:v>Development Bank of Latin America and the Caribbean</x:v>
      </x:c>
      <x:c r="C21" s="336" t="n">
        <x:v>45657</x:v>
      </x:c>
      <x:c r="D21" s="151" t="str">
        <x:v>Board of Directors</x:v>
      </x:c>
      <x:c r="E21" s="151" t="str">
        <x:v>Argentina — Series A seat</x:v>
      </x:c>
      <x:c r="F21" s="151" t="str">
        <x:v>Argentina</x:v>
      </x:c>
      <x:c r="G21" s="151" t="str">
        <x:v>Country</x:v>
      </x:c>
      <x:c r="H21" s="151" t="str">
        <x:v>Series A</x:v>
      </x:c>
      <x:c r="I21" s="334" t="n">
        <x:v>1</x:v>
      </x:c>
      <x:c r="J21" s="334" t="n">
        <x:v>24</x:v>
      </x:c>
      <x:c r="K21" s="335" t="n">
        <x:f>I21/J21</x:f>
        <x:v>0.041666666666666664</x:v>
      </x:c>
      <x:c r="L21" s="334" t="n">
        <x:v>23</x:v>
      </x:c>
      <x:c r="M21" s="335" t="n">
        <x:f>IF(N21="Yes",I21/L21,"")</x:f>
        <x:v>0.043478260869565216</x:v>
      </x:c>
      <x:c r="N21" s="151" t="str">
        <x:v>Yes</x:v>
      </x:c>
      <x:c r="O21" s="151" t="str">
        <x:v>Majority, no fewer than half plus one of directors present.</x:v>
      </x:c>
      <x:c r="P21" s="151" t="str">
        <x:v>https://www.caf.com/media/4680568/convenio-constitutivo-ingles.pdf</x:v>
      </x:c>
      <x:c r="Q21" s="151" t="str">
        <x:v>Arts. 24, 26 and 27(f)</x:v>
      </x:c>
      <x:c r="R21" s="151" t="str">
        <x:v>One director, one vote.</x:v>
      </x:c>
    </x:row>
    <x:row r="22">
      <x:c r="A22" s="151" t="str">
        <x:v>caf</x:v>
      </x:c>
      <x:c r="B22" s="151" t="str">
        <x:v>Development Bank of Latin America and the Caribbean</x:v>
      </x:c>
      <x:c r="C22" s="336" t="n">
        <x:v>45657</x:v>
      </x:c>
      <x:c r="D22" s="151" t="str">
        <x:v>Board of Directors</x:v>
      </x:c>
      <x:c r="E22" s="151" t="str">
        <x:v>Bolivia — Series A seat</x:v>
      </x:c>
      <x:c r="F22" s="151" t="str">
        <x:v>Bolivia</x:v>
      </x:c>
      <x:c r="G22" s="151" t="str">
        <x:v>Country</x:v>
      </x:c>
      <x:c r="H22" s="151" t="str">
        <x:v>Series A</x:v>
      </x:c>
      <x:c r="I22" s="334" t="n">
        <x:v>1</x:v>
      </x:c>
      <x:c r="J22" s="334" t="n">
        <x:v>24</x:v>
      </x:c>
      <x:c r="K22" s="335" t="n">
        <x:f>I22/J22</x:f>
        <x:v>0.041666666666666664</x:v>
      </x:c>
      <x:c r="L22" s="334" t="n">
        <x:v>23</x:v>
      </x:c>
      <x:c r="M22" s="335" t="n">
        <x:f>IF(N22="Yes",I22/L22,"")</x:f>
        <x:v>0.043478260869565216</x:v>
      </x:c>
      <x:c r="N22" s="151" t="str">
        <x:v>Yes</x:v>
      </x:c>
      <x:c r="O22" s="151" t="str">
        <x:v>Majority, no fewer than half plus one of directors present.</x:v>
      </x:c>
      <x:c r="P22" s="151" t="str">
        <x:v>https://www.caf.com/media/4680568/convenio-constitutivo-ingles.pdf</x:v>
      </x:c>
      <x:c r="Q22" s="151" t="str">
        <x:v>Arts. 24, 26 and 27(f)</x:v>
      </x:c>
      <x:c r="R22" s="151" t="str">
        <x:v>One director, one vote.</x:v>
      </x:c>
    </x:row>
    <x:row r="23">
      <x:c r="A23" s="151" t="str">
        <x:v>caf</x:v>
      </x:c>
      <x:c r="B23" s="151" t="str">
        <x:v>Development Bank of Latin America and the Caribbean</x:v>
      </x:c>
      <x:c r="C23" s="336" t="n">
        <x:v>45657</x:v>
      </x:c>
      <x:c r="D23" s="151" t="str">
        <x:v>Board of Directors</x:v>
      </x:c>
      <x:c r="E23" s="151" t="str">
        <x:v>Brazil — Series A seat</x:v>
      </x:c>
      <x:c r="F23" s="151" t="str">
        <x:v>Brazil</x:v>
      </x:c>
      <x:c r="G23" s="151" t="str">
        <x:v>Country</x:v>
      </x:c>
      <x:c r="H23" s="151" t="str">
        <x:v>Series A</x:v>
      </x:c>
      <x:c r="I23" s="334" t="n">
        <x:v>1</x:v>
      </x:c>
      <x:c r="J23" s="334" t="n">
        <x:v>24</x:v>
      </x:c>
      <x:c r="K23" s="335" t="n">
        <x:f>I23/J23</x:f>
        <x:v>0.041666666666666664</x:v>
      </x:c>
      <x:c r="L23" s="334" t="n">
        <x:v>23</x:v>
      </x:c>
      <x:c r="M23" s="335" t="n">
        <x:f>IF(N23="Yes",I23/L23,"")</x:f>
        <x:v>0.043478260869565216</x:v>
      </x:c>
      <x:c r="N23" s="151" t="str">
        <x:v>Yes</x:v>
      </x:c>
      <x:c r="O23" s="151" t="str">
        <x:v>Majority, no fewer than half plus one of directors present.</x:v>
      </x:c>
      <x:c r="P23" s="151" t="str">
        <x:v>https://www.caf.com/media/4680568/convenio-constitutivo-ingles.pdf</x:v>
      </x:c>
      <x:c r="Q23" s="151" t="str">
        <x:v>Arts. 24, 26 and 27(f)</x:v>
      </x:c>
      <x:c r="R23" s="151" t="str">
        <x:v>One director, one vote.</x:v>
      </x:c>
    </x:row>
    <x:row r="24">
      <x:c r="A24" s="151" t="str">
        <x:v>caf</x:v>
      </x:c>
      <x:c r="B24" s="151" t="str">
        <x:v>Development Bank of Latin America and the Caribbean</x:v>
      </x:c>
      <x:c r="C24" s="336" t="n">
        <x:v>45657</x:v>
      </x:c>
      <x:c r="D24" s="151" t="str">
        <x:v>Board of Directors</x:v>
      </x:c>
      <x:c r="E24" s="151" t="str">
        <x:v>Chile — Series A seat</x:v>
      </x:c>
      <x:c r="F24" s="151" t="str">
        <x:v>Chile</x:v>
      </x:c>
      <x:c r="G24" s="151" t="str">
        <x:v>Country</x:v>
      </x:c>
      <x:c r="H24" s="151" t="str">
        <x:v>Series A</x:v>
      </x:c>
      <x:c r="I24" s="334" t="n">
        <x:v>1</x:v>
      </x:c>
      <x:c r="J24" s="334" t="n">
        <x:v>24</x:v>
      </x:c>
      <x:c r="K24" s="335" t="n">
        <x:f>I24/J24</x:f>
        <x:v>0.041666666666666664</x:v>
      </x:c>
      <x:c r="L24" s="334" t="n">
        <x:v>23</x:v>
      </x:c>
      <x:c r="M24" s="335" t="n">
        <x:f>IF(N24="Yes",I24/L24,"")</x:f>
        <x:v>0.043478260869565216</x:v>
      </x:c>
      <x:c r="N24" s="151" t="str">
        <x:v>Yes</x:v>
      </x:c>
      <x:c r="O24" s="151" t="str">
        <x:v>Majority, no fewer than half plus one of directors present.</x:v>
      </x:c>
      <x:c r="P24" s="151" t="str">
        <x:v>https://www.caf.com/media/4680568/convenio-constitutivo-ingles.pdf</x:v>
      </x:c>
      <x:c r="Q24" s="151" t="str">
        <x:v>Arts. 24, 26 and 27(f)</x:v>
      </x:c>
      <x:c r="R24" s="151" t="str">
        <x:v>One director, one vote.</x:v>
      </x:c>
    </x:row>
    <x:row r="25">
      <x:c r="A25" s="151" t="str">
        <x:v>caf</x:v>
      </x:c>
      <x:c r="B25" s="151" t="str">
        <x:v>Development Bank of Latin America and the Caribbean</x:v>
      </x:c>
      <x:c r="C25" s="336" t="n">
        <x:v>45657</x:v>
      </x:c>
      <x:c r="D25" s="151" t="str">
        <x:v>Board of Directors</x:v>
      </x:c>
      <x:c r="E25" s="151" t="str">
        <x:v>Colombia — Series A seat</x:v>
      </x:c>
      <x:c r="F25" s="151" t="str">
        <x:v>Colombia</x:v>
      </x:c>
      <x:c r="G25" s="151" t="str">
        <x:v>Country</x:v>
      </x:c>
      <x:c r="H25" s="151" t="str">
        <x:v>Series A</x:v>
      </x:c>
      <x:c r="I25" s="334" t="n">
        <x:v>1</x:v>
      </x:c>
      <x:c r="J25" s="334" t="n">
        <x:v>24</x:v>
      </x:c>
      <x:c r="K25" s="335" t="n">
        <x:f>I25/J25</x:f>
        <x:v>0.041666666666666664</x:v>
      </x:c>
      <x:c r="L25" s="334" t="n">
        <x:v>23</x:v>
      </x:c>
      <x:c r="M25" s="335" t="n">
        <x:f>IF(N25="Yes",I25/L25,"")</x:f>
        <x:v>0.043478260869565216</x:v>
      </x:c>
      <x:c r="N25" s="151" t="str">
        <x:v>Yes</x:v>
      </x:c>
      <x:c r="O25" s="151" t="str">
        <x:v>Majority, no fewer than half plus one of directors present.</x:v>
      </x:c>
      <x:c r="P25" s="151" t="str">
        <x:v>https://www.caf.com/media/4680568/convenio-constitutivo-ingles.pdf</x:v>
      </x:c>
      <x:c r="Q25" s="151" t="str">
        <x:v>Arts. 24, 26 and 27(f)</x:v>
      </x:c>
      <x:c r="R25" s="151" t="str">
        <x:v>One director, one vote.</x:v>
      </x:c>
    </x:row>
    <x:row r="26">
      <x:c r="A26" s="151" t="str">
        <x:v>caf</x:v>
      </x:c>
      <x:c r="B26" s="151" t="str">
        <x:v>Development Bank of Latin America and the Caribbean</x:v>
      </x:c>
      <x:c r="C26" s="336" t="n">
        <x:v>45657</x:v>
      </x:c>
      <x:c r="D26" s="151" t="str">
        <x:v>Board of Directors</x:v>
      </x:c>
      <x:c r="E26" s="151" t="str">
        <x:v>Costa Rica — Series A seat</x:v>
      </x:c>
      <x:c r="F26" s="151" t="str">
        <x:v>Costa Rica</x:v>
      </x:c>
      <x:c r="G26" s="151" t="str">
        <x:v>Country</x:v>
      </x:c>
      <x:c r="H26" s="151" t="str">
        <x:v>Series A</x:v>
      </x:c>
      <x:c r="I26" s="334" t="n">
        <x:v>1</x:v>
      </x:c>
      <x:c r="J26" s="334" t="n">
        <x:v>24</x:v>
      </x:c>
      <x:c r="K26" s="335" t="n">
        <x:f>I26/J26</x:f>
        <x:v>0.041666666666666664</x:v>
      </x:c>
      <x:c r="L26" s="334" t="n">
        <x:v>23</x:v>
      </x:c>
      <x:c r="M26" s="335" t="n">
        <x:f>IF(N26="Yes",I26/L26,"")</x:f>
        <x:v>0.043478260869565216</x:v>
      </x:c>
      <x:c r="N26" s="151" t="str">
        <x:v>Yes</x:v>
      </x:c>
      <x:c r="O26" s="151" t="str">
        <x:v>Majority, no fewer than half plus one of directors present.</x:v>
      </x:c>
      <x:c r="P26" s="151" t="str">
        <x:v>https://www.caf.com/media/4680568/convenio-constitutivo-ingles.pdf</x:v>
      </x:c>
      <x:c r="Q26" s="151" t="str">
        <x:v>Arts. 24, 26 and 27(f)</x:v>
      </x:c>
      <x:c r="R26" s="151" t="str">
        <x:v>One director, one vote.</x:v>
      </x:c>
    </x:row>
    <x:row r="27">
      <x:c r="A27" s="151" t="str">
        <x:v>caf</x:v>
      </x:c>
      <x:c r="B27" s="151" t="str">
        <x:v>Development Bank of Latin America and the Caribbean</x:v>
      </x:c>
      <x:c r="C27" s="336" t="n">
        <x:v>45657</x:v>
      </x:c>
      <x:c r="D27" s="151" t="str">
        <x:v>Board of Directors</x:v>
      </x:c>
      <x:c r="E27" s="151" t="str">
        <x:v>Dominican Republic — Series A seat</x:v>
      </x:c>
      <x:c r="F27" s="151" t="str">
        <x:v>Dominican Republic</x:v>
      </x:c>
      <x:c r="G27" s="151" t="str">
        <x:v>Country</x:v>
      </x:c>
      <x:c r="H27" s="151" t="str">
        <x:v>Series A</x:v>
      </x:c>
      <x:c r="I27" s="334" t="n">
        <x:v>1</x:v>
      </x:c>
      <x:c r="J27" s="334" t="n">
        <x:v>24</x:v>
      </x:c>
      <x:c r="K27" s="335" t="n">
        <x:f>I27/J27</x:f>
        <x:v>0.041666666666666664</x:v>
      </x:c>
      <x:c r="L27" s="334" t="n">
        <x:v>23</x:v>
      </x:c>
      <x:c r="M27" s="335" t="n">
        <x:f>IF(N27="Yes",I27/L27,"")</x:f>
        <x:v>0.043478260869565216</x:v>
      </x:c>
      <x:c r="N27" s="151" t="str">
        <x:v>Yes</x:v>
      </x:c>
      <x:c r="O27" s="151" t="str">
        <x:v>Majority, no fewer than half plus one of directors present.</x:v>
      </x:c>
      <x:c r="P27" s="151" t="str">
        <x:v>https://www.caf.com/media/4680568/convenio-constitutivo-ingles.pdf</x:v>
      </x:c>
      <x:c r="Q27" s="151" t="str">
        <x:v>Arts. 24, 26 and 27(f)</x:v>
      </x:c>
      <x:c r="R27" s="151" t="str">
        <x:v>One director, one vote.</x:v>
      </x:c>
    </x:row>
    <x:row r="28">
      <x:c r="A28" s="151" t="str">
        <x:v>caf</x:v>
      </x:c>
      <x:c r="B28" s="151" t="str">
        <x:v>Development Bank of Latin America and the Caribbean</x:v>
      </x:c>
      <x:c r="C28" s="336" t="n">
        <x:v>45657</x:v>
      </x:c>
      <x:c r="D28" s="151" t="str">
        <x:v>Board of Directors</x:v>
      </x:c>
      <x:c r="E28" s="151" t="str">
        <x:v>Ecuador — Series A seat</x:v>
      </x:c>
      <x:c r="F28" s="151" t="str">
        <x:v>Ecuador</x:v>
      </x:c>
      <x:c r="G28" s="151" t="str">
        <x:v>Country</x:v>
      </x:c>
      <x:c r="H28" s="151" t="str">
        <x:v>Series A</x:v>
      </x:c>
      <x:c r="I28" s="334" t="n">
        <x:v>1</x:v>
      </x:c>
      <x:c r="J28" s="334" t="n">
        <x:v>24</x:v>
      </x:c>
      <x:c r="K28" s="335" t="n">
        <x:f>I28/J28</x:f>
        <x:v>0.041666666666666664</x:v>
      </x:c>
      <x:c r="L28" s="334" t="n">
        <x:v>23</x:v>
      </x:c>
      <x:c r="M28" s="335" t="n">
        <x:f>IF(N28="Yes",I28/L28,"")</x:f>
        <x:v>0.043478260869565216</x:v>
      </x:c>
      <x:c r="N28" s="151" t="str">
        <x:v>Yes</x:v>
      </x:c>
      <x:c r="O28" s="151" t="str">
        <x:v>Majority, no fewer than half plus one of directors present.</x:v>
      </x:c>
      <x:c r="P28" s="151" t="str">
        <x:v>https://www.caf.com/media/4680568/convenio-constitutivo-ingles.pdf</x:v>
      </x:c>
      <x:c r="Q28" s="151" t="str">
        <x:v>Arts. 24, 26 and 27(f)</x:v>
      </x:c>
      <x:c r="R28" s="151" t="str">
        <x:v>One director, one vote.</x:v>
      </x:c>
    </x:row>
    <x:row r="29">
      <x:c r="A29" s="151" t="str">
        <x:v>caf</x:v>
      </x:c>
      <x:c r="B29" s="151" t="str">
        <x:v>Development Bank of Latin America and the Caribbean</x:v>
      </x:c>
      <x:c r="C29" s="336" t="n">
        <x:v>45657</x:v>
      </x:c>
      <x:c r="D29" s="151" t="str">
        <x:v>Board of Directors</x:v>
      </x:c>
      <x:c r="E29" s="151" t="str">
        <x:v>El Salvador — Series A seat</x:v>
      </x:c>
      <x:c r="F29" s="151" t="str">
        <x:v>El Salvador</x:v>
      </x:c>
      <x:c r="G29" s="151" t="str">
        <x:v>Country</x:v>
      </x:c>
      <x:c r="H29" s="151" t="str">
        <x:v>Series A</x:v>
      </x:c>
      <x:c r="I29" s="334" t="n">
        <x:v>1</x:v>
      </x:c>
      <x:c r="J29" s="334" t="n">
        <x:v>24</x:v>
      </x:c>
      <x:c r="K29" s="335" t="n">
        <x:f>I29/J29</x:f>
        <x:v>0.041666666666666664</x:v>
      </x:c>
      <x:c r="L29" s="334" t="n">
        <x:v>23</x:v>
      </x:c>
      <x:c r="M29" s="335" t="n">
        <x:f>IF(N29="Yes",I29/L29,"")</x:f>
        <x:v>0.043478260869565216</x:v>
      </x:c>
      <x:c r="N29" s="151" t="str">
        <x:v>Yes</x:v>
      </x:c>
      <x:c r="O29" s="151" t="str">
        <x:v>Majority, no fewer than half plus one of directors present.</x:v>
      </x:c>
      <x:c r="P29" s="151" t="str">
        <x:v>https://www.caf.com/media/4680568/convenio-constitutivo-ingles.pdf</x:v>
      </x:c>
      <x:c r="Q29" s="151" t="str">
        <x:v>Arts. 24, 26 and 27(f)</x:v>
      </x:c>
      <x:c r="R29" s="151" t="str">
        <x:v>One director, one vote.</x:v>
      </x:c>
    </x:row>
    <x:row r="30">
      <x:c r="A30" s="151" t="str">
        <x:v>caf</x:v>
      </x:c>
      <x:c r="B30" s="151" t="str">
        <x:v>Development Bank of Latin America and the Caribbean</x:v>
      </x:c>
      <x:c r="C30" s="336" t="n">
        <x:v>45657</x:v>
      </x:c>
      <x:c r="D30" s="151" t="str">
        <x:v>Board of Directors</x:v>
      </x:c>
      <x:c r="E30" s="151" t="str">
        <x:v>Honduras — Series A seat</x:v>
      </x:c>
      <x:c r="F30" s="151" t="str">
        <x:v>Honduras</x:v>
      </x:c>
      <x:c r="G30" s="151" t="str">
        <x:v>Country</x:v>
      </x:c>
      <x:c r="H30" s="151" t="str">
        <x:v>Series A</x:v>
      </x:c>
      <x:c r="I30" s="334" t="n">
        <x:v>1</x:v>
      </x:c>
      <x:c r="J30" s="334" t="n">
        <x:v>24</x:v>
      </x:c>
      <x:c r="K30" s="335" t="n">
        <x:f>I30/J30</x:f>
        <x:v>0.041666666666666664</x:v>
      </x:c>
      <x:c r="L30" s="334" t="n">
        <x:v>23</x:v>
      </x:c>
      <x:c r="M30" s="335" t="n">
        <x:f>IF(N30="Yes",I30/L30,"")</x:f>
        <x:v>0.043478260869565216</x:v>
      </x:c>
      <x:c r="N30" s="151" t="str">
        <x:v>Yes</x:v>
      </x:c>
      <x:c r="O30" s="151" t="str">
        <x:v>Majority, no fewer than half plus one of directors present.</x:v>
      </x:c>
      <x:c r="P30" s="151" t="str">
        <x:v>https://www.caf.com/media/4680568/convenio-constitutivo-ingles.pdf</x:v>
      </x:c>
      <x:c r="Q30" s="151" t="str">
        <x:v>Arts. 24, 26 and 27(f)</x:v>
      </x:c>
      <x:c r="R30" s="151" t="str">
        <x:v>One director, one vote.</x:v>
      </x:c>
    </x:row>
    <x:row r="31">
      <x:c r="A31" s="151" t="str">
        <x:v>caf</x:v>
      </x:c>
      <x:c r="B31" s="151" t="str">
        <x:v>Development Bank of Latin America and the Caribbean</x:v>
      </x:c>
      <x:c r="C31" s="336" t="n">
        <x:v>45657</x:v>
      </x:c>
      <x:c r="D31" s="151" t="str">
        <x:v>Board of Directors</x:v>
      </x:c>
      <x:c r="E31" s="151" t="str">
        <x:v>Panama — Series A seat</x:v>
      </x:c>
      <x:c r="F31" s="151" t="str">
        <x:v>Panama</x:v>
      </x:c>
      <x:c r="G31" s="151" t="str">
        <x:v>Country</x:v>
      </x:c>
      <x:c r="H31" s="151" t="str">
        <x:v>Series A</x:v>
      </x:c>
      <x:c r="I31" s="334" t="n">
        <x:v>1</x:v>
      </x:c>
      <x:c r="J31" s="334" t="n">
        <x:v>24</x:v>
      </x:c>
      <x:c r="K31" s="335" t="n">
        <x:f>I31/J31</x:f>
        <x:v>0.041666666666666664</x:v>
      </x:c>
      <x:c r="L31" s="334" t="n">
        <x:v>23</x:v>
      </x:c>
      <x:c r="M31" s="335" t="n">
        <x:f>IF(N31="Yes",I31/L31,"")</x:f>
        <x:v>0.043478260869565216</x:v>
      </x:c>
      <x:c r="N31" s="151" t="str">
        <x:v>Yes</x:v>
      </x:c>
      <x:c r="O31" s="151" t="str">
        <x:v>Majority, no fewer than half plus one of directors present.</x:v>
      </x:c>
      <x:c r="P31" s="151" t="str">
        <x:v>https://www.caf.com/media/4680568/convenio-constitutivo-ingles.pdf</x:v>
      </x:c>
      <x:c r="Q31" s="151" t="str">
        <x:v>Arts. 24, 26 and 27(f)</x:v>
      </x:c>
      <x:c r="R31" s="151" t="str">
        <x:v>One director, one vote.</x:v>
      </x:c>
    </x:row>
    <x:row r="32">
      <x:c r="A32" s="151" t="str">
        <x:v>caf</x:v>
      </x:c>
      <x:c r="B32" s="151" t="str">
        <x:v>Development Bank of Latin America and the Caribbean</x:v>
      </x:c>
      <x:c r="C32" s="336" t="n">
        <x:v>45657</x:v>
      </x:c>
      <x:c r="D32" s="151" t="str">
        <x:v>Board of Directors</x:v>
      </x:c>
      <x:c r="E32" s="151" t="str">
        <x:v>Paraguay — Series A seat</x:v>
      </x:c>
      <x:c r="F32" s="151" t="str">
        <x:v>Paraguay</x:v>
      </x:c>
      <x:c r="G32" s="151" t="str">
        <x:v>Country</x:v>
      </x:c>
      <x:c r="H32" s="151" t="str">
        <x:v>Series A</x:v>
      </x:c>
      <x:c r="I32" s="334" t="n">
        <x:v>1</x:v>
      </x:c>
      <x:c r="J32" s="334" t="n">
        <x:v>24</x:v>
      </x:c>
      <x:c r="K32" s="335" t="n">
        <x:f>I32/J32</x:f>
        <x:v>0.041666666666666664</x:v>
      </x:c>
      <x:c r="L32" s="334" t="n">
        <x:v>23</x:v>
      </x:c>
      <x:c r="M32" s="335" t="n">
        <x:f>IF(N32="Yes",I32/L32,"")</x:f>
        <x:v>0.043478260869565216</x:v>
      </x:c>
      <x:c r="N32" s="151" t="str">
        <x:v>Yes</x:v>
      </x:c>
      <x:c r="O32" s="151" t="str">
        <x:v>Majority, no fewer than half plus one of directors present.</x:v>
      </x:c>
      <x:c r="P32" s="151" t="str">
        <x:v>https://www.caf.com/media/4680568/convenio-constitutivo-ingles.pdf</x:v>
      </x:c>
      <x:c r="Q32" s="151" t="str">
        <x:v>Arts. 24, 26 and 27(f)</x:v>
      </x:c>
      <x:c r="R32" s="151" t="str">
        <x:v>One director, one vote.</x:v>
      </x:c>
    </x:row>
    <x:row r="33">
      <x:c r="A33" s="151" t="str">
        <x:v>caf</x:v>
      </x:c>
      <x:c r="B33" s="151" t="str">
        <x:v>Development Bank of Latin America and the Caribbean</x:v>
      </x:c>
      <x:c r="C33" s="336" t="n">
        <x:v>45657</x:v>
      </x:c>
      <x:c r="D33" s="151" t="str">
        <x:v>Board of Directors</x:v>
      </x:c>
      <x:c r="E33" s="151" t="str">
        <x:v>Peru — Series A seat</x:v>
      </x:c>
      <x:c r="F33" s="151" t="str">
        <x:v>Peru</x:v>
      </x:c>
      <x:c r="G33" s="151" t="str">
        <x:v>Country</x:v>
      </x:c>
      <x:c r="H33" s="151" t="str">
        <x:v>Series A</x:v>
      </x:c>
      <x:c r="I33" s="334" t="n">
        <x:v>1</x:v>
      </x:c>
      <x:c r="J33" s="334" t="n">
        <x:v>24</x:v>
      </x:c>
      <x:c r="K33" s="335" t="n">
        <x:f>I33/J33</x:f>
        <x:v>0.041666666666666664</x:v>
      </x:c>
      <x:c r="L33" s="334" t="n">
        <x:v>23</x:v>
      </x:c>
      <x:c r="M33" s="335" t="n">
        <x:f>IF(N33="Yes",I33/L33,"")</x:f>
        <x:v>0.043478260869565216</x:v>
      </x:c>
      <x:c r="N33" s="151" t="str">
        <x:v>Yes</x:v>
      </x:c>
      <x:c r="O33" s="151" t="str">
        <x:v>Majority, no fewer than half plus one of directors present.</x:v>
      </x:c>
      <x:c r="P33" s="151" t="str">
        <x:v>https://www.caf.com/media/4680568/convenio-constitutivo-ingles.pdf</x:v>
      </x:c>
      <x:c r="Q33" s="151" t="str">
        <x:v>Arts. 24, 26 and 27(f)</x:v>
      </x:c>
      <x:c r="R33" s="151" t="str">
        <x:v>One director, one vote.</x:v>
      </x:c>
    </x:row>
    <x:row r="34">
      <x:c r="A34" s="151" t="str">
        <x:v>caf</x:v>
      </x:c>
      <x:c r="B34" s="151" t="str">
        <x:v>Development Bank of Latin America and the Caribbean</x:v>
      </x:c>
      <x:c r="C34" s="336" t="n">
        <x:v>45657</x:v>
      </x:c>
      <x:c r="D34" s="151" t="str">
        <x:v>Board of Directors</x:v>
      </x:c>
      <x:c r="E34" s="151" t="str">
        <x:v>Trinidad and Tobago — Series A seat</x:v>
      </x:c>
      <x:c r="F34" s="151" t="str">
        <x:v>Trinidad and Tobago</x:v>
      </x:c>
      <x:c r="G34" s="151" t="str">
        <x:v>Country</x:v>
      </x:c>
      <x:c r="H34" s="151" t="str">
        <x:v>Series A</x:v>
      </x:c>
      <x:c r="I34" s="334" t="n">
        <x:v>1</x:v>
      </x:c>
      <x:c r="J34" s="334" t="n">
        <x:v>24</x:v>
      </x:c>
      <x:c r="K34" s="335" t="n">
        <x:f>I34/J34</x:f>
        <x:v>0.041666666666666664</x:v>
      </x:c>
      <x:c r="L34" s="334" t="n">
        <x:v>23</x:v>
      </x:c>
      <x:c r="M34" s="335" t="n">
        <x:f>IF(N34="Yes",I34/L34,"")</x:f>
        <x:v>0.043478260869565216</x:v>
      </x:c>
      <x:c r="N34" s="151" t="str">
        <x:v>Yes</x:v>
      </x:c>
      <x:c r="O34" s="151" t="str">
        <x:v>Majority, no fewer than half plus one of directors present.</x:v>
      </x:c>
      <x:c r="P34" s="151" t="str">
        <x:v>https://www.caf.com/media/4680568/convenio-constitutivo-ingles.pdf</x:v>
      </x:c>
      <x:c r="Q34" s="151" t="str">
        <x:v>Arts. 24, 26 and 27(f)</x:v>
      </x:c>
      <x:c r="R34" s="151" t="str">
        <x:v>One director, one vote.</x:v>
      </x:c>
    </x:row>
    <x:row r="35">
      <x:c r="A35" s="151" t="str">
        <x:v>caf</x:v>
      </x:c>
      <x:c r="B35" s="151" t="str">
        <x:v>Development Bank of Latin America and the Caribbean</x:v>
      </x:c>
      <x:c r="C35" s="336" t="n">
        <x:v>45657</x:v>
      </x:c>
      <x:c r="D35" s="151" t="str">
        <x:v>Board of Directors</x:v>
      </x:c>
      <x:c r="E35" s="151" t="str">
        <x:v>Uruguay — Series A seat</x:v>
      </x:c>
      <x:c r="F35" s="151" t="str">
        <x:v>Uruguay</x:v>
      </x:c>
      <x:c r="G35" s="151" t="str">
        <x:v>Country</x:v>
      </x:c>
      <x:c r="H35" s="151" t="str">
        <x:v>Series A</x:v>
      </x:c>
      <x:c r="I35" s="334" t="n">
        <x:v>1</x:v>
      </x:c>
      <x:c r="J35" s="334" t="n">
        <x:v>24</x:v>
      </x:c>
      <x:c r="K35" s="335" t="n">
        <x:f>I35/J35</x:f>
        <x:v>0.041666666666666664</x:v>
      </x:c>
      <x:c r="L35" s="334" t="n">
        <x:v>23</x:v>
      </x:c>
      <x:c r="M35" s="335" t="n">
        <x:f>IF(N35="Yes",I35/L35,"")</x:f>
        <x:v>0.043478260869565216</x:v>
      </x:c>
      <x:c r="N35" s="151" t="str">
        <x:v>Yes</x:v>
      </x:c>
      <x:c r="O35" s="151" t="str">
        <x:v>Majority, no fewer than half plus one of directors present.</x:v>
      </x:c>
      <x:c r="P35" s="151" t="str">
        <x:v>https://www.caf.com/media/4680568/convenio-constitutivo-ingles.pdf</x:v>
      </x:c>
      <x:c r="Q35" s="151" t="str">
        <x:v>Arts. 24, 26 and 27(f)</x:v>
      </x:c>
      <x:c r="R35" s="151" t="str">
        <x:v>One director, one vote.</x:v>
      </x:c>
    </x:row>
    <x:row r="36">
      <x:c r="A36" s="151" t="str">
        <x:v>caf</x:v>
      </x:c>
      <x:c r="B36" s="151" t="str">
        <x:v>Development Bank of Latin America and the Caribbean</x:v>
      </x:c>
      <x:c r="C36" s="336" t="n">
        <x:v>45657</x:v>
      </x:c>
      <x:c r="D36" s="151" t="str">
        <x:v>Board of Directors</x:v>
      </x:c>
      <x:c r="E36" s="151" t="str">
        <x:v>Venezuela — Series A seat</x:v>
      </x:c>
      <x:c r="F36" s="151" t="str">
        <x:v>Venezuela</x:v>
      </x:c>
      <x:c r="G36" s="151" t="str">
        <x:v>Country</x:v>
      </x:c>
      <x:c r="H36" s="151" t="str">
        <x:v>Series A</x:v>
      </x:c>
      <x:c r="I36" s="334" t="n">
        <x:v>1</x:v>
      </x:c>
      <x:c r="J36" s="334" t="n">
        <x:v>24</x:v>
      </x:c>
      <x:c r="K36" s="335" t="n">
        <x:f>I36/J36</x:f>
        <x:v>0.041666666666666664</x:v>
      </x:c>
      <x:c r="L36" s="334" t="n">
        <x:v>23</x:v>
      </x:c>
      <x:c r="M36" s="335" t="n">
        <x:f>IF(N36="Yes",I36/L36,"")</x:f>
        <x:v>0.043478260869565216</x:v>
      </x:c>
      <x:c r="N36" s="151" t="str">
        <x:v>Yes</x:v>
      </x:c>
      <x:c r="O36" s="151" t="str">
        <x:v>Majority, no fewer than half plus one of directors present.</x:v>
      </x:c>
      <x:c r="P36" s="151" t="str">
        <x:v>https://www.caf.com/media/4680568/convenio-constitutivo-ingles.pdf</x:v>
      </x:c>
      <x:c r="Q36" s="151" t="str">
        <x:v>Arts. 24, 26 and 27(f)</x:v>
      </x:c>
      <x:c r="R36" s="151" t="str">
        <x:v>One director, one vote.</x:v>
      </x:c>
    </x:row>
    <x:row r="37">
      <x:c r="A37" s="151" t="str">
        <x:v>caf</x:v>
      </x:c>
      <x:c r="B37" s="151" t="str">
        <x:v>Development Bank of Latin America and the Caribbean</x:v>
      </x:c>
      <x:c r="C37" s="336" t="n">
        <x:v>45657</x:v>
      </x:c>
      <x:c r="D37" s="151" t="str">
        <x:v>Board of Directors</x:v>
      </x:c>
      <x:c r="E37" s="151" t="str">
        <x:v>Bolivia — Series B seat</x:v>
      </x:c>
      <x:c r="F37" s="151" t="str">
        <x:v>Bolivia</x:v>
      </x:c>
      <x:c r="G37" s="151" t="str">
        <x:v>Country</x:v>
      </x:c>
      <x:c r="H37" s="151" t="str">
        <x:v>Series B country seat</x:v>
      </x:c>
      <x:c r="I37" s="334" t="n">
        <x:v>1</x:v>
      </x:c>
      <x:c r="J37" s="334" t="n">
        <x:v>24</x:v>
      </x:c>
      <x:c r="K37" s="335" t="n">
        <x:f>I37/J37</x:f>
        <x:v>0.041666666666666664</x:v>
      </x:c>
      <x:c r="L37" s="334" t="n">
        <x:v>23</x:v>
      </x:c>
      <x:c r="M37" s="335" t="n">
        <x:f>IF(N37="Yes",I37/L37,"")</x:f>
        <x:v>0.043478260869565216</x:v>
      </x:c>
      <x:c r="N37" s="151" t="str">
        <x:v>Yes</x:v>
      </x:c>
      <x:c r="O37" s="151" t="str">
        <x:v>Majority, no fewer than half plus one of directors present.</x:v>
      </x:c>
      <x:c r="P37" s="151" t="str">
        <x:v>https://www.caf.com/media/4670461/composicion-del-directorio-de-caf-ingles-periodo-2023-2026.pdf</x:v>
      </x:c>
      <x:c r="Q37" s="151" t="str">
        <x:v>Official Board composition covering the year-end 2024 seat allocation</x:v>
      </x:c>
      <x:c r="R37" s="151" t="str">
        <x:v>Additional country seat under the Board designation rule.</x:v>
      </x:c>
    </x:row>
    <x:row r="38">
      <x:c r="A38" s="151" t="str">
        <x:v>caf</x:v>
      </x:c>
      <x:c r="B38" s="151" t="str">
        <x:v>Development Bank of Latin America and the Caribbean</x:v>
      </x:c>
      <x:c r="C38" s="336" t="n">
        <x:v>45657</x:v>
      </x:c>
      <x:c r="D38" s="151" t="str">
        <x:v>Board of Directors</x:v>
      </x:c>
      <x:c r="E38" s="151" t="str">
        <x:v>Colombia — Series C principal seat</x:v>
      </x:c>
      <x:c r="F38" s="151" t="str">
        <x:v>Colombia</x:v>
      </x:c>
      <x:c r="G38" s="151" t="str">
        <x:v>Country</x:v>
      </x:c>
      <x:c r="H38" s="151" t="str">
        <x:v>Series C country seat</x:v>
      </x:c>
      <x:c r="I38" s="334" t="n">
        <x:v>1</x:v>
      </x:c>
      <x:c r="J38" s="334" t="n">
        <x:v>24</x:v>
      </x:c>
      <x:c r="K38" s="335" t="n">
        <x:f>I38/J38</x:f>
        <x:v>0.041666666666666664</x:v>
      </x:c>
      <x:c r="L38" s="334" t="n">
        <x:v>23</x:v>
      </x:c>
      <x:c r="M38" s="335" t="n">
        <x:f>IF(N38="Yes",I38/L38,"")</x:f>
        <x:v>0.043478260869565216</x:v>
      </x:c>
      <x:c r="N38" s="151" t="str">
        <x:v>Yes</x:v>
      </x:c>
      <x:c r="O38" s="151" t="str">
        <x:v>Majority, no fewer than half plus one of directors present.</x:v>
      </x:c>
      <x:c r="P38" s="151" t="str">
        <x:v>https://www.caf.com/media/4670461/composicion-del-directorio-de-caf-ingles-periodo-2023-2026.pdf</x:v>
      </x:c>
      <x:c r="Q38" s="151" t="str">
        <x:v>Official Board composition covering the year-end 2024 seat allocation</x:v>
      </x:c>
      <x:c r="R38" s="151" t="str">
        <x:v>Additional country seat shown in the official Board composition for the 2024–2027 Series C term.</x:v>
      </x:c>
    </x:row>
    <x:row r="39">
      <x:c r="A39" s="151" t="str">
        <x:v>caf</x:v>
      </x:c>
      <x:c r="B39" s="151" t="str">
        <x:v>Development Bank of Latin America and the Caribbean</x:v>
      </x:c>
      <x:c r="C39" s="336" t="n">
        <x:v>45657</x:v>
      </x:c>
      <x:c r="D39" s="151" t="str">
        <x:v>Board of Directors</x:v>
      </x:c>
      <x:c r="E39" s="151" t="str">
        <x:v>Ecuador — Series B seat</x:v>
      </x:c>
      <x:c r="F39" s="151" t="str">
        <x:v>Ecuador</x:v>
      </x:c>
      <x:c r="G39" s="151" t="str">
        <x:v>Country</x:v>
      </x:c>
      <x:c r="H39" s="151" t="str">
        <x:v>Series B country seat</x:v>
      </x:c>
      <x:c r="I39" s="334" t="n">
        <x:v>1</x:v>
      </x:c>
      <x:c r="J39" s="334" t="n">
        <x:v>24</x:v>
      </x:c>
      <x:c r="K39" s="335" t="n">
        <x:f>I39/J39</x:f>
        <x:v>0.041666666666666664</x:v>
      </x:c>
      <x:c r="L39" s="334" t="n">
        <x:v>23</x:v>
      </x:c>
      <x:c r="M39" s="335" t="n">
        <x:f>IF(N39="Yes",I39/L39,"")</x:f>
        <x:v>0.043478260869565216</x:v>
      </x:c>
      <x:c r="N39" s="151" t="str">
        <x:v>Yes</x:v>
      </x:c>
      <x:c r="O39" s="151" t="str">
        <x:v>Majority, no fewer than half plus one of directors present.</x:v>
      </x:c>
      <x:c r="P39" s="151" t="str">
        <x:v>https://www.caf.com/media/4670461/composicion-del-directorio-de-caf-ingles-periodo-2023-2026.pdf</x:v>
      </x:c>
      <x:c r="Q39" s="151" t="str">
        <x:v>Official Board composition covering the year-end 2024 seat allocation</x:v>
      </x:c>
      <x:c r="R39" s="151" t="str">
        <x:v>Additional country seat under the Board designation rule.</x:v>
      </x:c>
    </x:row>
    <x:row r="40">
      <x:c r="A40" s="151" t="str">
        <x:v>caf</x:v>
      </x:c>
      <x:c r="B40" s="151" t="str">
        <x:v>Development Bank of Latin America and the Caribbean</x:v>
      </x:c>
      <x:c r="C40" s="336" t="n">
        <x:v>45657</x:v>
      </x:c>
      <x:c r="D40" s="151" t="str">
        <x:v>Board of Directors</x:v>
      </x:c>
      <x:c r="E40" s="151" t="str">
        <x:v>Peru — Series C principal seat</x:v>
      </x:c>
      <x:c r="F40" s="151" t="str">
        <x:v>Peru</x:v>
      </x:c>
      <x:c r="G40" s="151" t="str">
        <x:v>Country</x:v>
      </x:c>
      <x:c r="H40" s="151" t="str">
        <x:v>Series C country seat</x:v>
      </x:c>
      <x:c r="I40" s="334" t="n">
        <x:v>1</x:v>
      </x:c>
      <x:c r="J40" s="334" t="n">
        <x:v>24</x:v>
      </x:c>
      <x:c r="K40" s="335" t="n">
        <x:f>I40/J40</x:f>
        <x:v>0.041666666666666664</x:v>
      </x:c>
      <x:c r="L40" s="334" t="n">
        <x:v>23</x:v>
      </x:c>
      <x:c r="M40" s="335" t="n">
        <x:f>IF(N40="Yes",I40/L40,"")</x:f>
        <x:v>0.043478260869565216</x:v>
      </x:c>
      <x:c r="N40" s="151" t="str">
        <x:v>Yes</x:v>
      </x:c>
      <x:c r="O40" s="151" t="str">
        <x:v>Majority, no fewer than half plus one of directors present.</x:v>
      </x:c>
      <x:c r="P40" s="151" t="str">
        <x:v>https://www.caf.com/media/4670461/composicion-del-directorio-de-caf-ingles-periodo-2023-2026.pdf</x:v>
      </x:c>
      <x:c r="Q40" s="151" t="str">
        <x:v>Official Board composition covering the year-end 2024 seat allocation</x:v>
      </x:c>
      <x:c r="R40" s="151" t="str">
        <x:v>Additional country seat shown in the official Board composition for the 2024–2027 Series C term.</x:v>
      </x:c>
    </x:row>
    <x:row r="41">
      <x:c r="A41" s="151" t="str">
        <x:v>caf</x:v>
      </x:c>
      <x:c r="B41" s="151" t="str">
        <x:v>Development Bank of Latin America and the Caribbean</x:v>
      </x:c>
      <x:c r="C41" s="336" t="n">
        <x:v>45657</x:v>
      </x:c>
      <x:c r="D41" s="151" t="str">
        <x:v>Board of Directors</x:v>
      </x:c>
      <x:c r="E41" s="151" t="str">
        <x:v>Venezuela — Series B seat</x:v>
      </x:c>
      <x:c r="F41" s="151" t="str">
        <x:v>Venezuela</x:v>
      </x:c>
      <x:c r="G41" s="151" t="str">
        <x:v>Country</x:v>
      </x:c>
      <x:c r="H41" s="151" t="str">
        <x:v>Series B country seat</x:v>
      </x:c>
      <x:c r="I41" s="334" t="n">
        <x:v>1</x:v>
      </x:c>
      <x:c r="J41" s="334" t="n">
        <x:v>24</x:v>
      </x:c>
      <x:c r="K41" s="335" t="n">
        <x:f>I41/J41</x:f>
        <x:v>0.041666666666666664</x:v>
      </x:c>
      <x:c r="L41" s="334" t="n">
        <x:v>23</x:v>
      </x:c>
      <x:c r="M41" s="335" t="n">
        <x:f>IF(N41="Yes",I41/L41,"")</x:f>
        <x:v>0.043478260869565216</x:v>
      </x:c>
      <x:c r="N41" s="151" t="str">
        <x:v>Yes</x:v>
      </x:c>
      <x:c r="O41" s="151" t="str">
        <x:v>Majority, no fewer than half plus one of directors present.</x:v>
      </x:c>
      <x:c r="P41" s="151" t="str">
        <x:v>https://www.caf.com/media/4670461/composicion-del-directorio-de-caf-ingles-periodo-2023-2026.pdf</x:v>
      </x:c>
      <x:c r="Q41" s="151" t="str">
        <x:v>Official Board composition covering the year-end 2024 seat allocation</x:v>
      </x:c>
      <x:c r="R41" s="151" t="str">
        <x:v>Additional country seat under the Board designation rule.</x:v>
      </x:c>
    </x:row>
    <x:row r="42">
      <x:c r="A42" s="151" t="str">
        <x:v>caf</x:v>
      </x:c>
      <x:c r="B42" s="151" t="str">
        <x:v>Development Bank of Latin America and the Caribbean</x:v>
      </x:c>
      <x:c r="C42" s="336" t="n">
        <x:v>45657</x:v>
      </x:c>
      <x:c r="D42" s="151" t="str">
        <x:v>Board of Directors</x:v>
      </x:c>
      <x:c r="E42" s="151" t="str">
        <x:v>Private banking shareholders — Series C seat</x:v>
      </x:c>
      <x:c r="F42" s="151"/>
      <x:c r="G42" s="151" t="str">
        <x:v>Private financial institutions</x:v>
      </x:c>
      <x:c r="H42" s="151" t="str">
        <x:v>Series C private-banking seat</x:v>
      </x:c>
      <x:c r="I42" s="334" t="n">
        <x:v>1</x:v>
      </x:c>
      <x:c r="J42" s="334" t="n">
        <x:v>24</x:v>
      </x:c>
      <x:c r="K42" s="335" t="n">
        <x:f>I42/J42</x:f>
        <x:v>0.041666666666666664</x:v>
      </x:c>
      <x:c r="L42" s="334" t="n">
        <x:v>23</x:v>
      </x:c>
      <x:c r="M42" s="335" t="str">
        <x:f>IF(N42="Yes",I42/L42,"")</x:f>
      </x:c>
      <x:c r="N42" s="151" t="str">
        <x:v>No</x:v>
      </x:c>
      <x:c r="O42" s="151" t="str">
        <x:v>Majority, no fewer than half plus one of directors present.</x:v>
      </x:c>
      <x:c r="P42" s="151" t="str">
        <x:v>https://www.caf.com/media/4670461/composicion-del-directorio-de-caf-ingles-periodo-2023-2026.pdf</x:v>
      </x:c>
      <x:c r="Q42" s="151" t="str">
        <x:v>Official Board composition covering the year-end 2024 seat allocation</x:v>
      </x:c>
      <x:c r="R42" s="151" t="str">
        <x:v>Non-country Board seat retained in the formal denominator and excluded from the country-normalized denominator.</x:v>
      </x:c>
    </x:row>
    <x:row r="43">
      <x:c r="A43" s="151" t="str">
        <x:v>caf</x:v>
      </x:c>
      <x:c r="B43" s="151" t="str">
        <x:v>Development Bank of Latin America and the Caribbean</x:v>
      </x:c>
      <x:c r="C43" s="336" t="n">
        <x:v>45657</x:v>
      </x:c>
      <x:c r="D43" s="151" t="str">
        <x:v>Board of Directors</x:v>
      </x:c>
      <x:c r="E43" s="151" t="str">
        <x:v>Spain — Series C principal (Portugal alternate)</x:v>
      </x:c>
      <x:c r="F43" s="151" t="str">
        <x:v>Spain</x:v>
      </x:c>
      <x:c r="G43" s="151" t="str">
        <x:v>Country</x:v>
      </x:c>
      <x:c r="H43" s="151" t="str">
        <x:v>Series C principal seat</x:v>
      </x:c>
      <x:c r="I43" s="334" t="n">
        <x:v>1</x:v>
      </x:c>
      <x:c r="J43" s="334" t="n">
        <x:v>24</x:v>
      </x:c>
      <x:c r="K43" s="335" t="n">
        <x:f>I43/J43</x:f>
        <x:v>0.041666666666666664</x:v>
      </x:c>
      <x:c r="L43" s="334" t="n">
        <x:v>23</x:v>
      </x:c>
      <x:c r="M43" s="335" t="n">
        <x:f>IF(N43="Yes",I43/L43,"")</x:f>
        <x:v>0.043478260869565216</x:v>
      </x:c>
      <x:c r="N43" s="151" t="str">
        <x:v>Yes</x:v>
      </x:c>
      <x:c r="O43" s="151" t="str">
        <x:v>Majority, no fewer than half plus one of directors present.</x:v>
      </x:c>
      <x:c r="P43" s="151" t="str">
        <x:v>https://www.caf.com/media/4670461/composicion-del-directorio-de-caf-ingles-periodo-2023-2026.pdf</x:v>
      </x:c>
      <x:c r="Q43" s="151" t="str">
        <x:v>Official Board composition; Series C term covering year-end 2024</x:v>
      </x:c>
      <x:c r="R43" s="151" t="str">
        <x:v>Principal-country attribution; Portugal receives zero in this snapshot.</x:v>
      </x:c>
    </x:row>
    <x:row r="44">
      <x:c r="A44" s="151" t="str">
        <x:v>caf</x:v>
      </x:c>
      <x:c r="B44" s="151" t="str">
        <x:v>Development Bank of Latin America and the Caribbean</x:v>
      </x:c>
      <x:c r="C44" s="336" t="n">
        <x:v>45657</x:v>
      </x:c>
      <x:c r="D44" s="151" t="str">
        <x:v>Board of Directors</x:v>
      </x:c>
      <x:c r="E44" s="151" t="str">
        <x:v>Mexico — Series C principal (Barbados alternate)</x:v>
      </x:c>
      <x:c r="F44" s="151" t="str">
        <x:v>Mexico</x:v>
      </x:c>
      <x:c r="G44" s="151" t="str">
        <x:v>Country</x:v>
      </x:c>
      <x:c r="H44" s="151" t="str">
        <x:v>Series C principal seat</x:v>
      </x:c>
      <x:c r="I44" s="334" t="n">
        <x:v>1</x:v>
      </x:c>
      <x:c r="J44" s="334" t="n">
        <x:v>24</x:v>
      </x:c>
      <x:c r="K44" s="335" t="n">
        <x:f>I44/J44</x:f>
        <x:v>0.041666666666666664</x:v>
      </x:c>
      <x:c r="L44" s="334" t="n">
        <x:v>23</x:v>
      </x:c>
      <x:c r="M44" s="335" t="n">
        <x:f>IF(N44="Yes",I44/L44,"")</x:f>
        <x:v>0.043478260869565216</x:v>
      </x:c>
      <x:c r="N44" s="151" t="str">
        <x:v>Yes</x:v>
      </x:c>
      <x:c r="O44" s="151" t="str">
        <x:v>Majority, no fewer than half plus one of directors present.</x:v>
      </x:c>
      <x:c r="P44" s="151" t="str">
        <x:v>https://www.caf.com/media/4670461/composicion-del-directorio-de-caf-ingles-periodo-2023-2026.pdf</x:v>
      </x:c>
      <x:c r="Q44" s="151" t="str">
        <x:v>Official Board composition; Series C term covering year-end 2024</x:v>
      </x:c>
      <x:c r="R44" s="151" t="str">
        <x:v>Principal-country attribution; Barbados receives zero in this snapshot.</x:v>
      </x:c>
    </x:row>
  </x:sheetData>
  <x:mergeCells>
    <x:mergeCell ref="A1:R1"/>
    <x:mergeCell ref="A3:R3"/>
  </x:mergeCells>
  <x:conditionalFormatting sqref="A6:R44">
    <x:cfRule type="expression" dxfId="11" priority="1">
      <x:formula>MOD(ROW(),2)=0</x:formula>
    </x:cfRule>
  </x:conditionalFormatting>
  <x:pageMargins left="0.7" right="0.7" top="0.75" bottom="0.75" header="0.3" footer="0.3"/>
</x:worksheet>
</file>